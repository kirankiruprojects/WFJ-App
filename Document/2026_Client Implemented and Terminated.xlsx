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appriver3651007094.sharepoint.com/Systems Configuration/Common Files/"/>
    </mc:Choice>
  </mc:AlternateContent>
  <xr:revisionPtr revIDLastSave="0" documentId="8_{DB7EBF14-465C-4E89-A60A-C6FA0028FBC2}" xr6:coauthVersionLast="47" xr6:coauthVersionMax="47" xr10:uidLastSave="{00000000-0000-0000-0000-000000000000}"/>
  <bookViews>
    <workbookView xWindow="28680" yWindow="-120" windowWidth="29040" windowHeight="15720" firstSheet="3" activeTab="3" xr2:uid="{00000000-000D-0000-FFFF-FFFF00000000}"/>
  </bookViews>
  <sheets>
    <sheet name="Client List" sheetId="3" r:id="rId1"/>
    <sheet name="2026" sheetId="13" r:id="rId2"/>
    <sheet name="2025" sheetId="12" r:id="rId3"/>
    <sheet name="2024" sheetId="11" r:id="rId4"/>
    <sheet name="2023" sheetId="10" r:id="rId5"/>
    <sheet name="2022" sheetId="9" r:id="rId6"/>
    <sheet name="2021" sheetId="8" r:id="rId7"/>
    <sheet name="2020" sheetId="7" r:id="rId8"/>
    <sheet name="2019" sheetId="6" r:id="rId9"/>
    <sheet name="2018" sheetId="5" r:id="rId10"/>
    <sheet name="2017" sheetId="4" r:id="rId11"/>
    <sheet name="2016" sheetId="2" r:id="rId12"/>
    <sheet name="2015" sheetId="1" r:id="rId13"/>
  </sheets>
  <definedNames>
    <definedName name="_xlnm._FilterDatabase" localSheetId="2" hidden="1">'2025'!$A$2:$H$2</definedName>
    <definedName name="_xlnm._FilterDatabase" localSheetId="1" hidden="1">'2026'!$A$2:$H$2</definedName>
    <definedName name="_xlnm._FilterDatabase" localSheetId="0" hidden="1">'Client List'!$A$1:$D$67</definedName>
  </definedNames>
  <calcPr calcId="191028" iterateDelta="1E-4"/>
  <pivotCaches>
    <pivotCache cacheId="50" r:id="rId14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12" l="1"/>
  <c r="G24" i="12"/>
  <c r="M28" i="13"/>
  <c r="G28" i="13"/>
  <c r="M18" i="11"/>
  <c r="G18" i="11"/>
  <c r="M15" i="10"/>
  <c r="G15" i="10"/>
  <c r="M11" i="6"/>
  <c r="M16" i="7"/>
  <c r="M17" i="8"/>
  <c r="M11" i="9"/>
  <c r="G11" i="9"/>
  <c r="G17" i="8"/>
  <c r="I22" i="5" l="1"/>
  <c r="K23" i="5"/>
  <c r="K22" i="5"/>
  <c r="G16" i="7" l="1"/>
  <c r="G11" i="6" l="1"/>
  <c r="M18" i="5" l="1"/>
  <c r="I23" i="5" l="1"/>
  <c r="G18" i="5"/>
  <c r="G18" i="4"/>
  <c r="G13" i="2"/>
  <c r="M13" i="2"/>
  <c r="L21" i="1"/>
  <c r="F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tc={4748FAC2-D28F-4A99-867D-9967E63F5ED9}</author>
  </authors>
  <commentList>
    <comment ref="F10" authorId="0" shapeId="0" xr:uid="{4748FAC2-D28F-4A99-867D-9967E63F5ED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went live only with NAMCO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SumanS</author>
  </authors>
  <commentList>
    <comment ref="K22" authorId="0" shapeId="0" xr:uid="{9C88875E-DF99-41B0-8EA4-3242F9FC5F07}">
      <text>
        <r>
          <rPr>
            <sz val="9"/>
            <color indexed="81"/>
            <rFont val="Tahoma"/>
            <family val="2"/>
          </rPr>
          <t>All Active employees not eligible for benefits (All Active clients excluding  - Infosys, L&amp;T)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<sst xmlns="http://schemas.openxmlformats.org/spreadsheetml/2006/main" count="888" uniqueCount="340">
  <si>
    <t>Active Clients on BenJ</t>
  </si>
  <si>
    <t>Client Name</t>
  </si>
  <si>
    <t>Benefits Eligible Headcount</t>
  </si>
  <si>
    <t>Benefits Non Eligible Headcount</t>
  </si>
  <si>
    <t>Number of Active Clients</t>
  </si>
  <si>
    <t>1910 Legacy Enterprises Inc.</t>
  </si>
  <si>
    <t>Acme Truck Line Inc</t>
  </si>
  <si>
    <t>Ahern</t>
  </si>
  <si>
    <t>Armstrong Technology Inc</t>
  </si>
  <si>
    <t>Avante Auto Group</t>
  </si>
  <si>
    <t>Barnum and Celillo Electric Inc</t>
  </si>
  <si>
    <t>Bellavance Trucking Inc</t>
  </si>
  <si>
    <t>C. Mondavi and Family</t>
  </si>
  <si>
    <t>Creative Hospice Care Inc. dba Homestead Hospice</t>
  </si>
  <si>
    <t>Custom-Pak</t>
  </si>
  <si>
    <t>Deerfield Management</t>
  </si>
  <si>
    <t>Delta Electronics (USA) Inc.</t>
  </si>
  <si>
    <t>Enertia Software</t>
  </si>
  <si>
    <t>Fiore and Sons Inc.</t>
  </si>
  <si>
    <t>Gilbert May dba Phillips May Corporation</t>
  </si>
  <si>
    <t>Glo-USA Inc</t>
  </si>
  <si>
    <t>Hammer Williams Company</t>
  </si>
  <si>
    <t>Healthcare of Iowa</t>
  </si>
  <si>
    <t>IBM India Pvt Ltd</t>
  </si>
  <si>
    <t>Involta LLC</t>
  </si>
  <si>
    <t>Iowa City Community School District</t>
  </si>
  <si>
    <t>Johnson Real Estate Investors LLC</t>
  </si>
  <si>
    <t>Juneau Construction Company LLC</t>
  </si>
  <si>
    <t>LimoLink Inc</t>
  </si>
  <si>
    <t>M.O.Dion and Sons Inc</t>
  </si>
  <si>
    <t>RECON</t>
  </si>
  <si>
    <t>Stellar Industries Inc</t>
  </si>
  <si>
    <t>The Center for Cancer and Blood Disorders</t>
  </si>
  <si>
    <t>The City of Hermosa Beach</t>
  </si>
  <si>
    <t>Upfield US Inc.</t>
  </si>
  <si>
    <t>Western Precooling Systems Inc</t>
  </si>
  <si>
    <t>Woodstock Furniture Outlet LLC</t>
  </si>
  <si>
    <t>World Class Industries Inc</t>
  </si>
  <si>
    <t>Worldwide Equipment Enterprises</t>
  </si>
  <si>
    <t>EOS Fitness</t>
  </si>
  <si>
    <t>Wesleyan School .Inc</t>
  </si>
  <si>
    <t>Pak-Lite Inc</t>
  </si>
  <si>
    <t>Point of Rental</t>
  </si>
  <si>
    <t>O'Rourke Sales Company</t>
  </si>
  <si>
    <t>Brightmark</t>
  </si>
  <si>
    <t>Hilldrup</t>
  </si>
  <si>
    <t>Axiscades</t>
  </si>
  <si>
    <t>City of Clive</t>
  </si>
  <si>
    <t>HealthCare Access Maryland Inc</t>
  </si>
  <si>
    <t>Howard Sheppard</t>
  </si>
  <si>
    <t>Osage Nation Environmental Solutions</t>
  </si>
  <si>
    <t>Altitude Health Services LLC</t>
  </si>
  <si>
    <t>JIT-EX LLC</t>
  </si>
  <si>
    <t>Number of EMS Clients</t>
  </si>
  <si>
    <t xml:space="preserve">O'Rourke Sales </t>
  </si>
  <si>
    <t>Securematics Inc</t>
  </si>
  <si>
    <t>Creative Management Technology Inc</t>
  </si>
  <si>
    <t>Clients Implemented</t>
  </si>
  <si>
    <t>Clients Terminated</t>
  </si>
  <si>
    <t>Sl. No.</t>
  </si>
  <si>
    <t>Broker</t>
  </si>
  <si>
    <t>Design Guide Received date</t>
  </si>
  <si>
    <t>Implementation Completion Date</t>
  </si>
  <si>
    <t>Client Go Live Date</t>
  </si>
  <si>
    <t xml:space="preserve">Headcount </t>
  </si>
  <si>
    <t>Sl No.</t>
  </si>
  <si>
    <t>Clients</t>
  </si>
  <si>
    <t>Termination Effective Date</t>
  </si>
  <si>
    <t>EE Headcount</t>
  </si>
  <si>
    <t>Reason</t>
  </si>
  <si>
    <t>Colite Technologies</t>
  </si>
  <si>
    <t>LumberFi, Inc</t>
  </si>
  <si>
    <t>EPIC</t>
  </si>
  <si>
    <t>​Moving to BRMS admin</t>
  </si>
  <si>
    <t>Team Altus - E7 Defense</t>
  </si>
  <si>
    <t>TetraMem</t>
  </si>
  <si>
    <t xml:space="preserve">	Johnson and Dugan</t>
  </si>
  <si>
    <t>K and K Inc</t>
  </si>
  <si>
    <t>Odyssey Manufacturing Co</t>
  </si>
  <si>
    <t>Moving to Paylocity</t>
  </si>
  <si>
    <t>McBride Building Supply</t>
  </si>
  <si>
    <t>Mangieri Electric</t>
  </si>
  <si>
    <t>​Left Lumber</t>
  </si>
  <si>
    <t>Monks Painting</t>
  </si>
  <si>
    <t>NFP</t>
  </si>
  <si>
    <t>Stratus Systems LLC</t>
  </si>
  <si>
    <t>United Services Group</t>
  </si>
  <si>
    <t>Precision Group</t>
  </si>
  <si>
    <t>NS Giles</t>
  </si>
  <si>
    <t>​Didn’t like Lumber Payroll​</t>
  </si>
  <si>
    <t>Bryan Construction Inc</t>
  </si>
  <si>
    <t>SPC Mechanical</t>
  </si>
  <si>
    <t>Moved to BambooHr</t>
  </si>
  <si>
    <t>Quest Building Corp</t>
  </si>
  <si>
    <t>Buffalo Framing and Truss LLC</t>
  </si>
  <si>
    <t xml:space="preserve">Yet to Live </t>
  </si>
  <si>
    <t>Bowman Steel LLC</t>
  </si>
  <si>
    <t>Complete Fence</t>
  </si>
  <si>
    <t>Horseshoe Construction Inc</t>
  </si>
  <si>
    <t>JL Walter Associates Inc</t>
  </si>
  <si>
    <t>Norman S. Wright Climatec</t>
  </si>
  <si>
    <t>Engineering Wireless Services</t>
  </si>
  <si>
    <t>AC Systems</t>
  </si>
  <si>
    <t>Advanced Refrigeration and Air Inc</t>
  </si>
  <si>
    <t>Jakes Electric LLC</t>
  </si>
  <si>
    <t xml:space="preserve">Recycling Enterprises and Subsidiaries	</t>
  </si>
  <si>
    <t>ADK Electric</t>
  </si>
  <si>
    <t>Skyline Restoration Inc</t>
  </si>
  <si>
    <t>Integrated Service Company LLC</t>
  </si>
  <si>
    <t>Total Headcount</t>
  </si>
  <si>
    <t>Metal Pros LLC</t>
  </si>
  <si>
    <t>Lilium</t>
  </si>
  <si>
    <t>TrueNorth</t>
  </si>
  <si>
    <t>Moved to another Vendor</t>
  </si>
  <si>
    <t>Spencer Construction</t>
  </si>
  <si>
    <t>Hydrafacial LLC</t>
  </si>
  <si>
    <t>Arthur J Gallagher EBS</t>
  </si>
  <si>
    <t>Moved to Workday</t>
  </si>
  <si>
    <t>W.T.Rich</t>
  </si>
  <si>
    <t>Akamai Energies</t>
  </si>
  <si>
    <t>Client has termed with Lumber</t>
  </si>
  <si>
    <t>Castles Technology</t>
  </si>
  <si>
    <t>Dickerson Insurance Service</t>
  </si>
  <si>
    <t>Moved to Ease</t>
  </si>
  <si>
    <t>Delta Peanut</t>
  </si>
  <si>
    <t>Client Termed without Live</t>
  </si>
  <si>
    <t>K2 Construction</t>
  </si>
  <si>
    <t>Evans Contracting Group</t>
  </si>
  <si>
    <t>Fort Madison and Montrose and Tama Toledo</t>
  </si>
  <si>
    <t>Maspeth Welding</t>
  </si>
  <si>
    <t>LTMS</t>
  </si>
  <si>
    <t>Downes Construction Company LLC</t>
  </si>
  <si>
    <t>Wagner Roofing Company</t>
  </si>
  <si>
    <t xml:space="preserve">​Going to some other payroll vendor.​ </t>
  </si>
  <si>
    <t xml:space="preserve">	Tribridge Partners</t>
  </si>
  <si>
    <t>Moving to Paycor</t>
  </si>
  <si>
    <t>Direct Traffic Control Inc</t>
  </si>
  <si>
    <t>Interior Investments LLC</t>
  </si>
  <si>
    <t xml:space="preserve">​Alternative benefits system​ </t>
  </si>
  <si>
    <t>Marcus Construction</t>
  </si>
  <si>
    <t>Moving to another system</t>
  </si>
  <si>
    <t>Higdon Construction LLC</t>
  </si>
  <si>
    <t>North American Manufacturing Corp</t>
  </si>
  <si>
    <t>Lulazon Logistics LLC.</t>
  </si>
  <si>
    <t>Elevated Benefits</t>
  </si>
  <si>
    <t>Moving to ADP</t>
  </si>
  <si>
    <t>Lead The Way Logistics</t>
  </si>
  <si>
    <t>Cottingham &amp; Butler</t>
  </si>
  <si>
    <t>Thompson Concrete</t>
  </si>
  <si>
    <t>Brookfield Enterprise</t>
  </si>
  <si>
    <t>Terminated as no response received</t>
  </si>
  <si>
    <t>Sievert Electric</t>
  </si>
  <si>
    <t>Cha Ching dba. Great Clips</t>
  </si>
  <si>
    <t>OneSource Restoration LLC</t>
  </si>
  <si>
    <t>Jiffy Air Tool Inc</t>
  </si>
  <si>
    <t>Mid-Iowa Milling</t>
  </si>
  <si>
    <t>Shaw Engineering</t>
  </si>
  <si>
    <t>Icon Health</t>
  </si>
  <si>
    <t>Lance Gilman Commercial Real Estate</t>
  </si>
  <si>
    <t>Assured Partners</t>
  </si>
  <si>
    <t>Moving to UKG(Client is Active by Nitya and Denna)</t>
  </si>
  <si>
    <t>Wesleyan School Inc.</t>
  </si>
  <si>
    <t xml:space="preserve">	The Benefit Company</t>
  </si>
  <si>
    <t>CEC</t>
  </si>
  <si>
    <t>NFW</t>
  </si>
  <si>
    <t>The Benefit Company</t>
  </si>
  <si>
    <t>Holmes Murphy</t>
  </si>
  <si>
    <t>ABCM Corporation</t>
  </si>
  <si>
    <t>Centers for New Horizons Inc.</t>
  </si>
  <si>
    <t>Moving to Paychex</t>
  </si>
  <si>
    <t>Tetramem</t>
  </si>
  <si>
    <t>Johnson &amp; Dugan</t>
  </si>
  <si>
    <t>SOAR Transport</t>
  </si>
  <si>
    <t>Russ Blakely &amp; Associates, LLC</t>
  </si>
  <si>
    <t>Moving to Network Transport</t>
  </si>
  <si>
    <t>Fort Madison and Montrose</t>
  </si>
  <si>
    <t>Visiting Nurse Health System Hospice Atlanta</t>
  </si>
  <si>
    <t>Client Implemented</t>
  </si>
  <si>
    <t>Client Terminated</t>
  </si>
  <si>
    <t>Extended Care</t>
  </si>
  <si>
    <t>Recon</t>
  </si>
  <si>
    <t xml:space="preserve">	Kainos Partners</t>
  </si>
  <si>
    <t>Natural Fiber Welding</t>
  </si>
  <si>
    <t>The Richards Group</t>
  </si>
  <si>
    <t>Mid-Iowa Co-op</t>
  </si>
  <si>
    <t>Don Hummer</t>
  </si>
  <si>
    <t xml:space="preserve">Traditions Health </t>
  </si>
  <si>
    <t>Workforce Junction</t>
  </si>
  <si>
    <t>Network Transport</t>
  </si>
  <si>
    <t>Moving to ADP Benefits Platform</t>
  </si>
  <si>
    <t>EFCO Forms</t>
  </si>
  <si>
    <t>Maniaci Insurance Services</t>
  </si>
  <si>
    <t xml:space="preserve">Osage Nation Environmental Solutions LLC.	</t>
  </si>
  <si>
    <t>Haven Steel (OE Express)</t>
  </si>
  <si>
    <t>Big D Companies</t>
  </si>
  <si>
    <t>Cbiz</t>
  </si>
  <si>
    <t>Moving to system which handles Payroll &amp; Benefits</t>
  </si>
  <si>
    <t>ICMS</t>
  </si>
  <si>
    <t>Heritage Property Management (OE Express)</t>
  </si>
  <si>
    <t>Going onto the CBIZ Platform</t>
  </si>
  <si>
    <t>Tribridge Partners</t>
  </si>
  <si>
    <t>GLO-USA Inc</t>
  </si>
  <si>
    <t>Glo was acquired. Terminate HR access on 9/30/2021</t>
  </si>
  <si>
    <t>Centers for New Horizon</t>
  </si>
  <si>
    <t>Altitude Health Services LLC (OE Express)</t>
  </si>
  <si>
    <t>Osage Nation Energy Services</t>
  </si>
  <si>
    <t>SPS Health (OE Express)</t>
  </si>
  <si>
    <t>Soar Transport</t>
  </si>
  <si>
    <t>Infinity (OE Express)</t>
  </si>
  <si>
    <t>Axis Pipe and Tube Inc	 (OE Express)</t>
  </si>
  <si>
    <t>Reeser Group</t>
  </si>
  <si>
    <t xml:space="preserve">Technical Safety Services </t>
  </si>
  <si>
    <t>Lockton</t>
  </si>
  <si>
    <t>Moving to Plan Source</t>
  </si>
  <si>
    <t>Community Health Alliance</t>
  </si>
  <si>
    <t>Benefit Resource Group</t>
  </si>
  <si>
    <t>POM’s</t>
  </si>
  <si>
    <t>Existing dealerships are being sold off.</t>
  </si>
  <si>
    <t>Reeser Group/TBC</t>
  </si>
  <si>
    <t>Western Pre Cooling</t>
  </si>
  <si>
    <t>KBI</t>
  </si>
  <si>
    <t>Delta Electronics (USA) Inc</t>
  </si>
  <si>
    <t>O'Rourke Sales</t>
  </si>
  <si>
    <t>Johnson and Dugan</t>
  </si>
  <si>
    <t>Lizama (OE Express)</t>
  </si>
  <si>
    <t>Catalina US Insurance (OE Express)</t>
  </si>
  <si>
    <t>EBS</t>
  </si>
  <si>
    <t>ACI Freight (OE Express)</t>
  </si>
  <si>
    <t>The Benefit Company (OE Express)</t>
  </si>
  <si>
    <t>TBC</t>
  </si>
  <si>
    <t>Silica Hardware Inc</t>
  </si>
  <si>
    <t>Hierl Insurance Inc</t>
  </si>
  <si>
    <t>Aspen Technology Inc</t>
  </si>
  <si>
    <t>EBS Capstone</t>
  </si>
  <si>
    <t>Southwest Freight (OE Express)</t>
  </si>
  <si>
    <t>CVE Technology Group Inc.</t>
  </si>
  <si>
    <t>Soft Robotics (OE Express)</t>
  </si>
  <si>
    <t>Harper Brothers and Texas Wall Landscape</t>
  </si>
  <si>
    <t>Kainos Partners</t>
  </si>
  <si>
    <t>CEC (OE Express)</t>
  </si>
  <si>
    <t>Alsum Farms and Produce Inc</t>
  </si>
  <si>
    <t>Ankle and Foot Centers of Georgia</t>
  </si>
  <si>
    <t>Crane Enginnering Sales Inc</t>
  </si>
  <si>
    <t>Vernon Homes</t>
  </si>
  <si>
    <t>Kaplow Communications</t>
  </si>
  <si>
    <t>Brio Benefit Consulting</t>
  </si>
  <si>
    <t>MidCentral Management Resources LLC</t>
  </si>
  <si>
    <t>Dillingham Benefits</t>
  </si>
  <si>
    <t>Juneau Constructon Company LLC</t>
  </si>
  <si>
    <t>National Litigation Law Group PLLC</t>
  </si>
  <si>
    <t>American Fence and Security Co.</t>
  </si>
  <si>
    <t>HealthSmart</t>
  </si>
  <si>
    <t>True North</t>
  </si>
  <si>
    <t>UST Global</t>
  </si>
  <si>
    <t>HGS</t>
  </si>
  <si>
    <t>Aon Hewitt</t>
  </si>
  <si>
    <t>New Tech Global</t>
  </si>
  <si>
    <t>Aricent</t>
  </si>
  <si>
    <t>Lumileds LLC</t>
  </si>
  <si>
    <t>Jamba Juice</t>
  </si>
  <si>
    <t>Woodruff Sawyer &amp; Co</t>
  </si>
  <si>
    <t>LifeMoves</t>
  </si>
  <si>
    <t>OOCL (USA) Inc</t>
  </si>
  <si>
    <t>Maritime Delivery Services</t>
  </si>
  <si>
    <t>Holiday Automotive</t>
  </si>
  <si>
    <t>Creare</t>
  </si>
  <si>
    <t>Granite Group Benefits</t>
  </si>
  <si>
    <t>Soar Transportation Group</t>
  </si>
  <si>
    <t>FM Financials</t>
  </si>
  <si>
    <t/>
  </si>
  <si>
    <t>Count</t>
  </si>
  <si>
    <t>Comment</t>
  </si>
  <si>
    <t>All HGS Client List</t>
  </si>
  <si>
    <t>EMS only client list. i.e. Clients w/o Payroll Data Integration, Payroll Deduction &amp; Vendor Billing</t>
  </si>
  <si>
    <t>Benefits Eligible Employee Headcount</t>
  </si>
  <si>
    <t>Benefits Non Eligible Employee Headcount</t>
  </si>
  <si>
    <t>Grand Total</t>
  </si>
  <si>
    <t>Clients w/o setup on Benefits Juction</t>
  </si>
  <si>
    <t>Trendsetter Engineering Inc</t>
  </si>
  <si>
    <t>Actavo Engineering Services LLC</t>
  </si>
  <si>
    <t>National Litigation Law Group, PLLC</t>
  </si>
  <si>
    <t>Werba Reinhard Inc</t>
  </si>
  <si>
    <t>First Mortgage Company LLC</t>
  </si>
  <si>
    <t>Presbyterian School</t>
  </si>
  <si>
    <t>Equipment Technology Inc.</t>
  </si>
  <si>
    <t>Life Moves</t>
  </si>
  <si>
    <t>Riebes Auto Parts</t>
  </si>
  <si>
    <t>Bachman Services</t>
  </si>
  <si>
    <t>World Class Industries</t>
  </si>
  <si>
    <t>CVE Technology LLC Inc.</t>
  </si>
  <si>
    <t>The City of Hermosa</t>
  </si>
  <si>
    <t>MCC</t>
  </si>
  <si>
    <t>Fiore &amp; Sons Inc</t>
  </si>
  <si>
    <t>Cherry Creek Benefits</t>
  </si>
  <si>
    <t>Cascade Living Group</t>
  </si>
  <si>
    <t>Woodruff Sawyer and Company</t>
  </si>
  <si>
    <t>MD2U</t>
  </si>
  <si>
    <t>Schwartz Insurance Group</t>
  </si>
  <si>
    <t>Delta Diversified</t>
  </si>
  <si>
    <t>AZCO Construction Inc</t>
  </si>
  <si>
    <t>Kelles Transport Services</t>
  </si>
  <si>
    <t>Trusource Labs</t>
  </si>
  <si>
    <t>Shepard Walton King Insurance Group</t>
  </si>
  <si>
    <t>Len-Tex Corporation</t>
  </si>
  <si>
    <t>First Mortgage Company Inc</t>
  </si>
  <si>
    <t>Microchip Techonology</t>
  </si>
  <si>
    <t>GRID Alternatives</t>
  </si>
  <si>
    <t>Tech Mahindra</t>
  </si>
  <si>
    <t>HannaGlobal</t>
  </si>
  <si>
    <t>IGATE</t>
  </si>
  <si>
    <t>SJL Holdings</t>
  </si>
  <si>
    <t>Beneflex</t>
  </si>
  <si>
    <t>Bachman</t>
  </si>
  <si>
    <t>Silver State International</t>
  </si>
  <si>
    <t>Alsum Farms &amp; Produce</t>
  </si>
  <si>
    <t>Schroeder Manatee Ranch</t>
  </si>
  <si>
    <t>Josh Kitchner</t>
  </si>
  <si>
    <t>Tier1 Performance</t>
  </si>
  <si>
    <t>Horan &amp; Associates</t>
  </si>
  <si>
    <t>MCC Inc.</t>
  </si>
  <si>
    <t>Philips Lumileds</t>
  </si>
  <si>
    <t>River Street Sweets/PJT</t>
  </si>
  <si>
    <t>Gary g. Oetgen</t>
  </si>
  <si>
    <t>OOCL</t>
  </si>
  <si>
    <t>Coastal Motor Sales</t>
  </si>
  <si>
    <t>Fremont</t>
  </si>
  <si>
    <t>Silica Hardware</t>
  </si>
  <si>
    <t>Council on Aging</t>
  </si>
  <si>
    <t>AZCO</t>
  </si>
  <si>
    <t>TKRG</t>
  </si>
  <si>
    <t>Coastal Home care</t>
  </si>
  <si>
    <t>Technical Safety Services</t>
  </si>
  <si>
    <t>Calloway Labs</t>
  </si>
  <si>
    <t>The Richards Groups</t>
  </si>
  <si>
    <t>Crane Engineering</t>
  </si>
  <si>
    <t>Kedrion</t>
  </si>
  <si>
    <t>Ibex Clothing</t>
  </si>
  <si>
    <t>Securematics</t>
  </si>
  <si>
    <t>First Choice Transport</t>
  </si>
  <si>
    <t>Ankle &amp; Foot Center of 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</si>
</sst>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sz val="9"/>
      <color rgb="FF000000"/>
      <name val="Arial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</font>
    <font>
      <b/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250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0" fontId="2" fillId="2" borderId="2" xfId="0" applyFont="1" applyFill="1" applyBorder="1" applyAlignment="1">
      <alignment horizontal="center" vertical="center"/>
    </xf>
    <xf numFmtId="0" fontId="3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4" fontId="4" fillId="5" borderId="4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14" fontId="4" fillId="0" borderId="4" xfId="0" applyNumberFormat="1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vertical="center"/>
    </xf>
    <xf numFmtId="0" fontId="0" fillId="0" borderId="9" xfId="0" pivotButton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10" borderId="3" xfId="0" applyFont="1" applyFill="1" applyBorder="1" applyAlignment="1">
      <alignment horizontal="center" vertical="center"/>
    </xf>
    <xf numFmtId="14" fontId="4" fillId="10" borderId="4" xfId="0" applyNumberFormat="1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14" fontId="7" fillId="10" borderId="4" xfId="0" applyNumberFormat="1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10" borderId="4" xfId="0" applyFont="1" applyFill="1" applyBorder="1" applyAlignment="1">
      <alignment horizontal="left" vertical="center"/>
    </xf>
    <xf numFmtId="0" fontId="7" fillId="10" borderId="4" xfId="0" applyFont="1" applyFill="1" applyBorder="1" applyAlignment="1">
      <alignment horizontal="left" vertical="center"/>
    </xf>
    <xf numFmtId="14" fontId="7" fillId="10" borderId="4" xfId="0" applyNumberFormat="1" applyFont="1" applyFill="1" applyBorder="1" applyAlignment="1">
      <alignment horizontal="left" vertical="center"/>
    </xf>
    <xf numFmtId="14" fontId="4" fillId="10" borderId="4" xfId="0" applyNumberFormat="1" applyFont="1" applyFill="1" applyBorder="1" applyAlignment="1">
      <alignment horizontal="left" vertical="center"/>
    </xf>
    <xf numFmtId="0" fontId="4" fillId="10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7" fillId="10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8" borderId="9" xfId="0" applyFont="1" applyFill="1" applyBorder="1"/>
    <xf numFmtId="0" fontId="6" fillId="6" borderId="9" xfId="0" applyFont="1" applyFill="1" applyBorder="1"/>
    <xf numFmtId="0" fontId="6" fillId="9" borderId="9" xfId="0" applyFont="1" applyFill="1" applyBorder="1"/>
    <xf numFmtId="0" fontId="8" fillId="0" borderId="9" xfId="0" applyFont="1" applyBorder="1" applyAlignment="1">
      <alignment horizontal="left" vertical="center"/>
    </xf>
    <xf numFmtId="0" fontId="6" fillId="0" borderId="0" xfId="0" applyFont="1"/>
    <xf numFmtId="0" fontId="6" fillId="0" borderId="9" xfId="0" applyFont="1" applyBorder="1"/>
    <xf numFmtId="0" fontId="6" fillId="8" borderId="9" xfId="0" applyFont="1" applyFill="1" applyBorder="1" applyAlignment="1">
      <alignment horizontal="center"/>
    </xf>
    <xf numFmtId="0" fontId="1" fillId="0" borderId="0" xfId="0" applyFont="1"/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14" fontId="4" fillId="0" borderId="11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center" vertical="center"/>
    </xf>
    <xf numFmtId="0" fontId="4" fillId="12" borderId="4" xfId="0" applyFont="1" applyFill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9" xfId="0" applyBorder="1"/>
    <xf numFmtId="14" fontId="4" fillId="0" borderId="0" xfId="0" applyNumberFormat="1" applyFont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11" borderId="9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14" fontId="4" fillId="0" borderId="4" xfId="0" applyNumberFormat="1" applyFont="1" applyBorder="1" applyAlignment="1">
      <alignment horizontal="left" vertical="center" wrapText="1"/>
    </xf>
    <xf numFmtId="14" fontId="4" fillId="0" borderId="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4" fontId="4" fillId="0" borderId="17" xfId="0" applyNumberFormat="1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4" fontId="4" fillId="0" borderId="15" xfId="0" applyNumberFormat="1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14" fontId="4" fillId="0" borderId="21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vertical="center"/>
    </xf>
    <xf numFmtId="14" fontId="4" fillId="0" borderId="27" xfId="0" applyNumberFormat="1" applyFont="1" applyBorder="1" applyAlignment="1">
      <alignment horizontal="center" vertical="center"/>
    </xf>
    <xf numFmtId="0" fontId="3" fillId="3" borderId="28" xfId="0" applyFont="1" applyFill="1" applyBorder="1" applyAlignment="1">
      <alignment horizontal="center"/>
    </xf>
    <xf numFmtId="14" fontId="4" fillId="0" borderId="29" xfId="0" applyNumberFormat="1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5" fillId="7" borderId="30" xfId="0" applyFont="1" applyFill="1" applyBorder="1" applyAlignment="1">
      <alignment horizontal="center"/>
    </xf>
    <xf numFmtId="0" fontId="5" fillId="7" borderId="31" xfId="0" applyFont="1" applyFill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7" fillId="0" borderId="36" xfId="0" applyFont="1" applyBorder="1" applyAlignment="1">
      <alignment horizontal="center" vertical="center"/>
    </xf>
    <xf numFmtId="14" fontId="4" fillId="0" borderId="20" xfId="0" applyNumberFormat="1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14" fontId="4" fillId="0" borderId="35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42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14" fontId="4" fillId="0" borderId="39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" fillId="0" borderId="49" xfId="0" applyFont="1" applyBorder="1" applyAlignment="1">
      <alignment horizontal="center" vertical="center"/>
    </xf>
    <xf numFmtId="0" fontId="5" fillId="7" borderId="33" xfId="0" applyFont="1" applyFill="1" applyBorder="1" applyAlignment="1">
      <alignment horizontal="center"/>
    </xf>
    <xf numFmtId="0" fontId="4" fillId="0" borderId="15" xfId="0" applyFont="1" applyBorder="1" applyAlignment="1">
      <alignment vertical="center"/>
    </xf>
    <xf numFmtId="14" fontId="10" fillId="0" borderId="26" xfId="0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4" fillId="0" borderId="33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44" xfId="0" applyFont="1" applyBorder="1" applyAlignment="1">
      <alignment vertical="center"/>
    </xf>
    <xf numFmtId="14" fontId="13" fillId="0" borderId="39" xfId="0" applyNumberFormat="1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14" fillId="0" borderId="25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14" fontId="13" fillId="0" borderId="7" xfId="0" applyNumberFormat="1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14" fontId="13" fillId="0" borderId="21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6" xfId="0" applyFont="1" applyBorder="1" applyAlignment="1">
      <alignment vertical="center"/>
    </xf>
    <xf numFmtId="0" fontId="13" fillId="0" borderId="15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4" xfId="0" applyFont="1" applyBorder="1" applyAlignment="1">
      <alignment vertical="center"/>
    </xf>
    <xf numFmtId="14" fontId="13" fillId="0" borderId="0" xfId="0" applyNumberFormat="1" applyFont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14" fontId="13" fillId="0" borderId="44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indent="1"/>
    </xf>
    <xf numFmtId="0" fontId="12" fillId="0" borderId="44" xfId="0" applyFont="1" applyBorder="1" applyAlignment="1">
      <alignment vertical="center"/>
    </xf>
    <xf numFmtId="0" fontId="12" fillId="0" borderId="34" xfId="0" applyFont="1" applyBorder="1" applyAlignment="1">
      <alignment vertical="center"/>
    </xf>
    <xf numFmtId="0" fontId="11" fillId="3" borderId="51" xfId="0" applyFont="1" applyFill="1" applyBorder="1" applyAlignment="1">
      <alignment horizontal="center"/>
    </xf>
    <xf numFmtId="0" fontId="13" fillId="10" borderId="44" xfId="0" applyFont="1" applyFill="1" applyBorder="1" applyAlignment="1">
      <alignment vertical="center"/>
    </xf>
    <xf numFmtId="0" fontId="16" fillId="3" borderId="51" xfId="0" applyFont="1" applyFill="1" applyBorder="1" applyAlignment="1">
      <alignment horizontal="center"/>
    </xf>
    <xf numFmtId="0" fontId="13" fillId="0" borderId="43" xfId="0" applyFont="1" applyBorder="1" applyAlignment="1">
      <alignment vertical="center"/>
    </xf>
    <xf numFmtId="0" fontId="13" fillId="0" borderId="33" xfId="0" applyFont="1" applyBorder="1" applyAlignment="1">
      <alignment vertical="center"/>
    </xf>
    <xf numFmtId="14" fontId="13" fillId="0" borderId="50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/>
    </xf>
    <xf numFmtId="0" fontId="16" fillId="7" borderId="33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34" xfId="0" applyFont="1" applyBorder="1" applyAlignment="1">
      <alignment vertical="center"/>
    </xf>
    <xf numFmtId="14" fontId="15" fillId="0" borderId="34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4" fillId="0" borderId="34" xfId="0" applyFont="1" applyBorder="1" applyAlignment="1">
      <alignment vertical="center"/>
    </xf>
    <xf numFmtId="0" fontId="4" fillId="0" borderId="5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vertical="center"/>
    </xf>
    <xf numFmtId="14" fontId="4" fillId="0" borderId="34" xfId="0" applyNumberFormat="1" applyFont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14" fontId="4" fillId="0" borderId="43" xfId="0" applyNumberFormat="1" applyFont="1" applyBorder="1" applyAlignment="1">
      <alignment horizontal="center" vertical="center"/>
    </xf>
    <xf numFmtId="14" fontId="4" fillId="0" borderId="33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3" borderId="55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7" fillId="0" borderId="2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4" fillId="0" borderId="39" xfId="0" applyFont="1" applyBorder="1" applyAlignment="1">
      <alignment vertical="center"/>
    </xf>
    <xf numFmtId="0" fontId="4" fillId="0" borderId="40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14" fontId="4" fillId="0" borderId="58" xfId="0" applyNumberFormat="1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5" fillId="4" borderId="34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16" fillId="4" borderId="34" xfId="0" applyFont="1" applyFill="1" applyBorder="1" applyAlignment="1">
      <alignment horizontal="center" vertical="center"/>
    </xf>
    <xf numFmtId="0" fontId="16" fillId="4" borderId="35" xfId="0" applyFont="1" applyFill="1" applyBorder="1" applyAlignment="1">
      <alignment horizontal="center" vertical="center"/>
    </xf>
    <xf numFmtId="0" fontId="16" fillId="4" borderId="40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 wrapText="1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horizontal="left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ilpa P" id="{D7CF4287-09E8-4442-B75F-2CCDBBDC8CCB}" userId="S::P.Shilpa@workforcejunction.com::99a5794e-6cd9-4545-8114-d8866699ea8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336.166445833333" createdVersion="6" refreshedVersion="7" minRefreshableVersion="3" recordCount="62" xr:uid="{00000000-000A-0000-FFFF-FFFF00000000}">
  <cacheSource type="worksheet">
    <worksheetSource ref="A1:B67" sheet="Client List"/>
  </cacheSource>
  <cacheFields count="2">
    <cacheField name="Active Clients on BenJ" numFmtId="0">
      <sharedItems containsBlank="1" count="4">
        <s v="Number of Active Clients"/>
        <s v="Number of EMS Clients"/>
        <m u="1"/>
        <s v="Client not Active on BenJ" u="1"/>
      </sharedItems>
    </cacheField>
    <cacheField name="Client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x v="0"/>
    <s v="1910 Legacy Enterprises Inc."/>
  </r>
  <r>
    <x v="0"/>
    <s v="Acme Truck Line Inc"/>
  </r>
  <r>
    <x v="0"/>
    <s v="Ahern"/>
  </r>
  <r>
    <x v="0"/>
    <s v="Armstrong Technology Inc"/>
  </r>
  <r>
    <x v="0"/>
    <s v="Avante Auto Group"/>
  </r>
  <r>
    <x v="0"/>
    <s v="Barnum and Celillo Electric Inc"/>
  </r>
  <r>
    <x v="0"/>
    <s v="Bellavance Trucking Inc"/>
  </r>
  <r>
    <x v="0"/>
    <s v="C. Mondavi and Family"/>
  </r>
  <r>
    <x v="0"/>
    <s v="Creative Hospice Care Inc. dba Homestead Hospice"/>
  </r>
  <r>
    <x v="0"/>
    <s v="Custom-Pak"/>
  </r>
  <r>
    <x v="0"/>
    <s v="Deerfield Management"/>
  </r>
  <r>
    <x v="0"/>
    <s v="Delta Electronics (USA) Inc."/>
  </r>
  <r>
    <x v="0"/>
    <s v="Enertia Software"/>
  </r>
  <r>
    <x v="0"/>
    <s v="Fiore and Sons Inc."/>
  </r>
  <r>
    <x v="0"/>
    <s v="Gilbert May dba Phillips May Corporation"/>
  </r>
  <r>
    <x v="0"/>
    <s v="Glo-USA Inc"/>
  </r>
  <r>
    <x v="0"/>
    <s v="Hammer Williams Company"/>
  </r>
  <r>
    <x v="0"/>
    <s v="Healthcare of Iowa"/>
  </r>
  <r>
    <x v="0"/>
    <s v="IBM India Pvt Ltd"/>
  </r>
  <r>
    <x v="0"/>
    <s v="Involta LLC"/>
  </r>
  <r>
    <x v="0"/>
    <s v="Iowa City Community School District"/>
  </r>
  <r>
    <x v="0"/>
    <s v="Johnson Real Estate Investors LLC"/>
  </r>
  <r>
    <x v="0"/>
    <s v="Juneau Construction Company LLC"/>
  </r>
  <r>
    <x v="0"/>
    <s v="LimoLink Inc"/>
  </r>
  <r>
    <x v="0"/>
    <s v="M.O.Dion and Sons Inc"/>
  </r>
  <r>
    <x v="0"/>
    <s v="RECON"/>
  </r>
  <r>
    <x v="0"/>
    <s v="Stellar Industries Inc"/>
  </r>
  <r>
    <x v="0"/>
    <s v="The Center for Cancer and Blood Disorders"/>
  </r>
  <r>
    <x v="0"/>
    <s v="The City of Hermosa Beach"/>
  </r>
  <r>
    <x v="0"/>
    <s v="Upfield US Inc."/>
  </r>
  <r>
    <x v="0"/>
    <s v="Western Precooling Systems Inc"/>
  </r>
  <r>
    <x v="0"/>
    <s v="Woodstock Furniture Outlet LLC"/>
  </r>
  <r>
    <x v="0"/>
    <s v="World Class Industries Inc"/>
  </r>
  <r>
    <x v="0"/>
    <s v="Worldwide Equipment Enterprises"/>
  </r>
  <r>
    <x v="0"/>
    <s v="EOS Fitness"/>
  </r>
  <r>
    <x v="0"/>
    <s v="Wesleyan School .Inc"/>
  </r>
  <r>
    <x v="0"/>
    <s v="Pak-Lite Inc"/>
  </r>
  <r>
    <x v="0"/>
    <s v="Point of Rental"/>
  </r>
  <r>
    <x v="0"/>
    <s v="O'Rourke Sales Company"/>
  </r>
  <r>
    <x v="0"/>
    <s v="Brightmark"/>
  </r>
  <r>
    <x v="0"/>
    <s v="Hilldrup"/>
  </r>
  <r>
    <x v="0"/>
    <s v="Axiscades"/>
  </r>
  <r>
    <x v="0"/>
    <s v="City of Clive"/>
  </r>
  <r>
    <x v="0"/>
    <s v="HealthCare Access Maryland Inc"/>
  </r>
  <r>
    <x v="1"/>
    <s v="1910 Legacy Enterprises Inc."/>
  </r>
  <r>
    <x v="1"/>
    <s v="Armstrong Technology Inc"/>
  </r>
  <r>
    <x v="1"/>
    <s v="Avante Auto Group"/>
  </r>
  <r>
    <x v="1"/>
    <s v="Barnum and Celillo Electric Inc"/>
  </r>
  <r>
    <x v="1"/>
    <s v="Custom-Pak"/>
  </r>
  <r>
    <x v="1"/>
    <s v="Enertia Software"/>
  </r>
  <r>
    <x v="1"/>
    <s v="Fiore and Sons Inc."/>
  </r>
  <r>
    <x v="1"/>
    <s v="Iowa City Community School District"/>
  </r>
  <r>
    <x v="1"/>
    <s v="M.O.Dion and Sons Inc"/>
  </r>
  <r>
    <x v="1"/>
    <s v="O'Rourke Sales "/>
  </r>
  <r>
    <x v="1"/>
    <s v="RECON"/>
  </r>
  <r>
    <x v="1"/>
    <s v="Securematics Inc"/>
  </r>
  <r>
    <x v="1"/>
    <s v="The City of Hermosa Beach"/>
  </r>
  <r>
    <x v="1"/>
    <s v="Western Precooling Systems Inc"/>
  </r>
  <r>
    <x v="1"/>
    <s v="Worldwide Equipment Enterprises"/>
  </r>
  <r>
    <x v="1"/>
    <s v="Juneau Construction Company LLC"/>
  </r>
  <r>
    <x v="1"/>
    <s v="Creative Management Technology Inc"/>
  </r>
  <r>
    <x v="1"/>
    <s v="Woodstock Furniture Outlet LL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5DCE9-BE19-4D3D-BF54-466593656903}" name="PivotTable7" cacheId="5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 rowHeaderCaption="">
  <location ref="B19:C22" firstHeaderRow="1" firstDataRow="1" firstDataCol="1"/>
  <pivotFields count="2">
    <pivotField axis="axisRow" dataField="1" showAll="0">
      <items count="5">
        <item x="0"/>
        <item x="1"/>
        <item m="1" x="3"/>
        <item m="1" x="2"/>
        <item t="default"/>
      </items>
    </pivotField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" fld="0" subtotal="count" baseField="0" baseItem="0"/>
  </dataFields>
  <formats count="40">
    <format dxfId="16">
      <pivotArea grandRow="1" outline="0" collapsedLevelsAreSubtotals="1" fieldPosition="0"/>
    </format>
    <format dxfId="17">
      <pivotArea dataOnly="0" labelOnly="1" grandRow="1" outline="0" fieldPosition="0"/>
    </format>
    <format dxfId="18">
      <pivotArea collapsedLevelsAreSubtotals="1" fieldPosition="0">
        <references count="1">
          <reference field="0" count="3">
            <x v="0"/>
            <x v="1"/>
            <x v="2"/>
          </reference>
        </references>
      </pivotArea>
    </format>
    <format dxfId="19">
      <pivotArea field="0" type="button" dataOnly="0" labelOnly="1" outline="0" axis="axisRow" fieldPosition="0"/>
    </format>
    <format dxfId="20">
      <pivotArea dataOnly="0" labelOnly="1" outline="0" axis="axisValues" fieldPosition="0"/>
    </format>
    <format dxfId="21">
      <pivotArea dataOnly="0" labelOnly="1" fieldPosition="0">
        <references count="1">
          <reference field="0" count="3">
            <x v="0"/>
            <x v="1"/>
            <x v="2"/>
          </reference>
        </references>
      </pivotArea>
    </format>
    <format dxfId="22">
      <pivotArea dataOnly="0" labelOnly="1" outline="0" axis="axisValues" fieldPosition="0"/>
    </format>
    <format dxfId="23">
      <pivotArea collapsedLevelsAreSubtotals="1" fieldPosition="0">
        <references count="1">
          <reference field="0" count="3">
            <x v="0"/>
            <x v="1"/>
            <x v="2"/>
          </reference>
        </references>
      </pivotArea>
    </format>
    <format dxfId="24">
      <pivotArea field="0" type="button" dataOnly="0" labelOnly="1" outline="0" axis="axisRow" fieldPosition="0"/>
    </format>
    <format dxfId="25">
      <pivotArea dataOnly="0" labelOnly="1" outline="0" axis="axisValues" fieldPosition="0"/>
    </format>
    <format dxfId="26">
      <pivotArea dataOnly="0" labelOnly="1" fieldPosition="0">
        <references count="1">
          <reference field="0" count="3">
            <x v="0"/>
            <x v="1"/>
            <x v="2"/>
          </reference>
        </references>
      </pivotArea>
    </format>
    <format dxfId="27">
      <pivotArea dataOnly="0" labelOnly="1" outline="0" axis="axisValues" fieldPosition="0"/>
    </format>
    <format dxfId="28">
      <pivotArea collapsedLevelsAreSubtotals="1" fieldPosition="0">
        <references count="1">
          <reference field="0" count="3">
            <x v="0"/>
            <x v="1"/>
            <x v="2"/>
          </reference>
        </references>
      </pivotArea>
    </format>
    <format dxfId="29">
      <pivotArea field="0" type="button" dataOnly="0" labelOnly="1" outline="0" axis="axisRow" fieldPosition="0"/>
    </format>
    <format dxfId="30">
      <pivotArea dataOnly="0" labelOnly="1" outline="0" axis="axisValues" fieldPosition="0"/>
    </format>
    <format dxfId="31">
      <pivotArea dataOnly="0" labelOnly="1" fieldPosition="0">
        <references count="1">
          <reference field="0" count="3">
            <x v="0"/>
            <x v="1"/>
            <x v="2"/>
          </reference>
        </references>
      </pivotArea>
    </format>
    <format dxfId="32">
      <pivotArea dataOnly="0" labelOnly="1" outline="0" axis="axisValues" fieldPosition="0"/>
    </format>
    <format dxfId="33">
      <pivotArea type="all" dataOnly="0" outline="0" fieldPosition="0"/>
    </format>
    <format dxfId="34">
      <pivotArea outline="0" collapsedLevelsAreSubtotals="1" fieldPosition="0"/>
    </format>
    <format dxfId="35">
      <pivotArea field="0" type="button" dataOnly="0" labelOnly="1" outline="0" axis="axisRow" fieldPosition="0"/>
    </format>
    <format dxfId="36">
      <pivotArea dataOnly="0" labelOnly="1" outline="0" axis="axisValues" fieldPosition="0"/>
    </format>
    <format dxfId="37">
      <pivotArea dataOnly="0" labelOnly="1" fieldPosition="0">
        <references count="1">
          <reference field="0" count="0"/>
        </references>
      </pivotArea>
    </format>
    <format dxfId="38">
      <pivotArea dataOnly="0" labelOnly="1" grandRow="1" outline="0" fieldPosition="0"/>
    </format>
    <format dxfId="39">
      <pivotArea dataOnly="0" labelOnly="1" outline="0" axis="axisValues" fieldPosition="0"/>
    </format>
    <format dxfId="40">
      <pivotArea type="all" dataOnly="0" outline="0" fieldPosition="0"/>
    </format>
    <format dxfId="41">
      <pivotArea outline="0" collapsedLevelsAreSubtotals="1" fieldPosition="0"/>
    </format>
    <format dxfId="42">
      <pivotArea field="0" type="button" dataOnly="0" labelOnly="1" outline="0" axis="axisRow" fieldPosition="0"/>
    </format>
    <format dxfId="43">
      <pivotArea dataOnly="0" labelOnly="1" outline="0" axis="axisValues" fieldPosition="0"/>
    </format>
    <format dxfId="44">
      <pivotArea dataOnly="0" labelOnly="1" fieldPosition="0">
        <references count="1">
          <reference field="0" count="0"/>
        </references>
      </pivotArea>
    </format>
    <format dxfId="45">
      <pivotArea dataOnly="0" labelOnly="1" grandRow="1" outline="0" fieldPosition="0"/>
    </format>
    <format dxfId="46">
      <pivotArea dataOnly="0" labelOnly="1" outline="0" axis="axisValues" fieldPosition="0"/>
    </format>
    <format dxfId="47">
      <pivotArea collapsedLevelsAreSubtotals="1" fieldPosition="0">
        <references count="1">
          <reference field="0" count="3">
            <x v="0"/>
            <x v="1"/>
            <x v="2"/>
          </reference>
        </references>
      </pivotArea>
    </format>
    <format dxfId="48">
      <pivotArea dataOnly="0" labelOnly="1" fieldPosition="0">
        <references count="1">
          <reference field="0" count="3">
            <x v="0"/>
            <x v="1"/>
            <x v="2"/>
          </reference>
        </references>
      </pivotArea>
    </format>
    <format dxfId="49">
      <pivotArea collapsedLevelsAreSubtotals="1" fieldPosition="0">
        <references count="1">
          <reference field="0" count="3">
            <x v="0"/>
            <x v="1"/>
            <x v="2"/>
          </reference>
        </references>
      </pivotArea>
    </format>
    <format dxfId="50">
      <pivotArea field="0" type="button" dataOnly="0" labelOnly="1" outline="0" axis="axisRow" fieldPosition="0"/>
    </format>
    <format dxfId="51">
      <pivotArea dataOnly="0" labelOnly="1" outline="0" axis="axisValues" fieldPosition="0"/>
    </format>
    <format dxfId="52">
      <pivotArea dataOnly="0" labelOnly="1" fieldPosition="0">
        <references count="1">
          <reference field="0" count="3">
            <x v="0"/>
            <x v="1"/>
            <x v="2"/>
          </reference>
        </references>
      </pivotArea>
    </format>
    <format dxfId="53">
      <pivotArea dataOnly="0" labelOnly="1" outline="0" axis="axisValues" fieldPosition="0"/>
    </format>
    <format dxfId="54">
      <pivotArea dataOnly="0" labelOnly="1" fieldPosition="0">
        <references count="1">
          <reference field="0" count="3">
            <x v="0"/>
            <x v="1"/>
            <x v="2"/>
          </reference>
        </references>
      </pivotArea>
    </format>
    <format dxfId="55">
      <pivotArea dataOnly="0" labelOnly="1" fieldPosition="0">
        <references count="1">
          <reference field="0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" dT="2026-07-01T10:36:39.19" personId="{D7CF4287-09E8-4442-B75F-2CCDBBDC8CCB}" id="{4748FAC2-D28F-4A99-867D-9967E63F5ED9}">
    <text>Client went live only with NAMCO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D69"/>
  <sheetViews>
    <sheetView workbookViewId="0">
      <pane xSplit="1" ySplit="1" topLeftCell="B2" activePane="bottomRight" state="frozen"/>
      <selection pane="bottomRight" activeCell="A25" sqref="A25"/>
      <selection pane="bottomLeft" activeCell="A2" sqref="A2"/>
      <selection pane="topRight" activeCell="B1" sqref="B1"/>
    </sheetView>
  </sheetViews>
  <sheetFormatPr defaultRowHeight="14.45"/>
  <cols>
    <col min="1" max="1" width="22.140625" style="54" bestFit="1" customWidth="1"/>
    <col min="2" max="2" width="38" style="54" bestFit="1" customWidth="1"/>
    <col min="3" max="3" width="28.7109375" style="62" bestFit="1" customWidth="1"/>
    <col min="4" max="4" width="32.7109375" style="62" bestFit="1" customWidth="1"/>
  </cols>
  <sheetData>
    <row r="1" spans="1:4">
      <c r="A1" s="50" t="s">
        <v>0</v>
      </c>
      <c r="B1" s="50" t="s">
        <v>1</v>
      </c>
      <c r="C1" s="56" t="s">
        <v>2</v>
      </c>
      <c r="D1" s="56" t="s">
        <v>3</v>
      </c>
    </row>
    <row r="2" spans="1:4">
      <c r="A2" s="51" t="s">
        <v>4</v>
      </c>
      <c r="B2" s="26" t="s">
        <v>5</v>
      </c>
      <c r="C2" s="61">
        <v>71</v>
      </c>
      <c r="D2" s="61">
        <v>0</v>
      </c>
    </row>
    <row r="3" spans="1:4">
      <c r="A3" s="51" t="s">
        <v>4</v>
      </c>
      <c r="B3" s="26" t="s">
        <v>6</v>
      </c>
      <c r="C3" s="61">
        <v>1699</v>
      </c>
      <c r="D3" s="61">
        <v>1</v>
      </c>
    </row>
    <row r="4" spans="1:4">
      <c r="A4" s="51" t="s">
        <v>4</v>
      </c>
      <c r="B4" s="28" t="s">
        <v>7</v>
      </c>
      <c r="C4" s="61">
        <v>648</v>
      </c>
      <c r="D4" s="61">
        <v>0</v>
      </c>
    </row>
    <row r="5" spans="1:4">
      <c r="A5" s="51" t="s">
        <v>4</v>
      </c>
      <c r="B5" s="26" t="s">
        <v>8</v>
      </c>
      <c r="C5" s="61">
        <v>129</v>
      </c>
      <c r="D5" s="61">
        <v>2</v>
      </c>
    </row>
    <row r="6" spans="1:4">
      <c r="A6" s="51" t="s">
        <v>4</v>
      </c>
      <c r="B6" s="26" t="s">
        <v>9</v>
      </c>
      <c r="C6" s="61">
        <v>151</v>
      </c>
      <c r="D6" s="61">
        <v>8</v>
      </c>
    </row>
    <row r="7" spans="1:4">
      <c r="A7" s="51" t="s">
        <v>4</v>
      </c>
      <c r="B7" s="26" t="s">
        <v>10</v>
      </c>
      <c r="C7" s="61">
        <v>223</v>
      </c>
      <c r="D7" s="61">
        <v>0</v>
      </c>
    </row>
    <row r="8" spans="1:4">
      <c r="A8" s="51" t="s">
        <v>4</v>
      </c>
      <c r="B8" s="26" t="s">
        <v>11</v>
      </c>
      <c r="C8" s="61">
        <v>157</v>
      </c>
      <c r="D8" s="61">
        <v>3</v>
      </c>
    </row>
    <row r="9" spans="1:4">
      <c r="A9" s="51" t="s">
        <v>4</v>
      </c>
      <c r="B9" s="26" t="s">
        <v>12</v>
      </c>
      <c r="C9" s="61">
        <v>112</v>
      </c>
      <c r="D9" s="61">
        <v>0</v>
      </c>
    </row>
    <row r="10" spans="1:4" ht="26.45">
      <c r="A10" s="51" t="s">
        <v>4</v>
      </c>
      <c r="B10" s="27" t="s">
        <v>13</v>
      </c>
      <c r="C10" s="61">
        <v>577</v>
      </c>
      <c r="D10" s="61">
        <v>0</v>
      </c>
    </row>
    <row r="11" spans="1:4">
      <c r="A11" s="51" t="s">
        <v>4</v>
      </c>
      <c r="B11" s="28" t="s">
        <v>14</v>
      </c>
      <c r="C11" s="61">
        <v>779</v>
      </c>
      <c r="D11" s="61">
        <v>0</v>
      </c>
    </row>
    <row r="12" spans="1:4">
      <c r="A12" s="51" t="s">
        <v>4</v>
      </c>
      <c r="B12" s="26" t="s">
        <v>15</v>
      </c>
      <c r="C12" s="61">
        <v>135</v>
      </c>
      <c r="D12" s="61">
        <v>0</v>
      </c>
    </row>
    <row r="13" spans="1:4">
      <c r="A13" s="51" t="s">
        <v>4</v>
      </c>
      <c r="B13" s="72" t="s">
        <v>16</v>
      </c>
      <c r="C13" s="61">
        <v>144</v>
      </c>
      <c r="D13" s="61">
        <v>0</v>
      </c>
    </row>
    <row r="14" spans="1:4">
      <c r="A14" s="51" t="s">
        <v>4</v>
      </c>
      <c r="B14" s="26" t="s">
        <v>17</v>
      </c>
      <c r="C14" s="61">
        <v>79</v>
      </c>
      <c r="D14" s="61">
        <v>0</v>
      </c>
    </row>
    <row r="15" spans="1:4">
      <c r="A15" s="51" t="s">
        <v>4</v>
      </c>
      <c r="B15" s="26" t="s">
        <v>18</v>
      </c>
      <c r="C15" s="61">
        <v>287</v>
      </c>
      <c r="D15" s="61">
        <v>1</v>
      </c>
    </row>
    <row r="16" spans="1:4">
      <c r="A16" s="51" t="s">
        <v>4</v>
      </c>
      <c r="B16" s="26" t="s">
        <v>19</v>
      </c>
      <c r="C16" s="61">
        <v>95</v>
      </c>
      <c r="D16" s="61">
        <v>2</v>
      </c>
    </row>
    <row r="17" spans="1:4">
      <c r="A17" s="51" t="s">
        <v>4</v>
      </c>
      <c r="B17" s="26" t="s">
        <v>20</v>
      </c>
      <c r="C17" s="61">
        <v>38</v>
      </c>
      <c r="D17" s="61">
        <v>0</v>
      </c>
    </row>
    <row r="18" spans="1:4">
      <c r="A18" s="51" t="s">
        <v>4</v>
      </c>
      <c r="B18" s="26" t="s">
        <v>21</v>
      </c>
      <c r="C18" s="61">
        <v>172</v>
      </c>
      <c r="D18" s="61">
        <v>10</v>
      </c>
    </row>
    <row r="19" spans="1:4">
      <c r="A19" s="51" t="s">
        <v>4</v>
      </c>
      <c r="B19" s="26" t="s">
        <v>22</v>
      </c>
      <c r="C19" s="61">
        <v>796</v>
      </c>
      <c r="D19" s="61">
        <v>63</v>
      </c>
    </row>
    <row r="20" spans="1:4">
      <c r="A20" s="51" t="s">
        <v>4</v>
      </c>
      <c r="B20" s="26" t="s">
        <v>23</v>
      </c>
      <c r="C20" s="61">
        <v>2225</v>
      </c>
      <c r="D20" s="61">
        <v>132</v>
      </c>
    </row>
    <row r="21" spans="1:4">
      <c r="A21" s="51" t="s">
        <v>4</v>
      </c>
      <c r="B21" s="26" t="s">
        <v>24</v>
      </c>
      <c r="C21" s="61">
        <v>244</v>
      </c>
      <c r="D21" s="61">
        <v>0</v>
      </c>
    </row>
    <row r="22" spans="1:4">
      <c r="A22" s="51" t="s">
        <v>4</v>
      </c>
      <c r="B22" s="26" t="s">
        <v>25</v>
      </c>
      <c r="C22" s="61">
        <v>2190</v>
      </c>
      <c r="D22" s="61">
        <v>0</v>
      </c>
    </row>
    <row r="23" spans="1:4">
      <c r="A23" s="51" t="s">
        <v>4</v>
      </c>
      <c r="B23" s="27" t="s">
        <v>26</v>
      </c>
      <c r="C23" s="61">
        <v>789</v>
      </c>
      <c r="D23" s="61">
        <v>1</v>
      </c>
    </row>
    <row r="24" spans="1:4">
      <c r="A24" s="51" t="s">
        <v>4</v>
      </c>
      <c r="B24" s="26" t="s">
        <v>27</v>
      </c>
      <c r="C24" s="61">
        <v>149</v>
      </c>
      <c r="D24" s="61">
        <v>0</v>
      </c>
    </row>
    <row r="25" spans="1:4">
      <c r="A25" s="51" t="s">
        <v>4</v>
      </c>
      <c r="B25" s="26" t="s">
        <v>28</v>
      </c>
      <c r="C25" s="61">
        <v>181</v>
      </c>
      <c r="D25" s="61">
        <v>0</v>
      </c>
    </row>
    <row r="26" spans="1:4">
      <c r="A26" s="51" t="s">
        <v>4</v>
      </c>
      <c r="B26" s="26" t="s">
        <v>29</v>
      </c>
      <c r="C26" s="61">
        <v>259</v>
      </c>
      <c r="D26" s="61">
        <v>1</v>
      </c>
    </row>
    <row r="27" spans="1:4">
      <c r="A27" s="51" t="s">
        <v>4</v>
      </c>
      <c r="B27" s="26" t="s">
        <v>30</v>
      </c>
      <c r="C27" s="61">
        <v>533</v>
      </c>
      <c r="D27" s="61">
        <v>1</v>
      </c>
    </row>
    <row r="28" spans="1:4">
      <c r="A28" s="51" t="s">
        <v>4</v>
      </c>
      <c r="B28" s="26" t="s">
        <v>31</v>
      </c>
      <c r="C28" s="61">
        <v>525</v>
      </c>
      <c r="D28" s="61">
        <v>3</v>
      </c>
    </row>
    <row r="29" spans="1:4">
      <c r="A29" s="51" t="s">
        <v>4</v>
      </c>
      <c r="B29" s="55" t="s">
        <v>32</v>
      </c>
      <c r="C29" s="61">
        <v>209</v>
      </c>
      <c r="D29" s="61">
        <v>0</v>
      </c>
    </row>
    <row r="30" spans="1:4">
      <c r="A30" s="51" t="s">
        <v>4</v>
      </c>
      <c r="B30" s="26" t="s">
        <v>33</v>
      </c>
      <c r="C30" s="61">
        <v>191</v>
      </c>
      <c r="D30" s="61">
        <v>0</v>
      </c>
    </row>
    <row r="31" spans="1:4">
      <c r="A31" s="51" t="s">
        <v>4</v>
      </c>
      <c r="B31" s="26" t="s">
        <v>34</v>
      </c>
      <c r="C31" s="61">
        <v>365</v>
      </c>
      <c r="D31" s="61">
        <v>0</v>
      </c>
    </row>
    <row r="32" spans="1:4">
      <c r="A32" s="51" t="s">
        <v>4</v>
      </c>
      <c r="B32" s="26" t="s">
        <v>35</v>
      </c>
      <c r="C32" s="61">
        <v>142</v>
      </c>
      <c r="D32" s="61">
        <v>4</v>
      </c>
    </row>
    <row r="33" spans="1:4">
      <c r="A33" s="51" t="s">
        <v>4</v>
      </c>
      <c r="B33" s="26" t="s">
        <v>36</v>
      </c>
      <c r="C33" s="61">
        <v>172</v>
      </c>
      <c r="D33" s="61">
        <v>0</v>
      </c>
    </row>
    <row r="34" spans="1:4">
      <c r="A34" s="51" t="s">
        <v>4</v>
      </c>
      <c r="B34" s="55" t="s">
        <v>37</v>
      </c>
      <c r="C34" s="61">
        <v>184</v>
      </c>
      <c r="D34" s="61">
        <v>2</v>
      </c>
    </row>
    <row r="35" spans="1:4">
      <c r="A35" s="51" t="s">
        <v>4</v>
      </c>
      <c r="B35" s="26" t="s">
        <v>38</v>
      </c>
      <c r="C35" s="61">
        <v>881</v>
      </c>
      <c r="D35" s="61">
        <v>43</v>
      </c>
    </row>
    <row r="36" spans="1:4">
      <c r="A36" s="51" t="s">
        <v>4</v>
      </c>
      <c r="B36" s="26" t="s">
        <v>39</v>
      </c>
      <c r="C36" s="61">
        <v>3824</v>
      </c>
      <c r="D36" s="61">
        <v>733</v>
      </c>
    </row>
    <row r="37" spans="1:4">
      <c r="A37" s="51" t="s">
        <v>4</v>
      </c>
      <c r="B37" s="26" t="s">
        <v>40</v>
      </c>
      <c r="C37" s="61">
        <v>239</v>
      </c>
      <c r="D37" s="61">
        <v>0</v>
      </c>
    </row>
    <row r="38" spans="1:4">
      <c r="A38" s="51" t="s">
        <v>4</v>
      </c>
      <c r="B38" s="26" t="s">
        <v>41</v>
      </c>
      <c r="C38" s="61">
        <v>191</v>
      </c>
      <c r="D38" s="61">
        <v>1</v>
      </c>
    </row>
    <row r="39" spans="1:4">
      <c r="A39" s="51" t="s">
        <v>4</v>
      </c>
      <c r="B39" s="26" t="s">
        <v>42</v>
      </c>
      <c r="C39" s="61">
        <v>126</v>
      </c>
      <c r="D39" s="61">
        <v>2</v>
      </c>
    </row>
    <row r="40" spans="1:4">
      <c r="A40" s="51" t="s">
        <v>4</v>
      </c>
      <c r="B40" s="26" t="s">
        <v>43</v>
      </c>
      <c r="C40" s="61">
        <v>120</v>
      </c>
      <c r="D40" s="61">
        <v>0</v>
      </c>
    </row>
    <row r="41" spans="1:4">
      <c r="A41" s="51" t="s">
        <v>4</v>
      </c>
      <c r="B41" s="26" t="s">
        <v>44</v>
      </c>
      <c r="C41" s="61">
        <v>105</v>
      </c>
      <c r="D41" s="61">
        <v>0</v>
      </c>
    </row>
    <row r="42" spans="1:4">
      <c r="A42" s="51" t="s">
        <v>4</v>
      </c>
      <c r="B42" s="26" t="s">
        <v>45</v>
      </c>
      <c r="C42" s="61"/>
      <c r="D42" s="61">
        <v>0</v>
      </c>
    </row>
    <row r="43" spans="1:4">
      <c r="A43" s="51" t="s">
        <v>4</v>
      </c>
      <c r="B43" s="26" t="s">
        <v>46</v>
      </c>
      <c r="C43" s="61">
        <v>133</v>
      </c>
      <c r="D43" s="61">
        <v>0</v>
      </c>
    </row>
    <row r="44" spans="1:4">
      <c r="A44" s="51" t="s">
        <v>4</v>
      </c>
      <c r="B44" s="26" t="s">
        <v>47</v>
      </c>
      <c r="C44" s="61">
        <v>141</v>
      </c>
      <c r="D44" s="61">
        <v>0</v>
      </c>
    </row>
    <row r="45" spans="1:4">
      <c r="A45" s="51" t="s">
        <v>4</v>
      </c>
      <c r="B45" s="26" t="s">
        <v>48</v>
      </c>
      <c r="C45" s="61">
        <v>228</v>
      </c>
      <c r="D45" s="61">
        <v>0</v>
      </c>
    </row>
    <row r="46" spans="1:4">
      <c r="A46" s="51" t="s">
        <v>4</v>
      </c>
      <c r="B46" s="26" t="s">
        <v>49</v>
      </c>
      <c r="C46" s="61">
        <v>499</v>
      </c>
      <c r="D46" s="61">
        <v>0</v>
      </c>
    </row>
    <row r="47" spans="1:4">
      <c r="A47" s="51" t="s">
        <v>4</v>
      </c>
      <c r="B47" s="26" t="s">
        <v>50</v>
      </c>
      <c r="C47" s="61">
        <v>4</v>
      </c>
      <c r="D47" s="61">
        <v>0</v>
      </c>
    </row>
    <row r="48" spans="1:4">
      <c r="A48" s="51" t="s">
        <v>4</v>
      </c>
      <c r="B48" s="26" t="s">
        <v>51</v>
      </c>
      <c r="C48" s="61">
        <v>718</v>
      </c>
      <c r="D48" s="61">
        <v>0</v>
      </c>
    </row>
    <row r="49" spans="1:4">
      <c r="A49" s="51" t="s">
        <v>4</v>
      </c>
      <c r="B49" s="26" t="s">
        <v>52</v>
      </c>
      <c r="C49" s="61">
        <v>260</v>
      </c>
      <c r="D49" s="61">
        <v>0</v>
      </c>
    </row>
    <row r="50" spans="1:4">
      <c r="A50" s="52" t="s">
        <v>53</v>
      </c>
      <c r="B50" s="26" t="s">
        <v>5</v>
      </c>
      <c r="C50" s="61">
        <v>71</v>
      </c>
      <c r="D50" s="61">
        <v>0</v>
      </c>
    </row>
    <row r="51" spans="1:4">
      <c r="A51" s="52" t="s">
        <v>53</v>
      </c>
      <c r="B51" s="26" t="s">
        <v>8</v>
      </c>
      <c r="C51" s="61">
        <v>129</v>
      </c>
      <c r="D51" s="61">
        <v>2</v>
      </c>
    </row>
    <row r="52" spans="1:4">
      <c r="A52" s="52" t="s">
        <v>53</v>
      </c>
      <c r="B52" s="26" t="s">
        <v>9</v>
      </c>
      <c r="C52" s="61">
        <v>151</v>
      </c>
      <c r="D52" s="61">
        <v>8</v>
      </c>
    </row>
    <row r="53" spans="1:4">
      <c r="A53" s="52" t="s">
        <v>53</v>
      </c>
      <c r="B53" s="26" t="s">
        <v>10</v>
      </c>
      <c r="C53" s="61">
        <v>223</v>
      </c>
      <c r="D53" s="61">
        <v>0</v>
      </c>
    </row>
    <row r="54" spans="1:4">
      <c r="A54" s="52" t="s">
        <v>53</v>
      </c>
      <c r="B54" s="28" t="s">
        <v>14</v>
      </c>
      <c r="C54" s="61">
        <v>779</v>
      </c>
      <c r="D54" s="61">
        <v>0</v>
      </c>
    </row>
    <row r="55" spans="1:4">
      <c r="A55" s="52" t="s">
        <v>53</v>
      </c>
      <c r="B55" s="26" t="s">
        <v>17</v>
      </c>
      <c r="C55" s="61">
        <v>79</v>
      </c>
      <c r="D55" s="61">
        <v>0</v>
      </c>
    </row>
    <row r="56" spans="1:4">
      <c r="A56" s="52" t="s">
        <v>53</v>
      </c>
      <c r="B56" s="26" t="s">
        <v>18</v>
      </c>
      <c r="C56" s="61">
        <v>287</v>
      </c>
      <c r="D56" s="61">
        <v>1</v>
      </c>
    </row>
    <row r="57" spans="1:4">
      <c r="A57" s="52" t="s">
        <v>53</v>
      </c>
      <c r="B57" s="26" t="s">
        <v>25</v>
      </c>
      <c r="C57" s="61">
        <v>2190</v>
      </c>
      <c r="D57" s="61">
        <v>0</v>
      </c>
    </row>
    <row r="58" spans="1:4">
      <c r="A58" s="52" t="s">
        <v>53</v>
      </c>
      <c r="B58" s="26" t="s">
        <v>29</v>
      </c>
      <c r="C58" s="61">
        <v>259</v>
      </c>
      <c r="D58" s="61">
        <v>1</v>
      </c>
    </row>
    <row r="59" spans="1:4">
      <c r="A59" s="52" t="s">
        <v>53</v>
      </c>
      <c r="B59" s="26" t="s">
        <v>54</v>
      </c>
      <c r="C59" s="61">
        <v>120</v>
      </c>
      <c r="D59" s="61">
        <v>0</v>
      </c>
    </row>
    <row r="60" spans="1:4">
      <c r="A60" s="52" t="s">
        <v>53</v>
      </c>
      <c r="B60" s="26" t="s">
        <v>30</v>
      </c>
      <c r="C60" s="61">
        <v>533</v>
      </c>
      <c r="D60" s="61">
        <v>1</v>
      </c>
    </row>
    <row r="61" spans="1:4">
      <c r="A61" s="52" t="s">
        <v>53</v>
      </c>
      <c r="B61" s="26" t="s">
        <v>55</v>
      </c>
      <c r="C61" s="61">
        <v>37</v>
      </c>
      <c r="D61" s="61">
        <v>0</v>
      </c>
    </row>
    <row r="62" spans="1:4">
      <c r="A62" s="52" t="s">
        <v>53</v>
      </c>
      <c r="B62" s="26" t="s">
        <v>33</v>
      </c>
      <c r="C62" s="61">
        <v>191</v>
      </c>
      <c r="D62" s="61">
        <v>0</v>
      </c>
    </row>
    <row r="63" spans="1:4">
      <c r="A63" s="52" t="s">
        <v>53</v>
      </c>
      <c r="B63" s="26" t="s">
        <v>35</v>
      </c>
      <c r="C63" s="61">
        <v>142</v>
      </c>
      <c r="D63" s="61">
        <v>4</v>
      </c>
    </row>
    <row r="64" spans="1:4">
      <c r="A64" s="52" t="s">
        <v>53</v>
      </c>
      <c r="B64" s="53" t="s">
        <v>38</v>
      </c>
      <c r="C64" s="61">
        <v>881</v>
      </c>
      <c r="D64" s="61">
        <v>43</v>
      </c>
    </row>
    <row r="65" spans="1:4">
      <c r="A65" s="52" t="s">
        <v>53</v>
      </c>
      <c r="B65" s="26" t="s">
        <v>27</v>
      </c>
      <c r="C65" s="61">
        <v>149</v>
      </c>
      <c r="D65" s="61">
        <v>0</v>
      </c>
    </row>
    <row r="66" spans="1:4">
      <c r="A66" s="52" t="s">
        <v>53</v>
      </c>
      <c r="B66" s="26" t="s">
        <v>56</v>
      </c>
      <c r="C66" s="61">
        <v>303</v>
      </c>
      <c r="D66" s="61">
        <v>1</v>
      </c>
    </row>
    <row r="67" spans="1:4">
      <c r="A67" s="52" t="s">
        <v>53</v>
      </c>
      <c r="B67" s="26" t="s">
        <v>36</v>
      </c>
      <c r="C67" s="61">
        <v>172</v>
      </c>
      <c r="D67" s="61">
        <v>0</v>
      </c>
    </row>
    <row r="68" spans="1:4">
      <c r="A68" s="52" t="s">
        <v>53</v>
      </c>
      <c r="B68" s="26" t="s">
        <v>45</v>
      </c>
      <c r="C68" s="61">
        <v>0</v>
      </c>
      <c r="D68" s="61">
        <v>0</v>
      </c>
    </row>
    <row r="69" spans="1:4">
      <c r="A69" s="52" t="s">
        <v>53</v>
      </c>
      <c r="B69" s="26" t="s">
        <v>44</v>
      </c>
      <c r="C69" s="61">
        <v>105</v>
      </c>
      <c r="D69" s="61">
        <v>0</v>
      </c>
    </row>
  </sheetData>
  <sortState xmlns:xlrd2="http://schemas.microsoft.com/office/spreadsheetml/2017/richdata2" ref="A3:D35">
    <sortCondition ref="B3:B35"/>
  </sortState>
  <conditionalFormatting sqref="B2">
    <cfRule type="duplicateValues" dxfId="15" priority="13"/>
  </conditionalFormatting>
  <conditionalFormatting sqref="B19">
    <cfRule type="duplicateValues" dxfId="14" priority="246"/>
  </conditionalFormatting>
  <conditionalFormatting sqref="B20:B49 B3:B18">
    <cfRule type="duplicateValues" dxfId="13" priority="322"/>
  </conditionalFormatting>
  <conditionalFormatting sqref="B50">
    <cfRule type="duplicateValues" dxfId="12" priority="12"/>
  </conditionalFormatting>
  <conditionalFormatting sqref="B57">
    <cfRule type="duplicateValues" dxfId="11" priority="44"/>
    <cfRule type="duplicateValues" dxfId="10" priority="45"/>
  </conditionalFormatting>
  <conditionalFormatting sqref="B58:B64 B51:B56">
    <cfRule type="duplicateValues" dxfId="9" priority="313"/>
  </conditionalFormatting>
  <conditionalFormatting sqref="B58:B64">
    <cfRule type="duplicateValues" dxfId="8" priority="316"/>
  </conditionalFormatting>
  <conditionalFormatting sqref="B65 B67">
    <cfRule type="duplicateValues" dxfId="7" priority="41"/>
  </conditionalFormatting>
  <conditionalFormatting sqref="B66">
    <cfRule type="duplicateValues" dxfId="6" priority="20"/>
  </conditionalFormatting>
  <conditionalFormatting sqref="B68">
    <cfRule type="duplicateValues" dxfId="5" priority="4"/>
  </conditionalFormatting>
  <conditionalFormatting sqref="B69">
    <cfRule type="duplicateValues" dxfId="4" priority="2"/>
  </conditionalFormatting>
  <conditionalFormatting sqref="C2">
    <cfRule type="duplicateValues" dxfId="3" priority="14"/>
  </conditionalFormatting>
  <conditionalFormatting sqref="C50">
    <cfRule type="duplicateValues" dxfId="2" priority="319"/>
  </conditionalFormatting>
  <conditionalFormatting sqref="C51:C68 C3:C49">
    <cfRule type="duplicateValues" dxfId="1" priority="320"/>
  </conditionalFormatting>
  <conditionalFormatting sqref="C69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AD3E-E6E1-4897-838C-38218F222EB6}">
  <sheetPr codeName="Sheet2"/>
  <dimension ref="A1:N28"/>
  <sheetViews>
    <sheetView workbookViewId="0">
      <pane ySplit="2" topLeftCell="A3" activePane="bottomLeft" state="frozen"/>
      <selection pane="bottomLeft" activeCell="F2" sqref="F2"/>
    </sheetView>
  </sheetViews>
  <sheetFormatPr defaultRowHeight="15" customHeight="1"/>
  <cols>
    <col min="1" max="1" width="6" style="1" bestFit="1" customWidth="1"/>
    <col min="2" max="2" width="41.5703125" style="1" customWidth="1"/>
    <col min="3" max="3" width="21" style="1" customWidth="1"/>
    <col min="4" max="5" width="14.85546875" style="1" customWidth="1"/>
    <col min="6" max="6" width="14" style="1" customWidth="1"/>
    <col min="7" max="7" width="15.140625" style="1" customWidth="1"/>
    <col min="8" max="8" width="1.28515625" style="1" customWidth="1"/>
    <col min="9" max="9" width="5.5703125" style="1" bestFit="1" customWidth="1"/>
    <col min="10" max="10" width="24.28515625" style="1" bestFit="1" customWidth="1"/>
    <col min="11" max="11" width="24.7109375" style="1" customWidth="1"/>
    <col min="12" max="12" width="22.85546875" style="1" bestFit="1" customWidth="1"/>
    <col min="13" max="13" width="12.28515625" style="1" bestFit="1" customWidth="1"/>
    <col min="14" max="14" width="41.7109375" style="1" bestFit="1" customWidth="1"/>
  </cols>
  <sheetData>
    <row r="1" spans="1:14" ht="14.45">
      <c r="A1" s="221" t="s">
        <v>57</v>
      </c>
      <c r="B1" s="222"/>
      <c r="C1" s="222"/>
      <c r="D1" s="222"/>
      <c r="E1" s="222"/>
      <c r="F1" s="222"/>
      <c r="G1" s="222"/>
      <c r="H1" s="149"/>
      <c r="I1" s="223" t="s">
        <v>58</v>
      </c>
      <c r="J1" s="223"/>
      <c r="K1" s="223"/>
      <c r="L1" s="223"/>
      <c r="M1" s="224"/>
    </row>
    <row r="2" spans="1:14" ht="55.15">
      <c r="A2" s="150" t="s">
        <v>59</v>
      </c>
      <c r="B2" s="151" t="s">
        <v>1</v>
      </c>
      <c r="C2" s="151" t="s">
        <v>60</v>
      </c>
      <c r="D2" s="152" t="s">
        <v>61</v>
      </c>
      <c r="E2" s="152" t="s">
        <v>62</v>
      </c>
      <c r="F2" s="152" t="s">
        <v>63</v>
      </c>
      <c r="G2" s="153" t="s">
        <v>64</v>
      </c>
      <c r="H2" s="154"/>
      <c r="I2" s="155" t="s">
        <v>65</v>
      </c>
      <c r="J2" s="156" t="s">
        <v>66</v>
      </c>
      <c r="K2" s="156" t="s">
        <v>60</v>
      </c>
      <c r="L2" s="156" t="s">
        <v>67</v>
      </c>
      <c r="M2" s="157" t="s">
        <v>68</v>
      </c>
      <c r="N2" s="158" t="s">
        <v>69</v>
      </c>
    </row>
    <row r="3" spans="1:14" ht="14.45">
      <c r="A3" s="159">
        <v>1</v>
      </c>
      <c r="B3" s="160" t="s">
        <v>70</v>
      </c>
      <c r="C3" s="161" t="s">
        <v>71</v>
      </c>
      <c r="D3" s="162">
        <v>46001</v>
      </c>
      <c r="E3" s="162">
        <v>46050</v>
      </c>
      <c r="F3" s="162">
        <v>46118</v>
      </c>
      <c r="G3" s="163">
        <v>40</v>
      </c>
      <c r="H3" s="164"/>
      <c r="I3" s="165">
        <v>1</v>
      </c>
      <c r="J3" s="166" t="s">
        <v>10</v>
      </c>
      <c r="K3" s="162" t="s">
        <v>72</v>
      </c>
      <c r="L3" s="167">
        <v>46053</v>
      </c>
      <c r="M3" s="168">
        <v>298</v>
      </c>
      <c r="N3" s="169" t="s">
        <v>73</v>
      </c>
    </row>
    <row r="4" spans="1:14" ht="14.45">
      <c r="A4" s="170">
        <v>2</v>
      </c>
      <c r="B4" s="171" t="s">
        <v>74</v>
      </c>
      <c r="C4" s="161" t="s">
        <v>71</v>
      </c>
      <c r="D4" s="162">
        <v>46059</v>
      </c>
      <c r="E4" s="162">
        <v>46076</v>
      </c>
      <c r="F4" s="162">
        <v>46108</v>
      </c>
      <c r="G4" s="163">
        <v>11</v>
      </c>
      <c r="H4" s="164"/>
      <c r="I4" s="165">
        <v>2</v>
      </c>
      <c r="J4" s="166" t="s">
        <v>75</v>
      </c>
      <c r="K4" s="162" t="s">
        <v>76</v>
      </c>
      <c r="L4" s="167">
        <v>46053</v>
      </c>
      <c r="M4" s="172">
        <v>54</v>
      </c>
      <c r="N4" s="167"/>
    </row>
    <row r="5" spans="1:14" ht="14.45">
      <c r="A5" s="159">
        <v>3</v>
      </c>
      <c r="B5" s="171" t="s">
        <v>77</v>
      </c>
      <c r="C5" s="161" t="s">
        <v>71</v>
      </c>
      <c r="D5" s="162">
        <v>46091</v>
      </c>
      <c r="E5" s="162">
        <v>46175</v>
      </c>
      <c r="F5" s="162"/>
      <c r="G5" s="163">
        <v>500</v>
      </c>
      <c r="H5" s="164"/>
      <c r="I5" s="165">
        <v>3</v>
      </c>
      <c r="J5" s="166" t="s">
        <v>78</v>
      </c>
      <c r="K5" s="162" t="s">
        <v>71</v>
      </c>
      <c r="L5" s="167">
        <v>46113</v>
      </c>
      <c r="M5" s="173">
        <v>90</v>
      </c>
      <c r="N5" s="167" t="s">
        <v>79</v>
      </c>
    </row>
    <row r="6" spans="1:14" ht="14.45">
      <c r="A6" s="170">
        <v>4</v>
      </c>
      <c r="B6" s="160" t="s">
        <v>80</v>
      </c>
      <c r="C6" s="161" t="s">
        <v>71</v>
      </c>
      <c r="D6" s="174">
        <v>46080</v>
      </c>
      <c r="E6" s="162">
        <v>46171</v>
      </c>
      <c r="F6" s="162">
        <v>46199</v>
      </c>
      <c r="G6" s="163">
        <v>67</v>
      </c>
      <c r="H6" s="164"/>
      <c r="I6" s="165">
        <v>4</v>
      </c>
      <c r="J6" s="166" t="s">
        <v>81</v>
      </c>
      <c r="K6" s="162" t="s">
        <v>71</v>
      </c>
      <c r="L6" s="167">
        <v>46113</v>
      </c>
      <c r="M6" s="175">
        <v>19</v>
      </c>
      <c r="N6" s="167" t="s">
        <v>82</v>
      </c>
    </row>
    <row r="7" spans="1:14" ht="14.45">
      <c r="A7" s="159">
        <v>5</v>
      </c>
      <c r="B7" s="160" t="s">
        <v>83</v>
      </c>
      <c r="C7" s="161" t="s">
        <v>71</v>
      </c>
      <c r="D7" s="174">
        <v>46170</v>
      </c>
      <c r="E7" s="162">
        <v>46195</v>
      </c>
      <c r="F7" s="162">
        <v>46196</v>
      </c>
      <c r="G7" s="163">
        <v>8</v>
      </c>
      <c r="H7" s="164"/>
      <c r="I7" s="165">
        <v>5</v>
      </c>
      <c r="J7" s="166" t="s">
        <v>39</v>
      </c>
      <c r="K7" s="162" t="s">
        <v>84</v>
      </c>
      <c r="L7" s="167">
        <v>46113</v>
      </c>
      <c r="M7" s="173">
        <v>1603</v>
      </c>
      <c r="N7" s="167"/>
    </row>
    <row r="8" spans="1:14" ht="14.45">
      <c r="A8" s="170">
        <v>6</v>
      </c>
      <c r="B8" s="160" t="s">
        <v>85</v>
      </c>
      <c r="C8" s="161" t="s">
        <v>71</v>
      </c>
      <c r="D8" s="162">
        <v>45856</v>
      </c>
      <c r="E8" s="162">
        <v>46001</v>
      </c>
      <c r="F8" s="162">
        <v>46118</v>
      </c>
      <c r="G8" s="163">
        <v>262</v>
      </c>
      <c r="H8" s="164"/>
      <c r="I8" s="165">
        <v>6</v>
      </c>
      <c r="J8" s="166" t="s">
        <v>86</v>
      </c>
      <c r="K8" s="162" t="s">
        <v>71</v>
      </c>
      <c r="L8" s="167">
        <v>46177</v>
      </c>
      <c r="M8" s="173">
        <v>223</v>
      </c>
      <c r="N8" s="167"/>
    </row>
    <row r="9" spans="1:14" ht="14.45">
      <c r="A9" s="159">
        <v>7</v>
      </c>
      <c r="B9" s="160" t="s">
        <v>87</v>
      </c>
      <c r="C9" s="161" t="s">
        <v>71</v>
      </c>
      <c r="D9" s="162">
        <v>45912</v>
      </c>
      <c r="E9" s="162">
        <v>45957</v>
      </c>
      <c r="F9" s="162">
        <v>46023</v>
      </c>
      <c r="G9" s="163">
        <v>283</v>
      </c>
      <c r="H9" s="164"/>
      <c r="I9" s="165">
        <v>7</v>
      </c>
      <c r="J9" s="176" t="s">
        <v>88</v>
      </c>
      <c r="K9" s="162" t="s">
        <v>71</v>
      </c>
      <c r="L9" s="167">
        <v>46199</v>
      </c>
      <c r="M9" s="173">
        <v>145</v>
      </c>
      <c r="N9" s="177" t="s">
        <v>89</v>
      </c>
    </row>
    <row r="10" spans="1:14" ht="14.45">
      <c r="A10" s="170">
        <v>8</v>
      </c>
      <c r="B10" s="160" t="s">
        <v>90</v>
      </c>
      <c r="C10" s="161" t="s">
        <v>71</v>
      </c>
      <c r="D10" s="174">
        <v>45917</v>
      </c>
      <c r="E10" s="162">
        <v>45979</v>
      </c>
      <c r="F10" s="162">
        <v>46023</v>
      </c>
      <c r="G10" s="163">
        <v>177</v>
      </c>
      <c r="H10" s="164"/>
      <c r="I10" s="178">
        <v>8</v>
      </c>
      <c r="J10" s="179" t="s">
        <v>91</v>
      </c>
      <c r="K10" s="162" t="s">
        <v>71</v>
      </c>
      <c r="L10" s="180">
        <v>46210</v>
      </c>
      <c r="M10" s="178">
        <v>295</v>
      </c>
      <c r="N10" s="181" t="s">
        <v>92</v>
      </c>
    </row>
    <row r="11" spans="1:14" ht="14.45">
      <c r="A11" s="159">
        <v>9</v>
      </c>
      <c r="B11" s="160" t="s">
        <v>93</v>
      </c>
      <c r="C11" s="161" t="s">
        <v>71</v>
      </c>
      <c r="D11" s="174">
        <v>45798</v>
      </c>
      <c r="E11" s="162">
        <v>45994</v>
      </c>
      <c r="F11" s="162">
        <v>46023</v>
      </c>
      <c r="G11" s="163">
        <v>100</v>
      </c>
      <c r="H11" s="164"/>
      <c r="I11" s="182"/>
      <c r="J11" s="182"/>
      <c r="K11" s="182"/>
      <c r="L11" s="182"/>
      <c r="M11" s="182"/>
      <c r="N11" s="183"/>
    </row>
    <row r="12" spans="1:14" ht="14.45">
      <c r="A12" s="159">
        <v>10</v>
      </c>
      <c r="B12" s="160" t="s">
        <v>94</v>
      </c>
      <c r="C12" s="161" t="s">
        <v>71</v>
      </c>
      <c r="D12" s="174">
        <v>46134</v>
      </c>
      <c r="E12" s="162">
        <v>46184</v>
      </c>
      <c r="F12" s="162">
        <v>46210</v>
      </c>
      <c r="G12" s="163">
        <v>96</v>
      </c>
      <c r="H12" s="164"/>
      <c r="I12" s="182"/>
      <c r="J12" s="182"/>
      <c r="K12" s="182"/>
      <c r="L12" s="182"/>
      <c r="M12" s="182"/>
      <c r="N12" s="183"/>
    </row>
    <row r="13" spans="1:14" ht="14.45">
      <c r="A13" s="159"/>
      <c r="B13" s="160"/>
      <c r="C13" s="161"/>
      <c r="D13" s="174"/>
      <c r="E13" s="162"/>
      <c r="F13" s="162"/>
      <c r="G13" s="162"/>
      <c r="H13" s="184"/>
      <c r="I13" s="182"/>
      <c r="J13" s="182"/>
      <c r="K13" s="182"/>
      <c r="L13" s="182"/>
      <c r="M13" s="182"/>
      <c r="N13" s="183"/>
    </row>
    <row r="14" spans="1:14" s="57" customFormat="1" ht="14.45">
      <c r="A14" s="159"/>
      <c r="B14" s="185" t="s">
        <v>95</v>
      </c>
      <c r="C14" s="161"/>
      <c r="D14" s="174"/>
      <c r="E14" s="162"/>
      <c r="F14" s="162"/>
      <c r="G14" s="162"/>
      <c r="H14" s="186"/>
      <c r="I14" s="182"/>
      <c r="J14" s="182"/>
      <c r="K14" s="182"/>
      <c r="L14" s="182"/>
      <c r="M14" s="182"/>
      <c r="N14" s="183"/>
    </row>
    <row r="15" spans="1:14" ht="14.45">
      <c r="A15" s="159">
        <v>11</v>
      </c>
      <c r="B15" s="160" t="s">
        <v>96</v>
      </c>
      <c r="C15" s="161" t="s">
        <v>71</v>
      </c>
      <c r="D15" s="174">
        <v>46028</v>
      </c>
      <c r="E15" s="162"/>
      <c r="F15" s="162"/>
      <c r="G15" s="163"/>
      <c r="H15" s="164"/>
      <c r="I15" s="182"/>
      <c r="J15" s="182"/>
      <c r="K15" s="182"/>
      <c r="L15" s="182"/>
      <c r="M15" s="182"/>
      <c r="N15" s="183"/>
    </row>
    <row r="16" spans="1:14" ht="14.45">
      <c r="A16" s="159">
        <v>12</v>
      </c>
      <c r="B16" s="171" t="s">
        <v>97</v>
      </c>
      <c r="C16" s="161" t="s">
        <v>71</v>
      </c>
      <c r="D16" s="174">
        <v>46071</v>
      </c>
      <c r="E16" s="162">
        <v>46108</v>
      </c>
      <c r="F16" s="162"/>
      <c r="G16" s="163"/>
      <c r="H16" s="164"/>
      <c r="I16" s="182"/>
      <c r="J16" s="182"/>
      <c r="K16" s="182"/>
      <c r="L16" s="182"/>
      <c r="M16" s="182"/>
      <c r="N16" s="183"/>
    </row>
    <row r="17" spans="1:14" ht="14.45">
      <c r="A17" s="170">
        <v>13</v>
      </c>
      <c r="B17" s="171" t="s">
        <v>98</v>
      </c>
      <c r="C17" s="161" t="s">
        <v>71</v>
      </c>
      <c r="D17" s="162">
        <v>46071</v>
      </c>
      <c r="E17" s="162">
        <v>46175</v>
      </c>
      <c r="F17" s="162"/>
      <c r="G17" s="163"/>
      <c r="H17" s="164"/>
      <c r="I17" s="182"/>
      <c r="J17" s="182"/>
      <c r="K17" s="182"/>
      <c r="L17" s="182"/>
      <c r="M17" s="182"/>
      <c r="N17" s="183"/>
    </row>
    <row r="18" spans="1:14" ht="14.45">
      <c r="A18" s="159">
        <v>14</v>
      </c>
      <c r="B18" s="187" t="s">
        <v>99</v>
      </c>
      <c r="C18" s="161" t="s">
        <v>71</v>
      </c>
      <c r="D18" s="162">
        <v>46093</v>
      </c>
      <c r="E18" s="162"/>
      <c r="F18" s="162"/>
      <c r="G18" s="163"/>
      <c r="H18" s="164"/>
      <c r="I18" s="182"/>
      <c r="J18" s="182"/>
      <c r="K18" s="182"/>
      <c r="L18" s="182"/>
      <c r="M18" s="182"/>
      <c r="N18" s="183"/>
    </row>
    <row r="19" spans="1:14" ht="14.45">
      <c r="A19" s="170">
        <v>15</v>
      </c>
      <c r="B19" s="171" t="s">
        <v>100</v>
      </c>
      <c r="C19" s="161" t="s">
        <v>71</v>
      </c>
      <c r="D19" s="162">
        <v>46128</v>
      </c>
      <c r="E19" s="162"/>
      <c r="F19" s="162"/>
      <c r="G19" s="163">
        <v>199</v>
      </c>
      <c r="H19" s="164"/>
      <c r="I19" s="182"/>
      <c r="J19" s="182"/>
      <c r="K19" s="182"/>
      <c r="L19" s="182"/>
      <c r="M19" s="182"/>
      <c r="N19" s="183"/>
    </row>
    <row r="20" spans="1:14" ht="14.45">
      <c r="A20" s="159">
        <v>16</v>
      </c>
      <c r="B20" s="160" t="s">
        <v>101</v>
      </c>
      <c r="C20" s="161" t="s">
        <v>71</v>
      </c>
      <c r="D20" s="162">
        <v>46091</v>
      </c>
      <c r="E20" s="162"/>
      <c r="F20" s="162"/>
      <c r="G20" s="163">
        <v>54</v>
      </c>
      <c r="H20" s="164"/>
      <c r="I20" s="182"/>
      <c r="J20" s="182"/>
      <c r="K20" s="182"/>
      <c r="L20" s="182"/>
      <c r="M20" s="182"/>
      <c r="N20" s="183"/>
    </row>
    <row r="21" spans="1:14" ht="14.45">
      <c r="A21" s="170">
        <v>17</v>
      </c>
      <c r="B21" s="160" t="s">
        <v>102</v>
      </c>
      <c r="C21" s="161" t="s">
        <v>71</v>
      </c>
      <c r="D21" s="174">
        <v>46135</v>
      </c>
      <c r="E21" s="162"/>
      <c r="F21" s="162"/>
      <c r="G21" s="163"/>
      <c r="H21" s="164"/>
      <c r="I21" s="182"/>
      <c r="J21" s="182"/>
      <c r="K21" s="182"/>
      <c r="L21" s="182"/>
      <c r="M21" s="182"/>
      <c r="N21" s="183"/>
    </row>
    <row r="22" spans="1:14" ht="14.45">
      <c r="A22" s="159">
        <v>18</v>
      </c>
      <c r="B22" s="160" t="s">
        <v>103</v>
      </c>
      <c r="C22" s="161" t="s">
        <v>71</v>
      </c>
      <c r="D22" s="174">
        <v>46135</v>
      </c>
      <c r="E22" s="162">
        <v>46149</v>
      </c>
      <c r="F22" s="162"/>
      <c r="G22" s="163">
        <v>221</v>
      </c>
      <c r="H22" s="164"/>
      <c r="I22" s="182"/>
      <c r="J22" s="182"/>
      <c r="K22" s="182"/>
      <c r="L22" s="182"/>
      <c r="M22" s="182"/>
      <c r="N22" s="183"/>
    </row>
    <row r="23" spans="1:14" ht="14.45">
      <c r="A23" s="170">
        <v>19</v>
      </c>
      <c r="B23" s="160" t="s">
        <v>104</v>
      </c>
      <c r="C23" s="161" t="s">
        <v>71</v>
      </c>
      <c r="D23" s="174">
        <v>46132</v>
      </c>
      <c r="E23" s="162"/>
      <c r="F23" s="162"/>
      <c r="G23" s="163"/>
      <c r="H23" s="164"/>
      <c r="I23" s="182"/>
      <c r="J23" s="182"/>
      <c r="K23" s="182"/>
      <c r="L23" s="182"/>
      <c r="M23" s="182"/>
      <c r="N23" s="183"/>
    </row>
    <row r="24" spans="1:14" ht="14.45">
      <c r="A24" s="170">
        <v>20</v>
      </c>
      <c r="B24" s="160" t="s">
        <v>105</v>
      </c>
      <c r="C24" s="161" t="s">
        <v>71</v>
      </c>
      <c r="D24" s="174">
        <v>46178</v>
      </c>
      <c r="E24" s="162"/>
      <c r="F24" s="162"/>
      <c r="G24" s="163"/>
      <c r="H24" s="164"/>
      <c r="I24" s="182"/>
      <c r="J24" s="182"/>
      <c r="K24" s="182"/>
      <c r="L24" s="182"/>
      <c r="M24" s="182"/>
      <c r="N24" s="183"/>
    </row>
    <row r="25" spans="1:14" ht="14.45">
      <c r="A25" s="159">
        <v>21</v>
      </c>
      <c r="B25" s="160" t="s">
        <v>106</v>
      </c>
      <c r="C25" s="161" t="s">
        <v>71</v>
      </c>
      <c r="D25" s="174"/>
      <c r="E25" s="162"/>
      <c r="F25" s="162"/>
      <c r="G25" s="163"/>
      <c r="H25" s="164"/>
      <c r="I25" s="182"/>
      <c r="J25" s="182"/>
      <c r="K25" s="182"/>
      <c r="L25" s="182"/>
      <c r="M25" s="182"/>
      <c r="N25" s="183"/>
    </row>
    <row r="26" spans="1:14" ht="14.45">
      <c r="A26" s="159">
        <v>22</v>
      </c>
      <c r="B26" s="160" t="s">
        <v>107</v>
      </c>
      <c r="C26" s="161" t="s">
        <v>71</v>
      </c>
      <c r="D26" s="174">
        <v>45805</v>
      </c>
      <c r="E26" s="162"/>
      <c r="F26" s="162"/>
      <c r="G26" s="163">
        <v>250</v>
      </c>
      <c r="H26" s="164"/>
      <c r="I26" s="182"/>
      <c r="J26" s="182"/>
      <c r="K26" s="182"/>
      <c r="L26" s="182"/>
      <c r="M26" s="182"/>
      <c r="N26" s="183"/>
    </row>
    <row r="27" spans="1:14" ht="14.45">
      <c r="A27" s="193">
        <v>18</v>
      </c>
      <c r="B27" s="194" t="s">
        <v>108</v>
      </c>
      <c r="C27" s="161" t="s">
        <v>71</v>
      </c>
      <c r="D27" s="195">
        <v>45975</v>
      </c>
      <c r="E27" s="162"/>
      <c r="F27" s="162"/>
      <c r="G27" s="163"/>
      <c r="H27" s="164"/>
      <c r="I27" s="182"/>
      <c r="J27" s="182"/>
      <c r="K27" s="182"/>
      <c r="L27" s="196"/>
      <c r="M27" s="183"/>
      <c r="N27" s="197"/>
    </row>
    <row r="28" spans="1:14" ht="14.45">
      <c r="A28" s="119"/>
      <c r="B28" s="188"/>
      <c r="C28" s="189"/>
      <c r="D28" s="232" t="s">
        <v>109</v>
      </c>
      <c r="E28" s="233"/>
      <c r="F28" s="234"/>
      <c r="G28" s="190">
        <f>SUM(G3:G25)</f>
        <v>2018</v>
      </c>
      <c r="H28" s="154"/>
      <c r="I28" s="182"/>
      <c r="J28" s="182"/>
      <c r="K28" s="182"/>
      <c r="L28" s="191" t="s">
        <v>109</v>
      </c>
      <c r="M28" s="192">
        <f>SUM(M3:M25)</f>
        <v>2727</v>
      </c>
      <c r="N28" s="167"/>
    </row>
  </sheetData>
  <mergeCells count="3">
    <mergeCell ref="A1:G1"/>
    <mergeCell ref="I1:M1"/>
    <mergeCell ref="D28:F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C991-13A9-409D-90D3-BDB513B22038}">
  <sheetPr codeName="Sheet3"/>
  <dimension ref="A1:N24"/>
  <sheetViews>
    <sheetView topLeftCell="B1" workbookViewId="0">
      <pane ySplit="2" topLeftCell="A3" activePane="bottomLeft" state="frozen"/>
      <selection pane="bottomLeft" activeCell="D20" sqref="D20"/>
    </sheetView>
  </sheetViews>
  <sheetFormatPr defaultRowHeight="15" customHeight="1"/>
  <cols>
    <col min="1" max="1" width="6" style="1" bestFit="1" customWidth="1"/>
    <col min="2" max="2" width="36.7109375" style="1" bestFit="1" customWidth="1"/>
    <col min="3" max="3" width="21" style="1" customWidth="1"/>
    <col min="4" max="5" width="14.85546875" style="1" customWidth="1"/>
    <col min="6" max="6" width="14" style="1" customWidth="1"/>
    <col min="7" max="7" width="9.7109375" style="1" customWidth="1"/>
    <col min="8" max="8" width="1.28515625" style="1" customWidth="1"/>
    <col min="9" max="9" width="5.5703125" style="1" bestFit="1" customWidth="1"/>
    <col min="10" max="10" width="24.28515625" style="1" bestFit="1" customWidth="1"/>
    <col min="11" max="11" width="24.7109375" style="1" customWidth="1"/>
    <col min="12" max="12" width="22.85546875" style="1" bestFit="1" customWidth="1"/>
    <col min="13" max="13" width="12.28515625" style="1" bestFit="1" customWidth="1"/>
    <col min="14" max="14" width="41.7109375" style="1" bestFit="1" customWidth="1"/>
  </cols>
  <sheetData>
    <row r="1" spans="1:14" thickBot="1">
      <c r="A1" s="221" t="s">
        <v>57</v>
      </c>
      <c r="B1" s="222"/>
      <c r="C1" s="222"/>
      <c r="D1" s="222"/>
      <c r="E1" s="222"/>
      <c r="F1" s="222"/>
      <c r="G1" s="222"/>
      <c r="H1" s="69"/>
      <c r="I1" s="223" t="s">
        <v>58</v>
      </c>
      <c r="J1" s="223"/>
      <c r="K1" s="223"/>
      <c r="L1" s="223"/>
      <c r="M1" s="224"/>
    </row>
    <row r="2" spans="1:14" ht="24.6" thickBot="1">
      <c r="A2" s="146" t="s">
        <v>59</v>
      </c>
      <c r="B2" s="92" t="s">
        <v>1</v>
      </c>
      <c r="C2" s="92" t="s">
        <v>60</v>
      </c>
      <c r="D2" s="93" t="s">
        <v>61</v>
      </c>
      <c r="E2" s="93" t="s">
        <v>62</v>
      </c>
      <c r="F2" s="93" t="s">
        <v>63</v>
      </c>
      <c r="G2" s="94" t="s">
        <v>64</v>
      </c>
      <c r="H2" s="110"/>
      <c r="I2" s="101" t="s">
        <v>65</v>
      </c>
      <c r="J2" s="102" t="s">
        <v>66</v>
      </c>
      <c r="K2" s="102" t="s">
        <v>60</v>
      </c>
      <c r="L2" s="102" t="s">
        <v>67</v>
      </c>
      <c r="M2" s="134" t="s">
        <v>68</v>
      </c>
      <c r="N2" s="92" t="s">
        <v>69</v>
      </c>
    </row>
    <row r="3" spans="1:14" thickBot="1">
      <c r="A3" s="95">
        <v>1</v>
      </c>
      <c r="B3" s="139" t="s">
        <v>110</v>
      </c>
      <c r="C3" s="138" t="s">
        <v>71</v>
      </c>
      <c r="D3" s="11">
        <v>45586</v>
      </c>
      <c r="E3" s="11">
        <v>45686</v>
      </c>
      <c r="F3" s="11">
        <v>45686</v>
      </c>
      <c r="G3" s="12">
        <v>60</v>
      </c>
      <c r="H3" s="32"/>
      <c r="I3" s="104">
        <v>1</v>
      </c>
      <c r="J3" s="135" t="s">
        <v>111</v>
      </c>
      <c r="K3" s="11" t="s">
        <v>112</v>
      </c>
      <c r="L3" s="84">
        <v>45688</v>
      </c>
      <c r="M3" s="136">
        <v>441</v>
      </c>
      <c r="N3" s="11" t="s">
        <v>113</v>
      </c>
    </row>
    <row r="4" spans="1:14" thickBot="1">
      <c r="A4" s="148">
        <v>2</v>
      </c>
      <c r="B4" s="140" t="s">
        <v>114</v>
      </c>
      <c r="C4" s="138" t="s">
        <v>71</v>
      </c>
      <c r="D4" s="11">
        <v>45685</v>
      </c>
      <c r="E4" s="11">
        <v>45728</v>
      </c>
      <c r="F4" s="11">
        <v>45728</v>
      </c>
      <c r="G4" s="12">
        <v>207</v>
      </c>
      <c r="H4" s="32"/>
      <c r="I4" s="104">
        <v>2</v>
      </c>
      <c r="J4" s="135" t="s">
        <v>115</v>
      </c>
      <c r="K4" s="11" t="s">
        <v>116</v>
      </c>
      <c r="L4" s="84">
        <v>45770</v>
      </c>
      <c r="M4" s="137">
        <v>460</v>
      </c>
      <c r="N4" s="11" t="s">
        <v>117</v>
      </c>
    </row>
    <row r="5" spans="1:14" thickBot="1">
      <c r="A5" s="95">
        <v>3</v>
      </c>
      <c r="B5" s="140" t="s">
        <v>118</v>
      </c>
      <c r="C5" s="138" t="s">
        <v>71</v>
      </c>
      <c r="D5" s="11">
        <v>45702</v>
      </c>
      <c r="E5" s="11">
        <v>45954</v>
      </c>
      <c r="F5" s="11">
        <v>45954</v>
      </c>
      <c r="G5" s="12">
        <v>218</v>
      </c>
      <c r="H5" s="32"/>
      <c r="I5" s="104">
        <v>3</v>
      </c>
      <c r="J5" s="135" t="s">
        <v>119</v>
      </c>
      <c r="K5" s="11" t="s">
        <v>71</v>
      </c>
      <c r="L5" s="84">
        <v>45789</v>
      </c>
      <c r="M5" s="133">
        <v>12</v>
      </c>
      <c r="N5" s="11" t="s">
        <v>120</v>
      </c>
    </row>
    <row r="6" spans="1:14" thickBot="1">
      <c r="A6" s="148">
        <v>4</v>
      </c>
      <c r="B6" s="140" t="s">
        <v>88</v>
      </c>
      <c r="C6" s="138" t="s">
        <v>71</v>
      </c>
      <c r="D6" s="11">
        <v>45711</v>
      </c>
      <c r="E6" s="11">
        <v>45954</v>
      </c>
      <c r="F6" s="11">
        <v>45954</v>
      </c>
      <c r="G6" s="12">
        <v>115</v>
      </c>
      <c r="H6" s="32"/>
      <c r="I6" s="104">
        <v>4</v>
      </c>
      <c r="J6" s="135" t="s">
        <v>121</v>
      </c>
      <c r="K6" s="11" t="s">
        <v>122</v>
      </c>
      <c r="L6" s="84">
        <v>45777</v>
      </c>
      <c r="M6" s="63">
        <v>55</v>
      </c>
      <c r="N6" s="11" t="s">
        <v>123</v>
      </c>
    </row>
    <row r="7" spans="1:14" thickBot="1">
      <c r="A7" s="95">
        <v>5</v>
      </c>
      <c r="B7" s="139" t="s">
        <v>91</v>
      </c>
      <c r="C7" s="138" t="s">
        <v>71</v>
      </c>
      <c r="D7" s="11">
        <v>45711</v>
      </c>
      <c r="E7" s="11">
        <v>45887</v>
      </c>
      <c r="F7" s="11">
        <v>45887</v>
      </c>
      <c r="G7" s="12">
        <v>125</v>
      </c>
      <c r="H7" s="32"/>
      <c r="I7" s="104">
        <v>5</v>
      </c>
      <c r="J7" s="135" t="s">
        <v>124</v>
      </c>
      <c r="K7" s="11" t="s">
        <v>71</v>
      </c>
      <c r="L7" s="84">
        <v>45877</v>
      </c>
      <c r="M7" s="9">
        <v>143</v>
      </c>
      <c r="N7" s="11" t="s">
        <v>125</v>
      </c>
    </row>
    <row r="8" spans="1:14" thickBot="1">
      <c r="A8" s="148">
        <v>6</v>
      </c>
      <c r="B8" s="140" t="s">
        <v>126</v>
      </c>
      <c r="C8" s="138" t="s">
        <v>71</v>
      </c>
      <c r="D8" s="11">
        <v>45711</v>
      </c>
      <c r="E8" s="11">
        <v>45944</v>
      </c>
      <c r="F8" s="11">
        <v>45944</v>
      </c>
      <c r="G8" s="12">
        <v>310</v>
      </c>
      <c r="H8" s="32"/>
      <c r="I8" s="104">
        <v>6</v>
      </c>
      <c r="J8" s="135" t="s">
        <v>114</v>
      </c>
      <c r="K8" s="11" t="s">
        <v>71</v>
      </c>
      <c r="L8" s="84">
        <v>45890</v>
      </c>
      <c r="M8" s="9">
        <v>207</v>
      </c>
      <c r="N8" s="11"/>
    </row>
    <row r="9" spans="1:14" thickBot="1">
      <c r="A9" s="95">
        <v>7</v>
      </c>
      <c r="B9" s="140" t="s">
        <v>127</v>
      </c>
      <c r="C9" s="138" t="s">
        <v>71</v>
      </c>
      <c r="D9" s="11">
        <v>45758</v>
      </c>
      <c r="E9" s="11">
        <v>45793</v>
      </c>
      <c r="F9" s="11">
        <v>45793</v>
      </c>
      <c r="G9" s="12">
        <v>118</v>
      </c>
      <c r="H9" s="32"/>
      <c r="I9" s="104">
        <v>7</v>
      </c>
      <c r="J9" s="10" t="s">
        <v>128</v>
      </c>
      <c r="K9" s="11" t="s">
        <v>112</v>
      </c>
      <c r="L9" s="84">
        <v>45900</v>
      </c>
      <c r="M9" s="9">
        <v>100</v>
      </c>
      <c r="N9" s="11"/>
    </row>
    <row r="10" spans="1:14" ht="14.45">
      <c r="A10" s="148">
        <v>8</v>
      </c>
      <c r="B10" s="141" t="s">
        <v>129</v>
      </c>
      <c r="C10" s="138" t="s">
        <v>71</v>
      </c>
      <c r="D10" s="11">
        <v>45758</v>
      </c>
      <c r="E10" s="11">
        <v>45972</v>
      </c>
      <c r="F10" s="11">
        <v>45690</v>
      </c>
      <c r="G10" s="12">
        <v>149</v>
      </c>
      <c r="H10" s="32"/>
      <c r="I10" s="104">
        <v>8</v>
      </c>
      <c r="J10" s="10" t="s">
        <v>130</v>
      </c>
      <c r="K10" s="11" t="s">
        <v>112</v>
      </c>
      <c r="L10" s="84">
        <v>45900</v>
      </c>
      <c r="M10" s="90">
        <v>37</v>
      </c>
      <c r="N10" s="11"/>
    </row>
    <row r="11" spans="1:14" ht="14.45">
      <c r="A11" s="148">
        <v>10</v>
      </c>
      <c r="B11" s="141" t="s">
        <v>78</v>
      </c>
      <c r="C11" s="138" t="s">
        <v>71</v>
      </c>
      <c r="D11" s="145">
        <v>45833</v>
      </c>
      <c r="E11" s="11">
        <v>45966</v>
      </c>
      <c r="F11" s="11">
        <v>45966</v>
      </c>
      <c r="G11" s="12">
        <v>90</v>
      </c>
      <c r="H11" s="32"/>
      <c r="I11" s="104">
        <v>9</v>
      </c>
      <c r="J11" s="10" t="s">
        <v>131</v>
      </c>
      <c r="K11" s="11" t="s">
        <v>71</v>
      </c>
      <c r="L11" s="84">
        <v>45911</v>
      </c>
      <c r="M11" s="98">
        <v>108</v>
      </c>
      <c r="N11" s="11" t="s">
        <v>125</v>
      </c>
    </row>
    <row r="12" spans="1:14" ht="14.45">
      <c r="A12" s="95">
        <v>11</v>
      </c>
      <c r="B12" s="141" t="s">
        <v>132</v>
      </c>
      <c r="C12" s="138" t="s">
        <v>71</v>
      </c>
      <c r="D12" s="145">
        <v>45867</v>
      </c>
      <c r="E12" s="11">
        <v>45904</v>
      </c>
      <c r="F12" s="11">
        <v>45904</v>
      </c>
      <c r="G12" s="12">
        <v>86</v>
      </c>
      <c r="H12" s="32"/>
      <c r="I12" s="104">
        <v>10</v>
      </c>
      <c r="J12" s="10" t="s">
        <v>110</v>
      </c>
      <c r="K12" s="11" t="s">
        <v>71</v>
      </c>
      <c r="L12" s="84">
        <v>45982</v>
      </c>
      <c r="M12" s="142">
        <v>66</v>
      </c>
      <c r="N12" s="11" t="s">
        <v>133</v>
      </c>
    </row>
    <row r="13" spans="1:14" ht="14.45">
      <c r="A13" s="148">
        <v>12</v>
      </c>
      <c r="B13" s="141" t="s">
        <v>81</v>
      </c>
      <c r="C13" s="138" t="s">
        <v>71</v>
      </c>
      <c r="D13" s="145">
        <v>45805</v>
      </c>
      <c r="E13" s="11">
        <v>45993</v>
      </c>
      <c r="F13" s="11">
        <v>45993</v>
      </c>
      <c r="G13" s="12">
        <v>18</v>
      </c>
      <c r="H13" s="32"/>
      <c r="I13" s="104">
        <v>11</v>
      </c>
      <c r="J13" s="10" t="s">
        <v>48</v>
      </c>
      <c r="K13" s="11" t="s">
        <v>134</v>
      </c>
      <c r="L13" s="84">
        <v>46022</v>
      </c>
      <c r="M13" s="142">
        <v>203</v>
      </c>
      <c r="N13" s="11" t="s">
        <v>135</v>
      </c>
    </row>
    <row r="14" spans="1:14" ht="14.45">
      <c r="A14" s="95">
        <v>13</v>
      </c>
      <c r="B14" s="141" t="s">
        <v>136</v>
      </c>
      <c r="C14" s="138" t="s">
        <v>71</v>
      </c>
      <c r="D14" s="145">
        <v>45853</v>
      </c>
      <c r="E14" s="11">
        <v>45942</v>
      </c>
      <c r="F14" s="11">
        <v>45942</v>
      </c>
      <c r="G14" s="12">
        <v>130</v>
      </c>
      <c r="H14" s="32"/>
      <c r="I14" s="104">
        <v>12</v>
      </c>
      <c r="J14" s="10" t="s">
        <v>137</v>
      </c>
      <c r="K14" s="11" t="s">
        <v>112</v>
      </c>
      <c r="L14" s="84">
        <v>46022</v>
      </c>
      <c r="M14" s="142">
        <v>204</v>
      </c>
      <c r="N14" s="11" t="s">
        <v>138</v>
      </c>
    </row>
    <row r="15" spans="1:14" ht="14.45">
      <c r="A15" s="148">
        <v>14</v>
      </c>
      <c r="B15" s="141" t="s">
        <v>139</v>
      </c>
      <c r="C15" s="138" t="s">
        <v>71</v>
      </c>
      <c r="D15" s="11">
        <v>45889</v>
      </c>
      <c r="E15" s="11">
        <v>45974</v>
      </c>
      <c r="F15" s="11">
        <v>45974</v>
      </c>
      <c r="G15" s="12">
        <v>95</v>
      </c>
      <c r="H15" s="32"/>
      <c r="I15" s="104">
        <v>13</v>
      </c>
      <c r="J15" s="10" t="s">
        <v>12</v>
      </c>
      <c r="K15" s="11" t="s">
        <v>72</v>
      </c>
      <c r="L15" s="84">
        <v>46022</v>
      </c>
      <c r="M15" s="142">
        <v>76</v>
      </c>
      <c r="N15" s="11" t="s">
        <v>140</v>
      </c>
    </row>
    <row r="16" spans="1:14" ht="14.45">
      <c r="A16" s="95">
        <v>15</v>
      </c>
      <c r="B16" s="141" t="s">
        <v>86</v>
      </c>
      <c r="C16" s="138" t="s">
        <v>71</v>
      </c>
      <c r="D16" s="11">
        <v>45856</v>
      </c>
      <c r="E16" s="11">
        <v>45973</v>
      </c>
      <c r="F16" s="11">
        <v>45973</v>
      </c>
      <c r="G16" s="12">
        <v>203</v>
      </c>
      <c r="H16" s="32"/>
      <c r="I16" s="104"/>
      <c r="J16" s="10"/>
      <c r="K16" s="11"/>
      <c r="L16" s="84"/>
      <c r="M16" s="142"/>
      <c r="N16" s="11"/>
    </row>
    <row r="17" spans="1:14" ht="14.45">
      <c r="A17" s="199">
        <v>16</v>
      </c>
      <c r="B17" s="202" t="s">
        <v>141</v>
      </c>
      <c r="C17" s="138" t="s">
        <v>71</v>
      </c>
      <c r="D17" s="11">
        <v>45856</v>
      </c>
      <c r="E17" s="11">
        <v>46002</v>
      </c>
      <c r="F17" s="11">
        <v>46007</v>
      </c>
      <c r="G17" s="12">
        <v>66</v>
      </c>
      <c r="H17" s="32"/>
      <c r="I17" s="129"/>
      <c r="J17" s="10"/>
      <c r="K17" s="11"/>
      <c r="L17" s="84"/>
      <c r="M17" s="127"/>
      <c r="N17" s="11"/>
    </row>
    <row r="18" spans="1:14" ht="14.45">
      <c r="A18" s="216">
        <v>17</v>
      </c>
      <c r="B18" s="144" t="s">
        <v>142</v>
      </c>
      <c r="C18" s="122" t="s">
        <v>71</v>
      </c>
      <c r="D18" s="112">
        <v>45758</v>
      </c>
      <c r="E18" s="11">
        <v>45989</v>
      </c>
      <c r="F18" s="11">
        <v>45992</v>
      </c>
      <c r="G18" s="12">
        <v>22</v>
      </c>
      <c r="H18" s="32"/>
      <c r="I18" s="129"/>
      <c r="J18" s="10"/>
      <c r="K18" s="11"/>
      <c r="L18" s="84"/>
      <c r="M18" s="127"/>
      <c r="N18" s="112"/>
    </row>
    <row r="19" spans="1:14" ht="14.45">
      <c r="A19" s="217">
        <v>18</v>
      </c>
      <c r="B19" s="147" t="s">
        <v>131</v>
      </c>
      <c r="C19" s="24" t="s">
        <v>71</v>
      </c>
      <c r="D19" s="91">
        <v>45711</v>
      </c>
      <c r="E19" s="11">
        <v>45820</v>
      </c>
      <c r="F19" s="11">
        <v>45820</v>
      </c>
      <c r="G19" s="207">
        <v>108</v>
      </c>
      <c r="H19" s="32"/>
      <c r="I19" s="129"/>
      <c r="J19" s="10"/>
      <c r="K19" s="11"/>
      <c r="L19" s="24"/>
      <c r="M19" s="98"/>
      <c r="N19" s="122"/>
    </row>
    <row r="20" spans="1:14" ht="14.45">
      <c r="A20" s="218">
        <v>19</v>
      </c>
      <c r="B20" s="147" t="s">
        <v>124</v>
      </c>
      <c r="C20" s="219" t="s">
        <v>71</v>
      </c>
      <c r="D20" s="112">
        <v>45711</v>
      </c>
      <c r="E20" s="24">
        <v>45762</v>
      </c>
      <c r="F20" s="111">
        <v>45762</v>
      </c>
      <c r="G20" s="215">
        <v>143</v>
      </c>
      <c r="H20" s="208"/>
      <c r="I20" s="129"/>
      <c r="J20" s="10"/>
      <c r="K20" s="84"/>
      <c r="L20" s="138"/>
      <c r="M20" s="213"/>
      <c r="N20" s="11"/>
    </row>
    <row r="21" spans="1:14" ht="14.45">
      <c r="A21" s="220"/>
      <c r="B21" s="198"/>
      <c r="C21" s="205"/>
      <c r="D21" s="111"/>
      <c r="E21" s="111"/>
      <c r="F21" s="111"/>
      <c r="G21" s="214"/>
      <c r="H21" s="32"/>
      <c r="I21" s="129"/>
      <c r="J21" s="113"/>
      <c r="K21" s="84"/>
      <c r="L21" s="138"/>
      <c r="M21" s="213"/>
      <c r="N21" s="11"/>
    </row>
    <row r="22" spans="1:14" ht="14.45">
      <c r="A22" s="201"/>
      <c r="B22" s="198"/>
      <c r="C22" s="203"/>
      <c r="D22" s="97"/>
      <c r="E22" s="111"/>
      <c r="F22" s="97"/>
      <c r="G22" s="126"/>
      <c r="H22" s="209"/>
      <c r="I22" s="210"/>
      <c r="J22" s="212"/>
      <c r="K22" s="84"/>
      <c r="L22" s="91"/>
      <c r="M22" s="213"/>
      <c r="N22" s="11"/>
    </row>
    <row r="23" spans="1:14" ht="14.45">
      <c r="A23" s="200"/>
      <c r="B23" s="198"/>
      <c r="C23" s="203"/>
      <c r="D23" s="203"/>
      <c r="E23" s="91"/>
      <c r="F23" s="125"/>
      <c r="G23" s="126"/>
      <c r="H23" s="32"/>
      <c r="I23" s="117"/>
      <c r="J23" s="144"/>
      <c r="K23" s="84"/>
      <c r="L23" s="206"/>
      <c r="M23" s="213"/>
      <c r="N23" s="11"/>
    </row>
    <row r="24" spans="1:14" ht="14.45">
      <c r="A24" s="119"/>
      <c r="B24" s="147"/>
      <c r="C24" s="204"/>
      <c r="D24" s="225" t="s">
        <v>109</v>
      </c>
      <c r="E24" s="226"/>
      <c r="F24" s="227"/>
      <c r="G24" s="100">
        <f>SUM(G3:G20)</f>
        <v>2263</v>
      </c>
      <c r="H24" s="110"/>
      <c r="I24" s="211"/>
      <c r="J24" s="147"/>
      <c r="K24" s="84"/>
      <c r="L24" s="114" t="s">
        <v>109</v>
      </c>
      <c r="M24" s="143">
        <f>SUM(M3:M20)</f>
        <v>2112</v>
      </c>
      <c r="N24" s="11"/>
    </row>
  </sheetData>
  <mergeCells count="3">
    <mergeCell ref="A1:G1"/>
    <mergeCell ref="I1:M1"/>
    <mergeCell ref="D24:F2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270E-B133-415C-8F95-666A46FCB498}">
  <sheetPr codeName="Sheet4"/>
  <dimension ref="A1:N18"/>
  <sheetViews>
    <sheetView tabSelected="1" workbookViewId="0">
      <pane ySplit="2" topLeftCell="A3" activePane="bottomLeft" state="frozen"/>
      <selection pane="bottomLeft" activeCell="F6" sqref="F6"/>
    </sheetView>
  </sheetViews>
  <sheetFormatPr defaultRowHeight="14.45"/>
  <cols>
    <col min="1" max="1" width="6" style="1" bestFit="1" customWidth="1"/>
    <col min="2" max="2" width="22.42578125" style="1" bestFit="1" customWidth="1"/>
    <col min="3" max="3" width="14" style="1" bestFit="1" customWidth="1"/>
    <col min="4" max="4" width="12.28515625" style="1" bestFit="1" customWidth="1"/>
    <col min="5" max="5" width="14.140625" style="1" bestFit="1" customWidth="1"/>
    <col min="6" max="6" width="12.140625" style="1" bestFit="1" customWidth="1"/>
    <col min="7" max="7" width="9.42578125" style="1" bestFit="1" customWidth="1"/>
    <col min="8" max="8" width="1.28515625" style="1" customWidth="1"/>
    <col min="9" max="9" width="5.5703125" style="1" bestFit="1" customWidth="1"/>
    <col min="10" max="10" width="22.5703125" style="1" customWidth="1"/>
    <col min="11" max="11" width="24.7109375" style="1" customWidth="1"/>
    <col min="12" max="12" width="22.85546875" style="1" bestFit="1" customWidth="1"/>
    <col min="13" max="13" width="12.28515625" style="1" bestFit="1" customWidth="1"/>
    <col min="14" max="14" width="41.7109375" style="1" bestFit="1" customWidth="1"/>
  </cols>
  <sheetData>
    <row r="1" spans="1:14">
      <c r="A1" s="221" t="s">
        <v>57</v>
      </c>
      <c r="B1" s="222"/>
      <c r="C1" s="222"/>
      <c r="D1" s="222"/>
      <c r="E1" s="222"/>
      <c r="F1" s="222"/>
      <c r="G1" s="222"/>
      <c r="H1" s="69"/>
      <c r="I1" s="223" t="s">
        <v>58</v>
      </c>
      <c r="J1" s="223"/>
      <c r="K1" s="223"/>
      <c r="L1" s="223"/>
      <c r="M1" s="224"/>
    </row>
    <row r="2" spans="1:14" ht="24.6" thickBot="1">
      <c r="A2" s="15" t="s">
        <v>59</v>
      </c>
      <c r="B2" s="92" t="s">
        <v>1</v>
      </c>
      <c r="C2" s="92" t="s">
        <v>60</v>
      </c>
      <c r="D2" s="93" t="s">
        <v>61</v>
      </c>
      <c r="E2" s="93" t="s">
        <v>62</v>
      </c>
      <c r="F2" s="93" t="s">
        <v>63</v>
      </c>
      <c r="G2" s="94" t="s">
        <v>64</v>
      </c>
      <c r="H2" s="110"/>
      <c r="I2" s="101" t="s">
        <v>65</v>
      </c>
      <c r="J2" s="102" t="s">
        <v>66</v>
      </c>
      <c r="K2" s="102" t="s">
        <v>60</v>
      </c>
      <c r="L2" s="102" t="s">
        <v>67</v>
      </c>
      <c r="M2" s="103" t="s">
        <v>68</v>
      </c>
      <c r="N2" s="7" t="s">
        <v>69</v>
      </c>
    </row>
    <row r="3" spans="1:14" ht="15" thickBot="1">
      <c r="A3" s="9">
        <v>1</v>
      </c>
      <c r="B3" s="74" t="s">
        <v>143</v>
      </c>
      <c r="C3" s="11" t="s">
        <v>144</v>
      </c>
      <c r="D3" s="11">
        <v>45324</v>
      </c>
      <c r="E3" s="11">
        <v>45336</v>
      </c>
      <c r="F3" s="11">
        <v>45336</v>
      </c>
      <c r="G3" s="17">
        <v>63</v>
      </c>
      <c r="H3" s="32"/>
      <c r="I3" s="104">
        <v>1</v>
      </c>
      <c r="J3" s="10" t="s">
        <v>45</v>
      </c>
      <c r="K3" s="11" t="s">
        <v>112</v>
      </c>
      <c r="L3" s="11">
        <v>45351</v>
      </c>
      <c r="M3" s="105">
        <v>572</v>
      </c>
      <c r="N3" s="230" t="s">
        <v>145</v>
      </c>
    </row>
    <row r="4" spans="1:14" ht="15" thickBot="1">
      <c r="A4" s="9">
        <v>2</v>
      </c>
      <c r="B4" s="10" t="s">
        <v>146</v>
      </c>
      <c r="C4" s="11" t="s">
        <v>144</v>
      </c>
      <c r="D4" s="11">
        <v>45380</v>
      </c>
      <c r="E4" s="11">
        <v>45401</v>
      </c>
      <c r="F4" s="11">
        <v>45401</v>
      </c>
      <c r="G4" s="17">
        <v>83</v>
      </c>
      <c r="H4" s="110"/>
      <c r="I4" s="104">
        <v>2</v>
      </c>
      <c r="J4" s="10" t="s">
        <v>14</v>
      </c>
      <c r="K4" s="11" t="s">
        <v>147</v>
      </c>
      <c r="L4" s="11">
        <v>45351</v>
      </c>
      <c r="M4" s="105">
        <v>678</v>
      </c>
      <c r="N4" s="231"/>
    </row>
    <row r="5" spans="1:14" ht="15" thickBot="1">
      <c r="A5" s="9">
        <v>3</v>
      </c>
      <c r="B5" s="10" t="s">
        <v>148</v>
      </c>
      <c r="C5" s="11" t="s">
        <v>71</v>
      </c>
      <c r="D5" s="11">
        <v>45527</v>
      </c>
      <c r="E5" s="11">
        <v>45570</v>
      </c>
      <c r="F5" s="11">
        <v>45570</v>
      </c>
      <c r="G5" s="17">
        <v>363</v>
      </c>
      <c r="H5" s="110"/>
      <c r="I5" s="104">
        <v>3</v>
      </c>
      <c r="J5" s="74" t="s">
        <v>149</v>
      </c>
      <c r="K5" s="11" t="s">
        <v>144</v>
      </c>
      <c r="L5" s="11">
        <v>45464</v>
      </c>
      <c r="M5" s="105">
        <v>57</v>
      </c>
      <c r="N5" s="228" t="s">
        <v>150</v>
      </c>
    </row>
    <row r="6" spans="1:14" ht="15" thickBot="1">
      <c r="A6" s="90">
        <v>4</v>
      </c>
      <c r="B6" s="10" t="s">
        <v>151</v>
      </c>
      <c r="C6" s="11" t="s">
        <v>71</v>
      </c>
      <c r="D6" s="11">
        <v>45546</v>
      </c>
      <c r="E6" s="11">
        <v>45631</v>
      </c>
      <c r="F6" s="11">
        <v>45631</v>
      </c>
      <c r="G6" s="17">
        <v>87</v>
      </c>
      <c r="H6" s="110"/>
      <c r="I6" s="104">
        <v>4</v>
      </c>
      <c r="J6" s="46" t="s">
        <v>152</v>
      </c>
      <c r="K6" s="11" t="s">
        <v>144</v>
      </c>
      <c r="L6" s="11">
        <v>45464</v>
      </c>
      <c r="M6" s="105">
        <v>83</v>
      </c>
      <c r="N6" s="229"/>
    </row>
    <row r="7" spans="1:14" ht="15" thickBot="1">
      <c r="A7" s="88">
        <v>5</v>
      </c>
      <c r="B7" s="113" t="s">
        <v>153</v>
      </c>
      <c r="C7" s="11" t="s">
        <v>112</v>
      </c>
      <c r="D7" s="11">
        <v>45589</v>
      </c>
      <c r="E7" s="11">
        <v>45632</v>
      </c>
      <c r="F7" s="11">
        <v>45632</v>
      </c>
      <c r="G7" s="17">
        <v>107</v>
      </c>
      <c r="H7" s="110"/>
      <c r="I7" s="104">
        <v>5</v>
      </c>
      <c r="J7" s="10" t="s">
        <v>154</v>
      </c>
      <c r="K7" s="11" t="s">
        <v>144</v>
      </c>
      <c r="L7" s="11">
        <v>45464</v>
      </c>
      <c r="M7" s="105">
        <v>52</v>
      </c>
      <c r="N7" s="229"/>
    </row>
    <row r="8" spans="1:14" ht="15" thickBot="1">
      <c r="A8" s="117">
        <v>6</v>
      </c>
      <c r="B8" s="144" t="s">
        <v>155</v>
      </c>
      <c r="C8" s="11" t="s">
        <v>112</v>
      </c>
      <c r="D8" s="86">
        <v>45609</v>
      </c>
      <c r="E8" s="11">
        <v>45618</v>
      </c>
      <c r="F8" s="11">
        <v>45618</v>
      </c>
      <c r="G8" s="17">
        <v>67</v>
      </c>
      <c r="H8" s="110"/>
      <c r="I8" s="104">
        <v>6</v>
      </c>
      <c r="J8" s="10" t="s">
        <v>146</v>
      </c>
      <c r="K8" s="11" t="s">
        <v>144</v>
      </c>
      <c r="L8" s="11">
        <v>45464</v>
      </c>
      <c r="M8" s="105">
        <v>74</v>
      </c>
      <c r="N8" s="229"/>
    </row>
    <row r="9" spans="1:14" ht="15" thickBot="1">
      <c r="A9" s="88">
        <v>7</v>
      </c>
      <c r="B9" s="113" t="s">
        <v>153</v>
      </c>
      <c r="C9" s="11" t="s">
        <v>112</v>
      </c>
      <c r="D9" s="11">
        <v>45589</v>
      </c>
      <c r="E9" s="11">
        <v>45632</v>
      </c>
      <c r="F9" s="11">
        <v>45632</v>
      </c>
      <c r="G9" s="17">
        <v>107</v>
      </c>
      <c r="H9" s="110"/>
      <c r="I9" s="104">
        <v>7</v>
      </c>
      <c r="J9" s="10" t="s">
        <v>143</v>
      </c>
      <c r="K9" s="11" t="s">
        <v>144</v>
      </c>
      <c r="L9" s="11">
        <v>45464</v>
      </c>
      <c r="M9" s="105">
        <v>48</v>
      </c>
      <c r="N9" s="229"/>
    </row>
    <row r="10" spans="1:14" ht="15" thickBot="1">
      <c r="A10" s="117">
        <v>8</v>
      </c>
      <c r="B10" s="144" t="s">
        <v>155</v>
      </c>
      <c r="C10" s="11" t="s">
        <v>112</v>
      </c>
      <c r="D10" s="86">
        <v>45609</v>
      </c>
      <c r="E10" s="11">
        <v>45618</v>
      </c>
      <c r="F10" s="11">
        <v>45618</v>
      </c>
      <c r="G10" s="17">
        <v>67</v>
      </c>
      <c r="H10" s="110"/>
      <c r="I10" s="104">
        <v>8</v>
      </c>
      <c r="J10" s="10" t="s">
        <v>156</v>
      </c>
      <c r="K10" s="11" t="s">
        <v>144</v>
      </c>
      <c r="L10" s="11">
        <v>45464</v>
      </c>
      <c r="M10" s="105">
        <v>11</v>
      </c>
      <c r="N10" s="229"/>
    </row>
    <row r="11" spans="1:14" ht="15" thickBot="1">
      <c r="A11" s="117"/>
      <c r="B11" s="144"/>
      <c r="C11" s="112"/>
      <c r="D11" s="86"/>
      <c r="E11" s="86"/>
      <c r="F11" s="86"/>
      <c r="G11" s="17"/>
      <c r="H11" s="110"/>
      <c r="I11" s="104">
        <v>9</v>
      </c>
      <c r="J11" s="10" t="s">
        <v>157</v>
      </c>
      <c r="K11" s="11" t="s">
        <v>144</v>
      </c>
      <c r="L11" s="11">
        <v>45464</v>
      </c>
      <c r="M11" s="106">
        <v>33</v>
      </c>
      <c r="N11" s="229"/>
    </row>
    <row r="12" spans="1:14" ht="15" thickBot="1">
      <c r="A12" s="128"/>
      <c r="B12" s="130"/>
      <c r="C12" s="91"/>
      <c r="D12" s="87"/>
      <c r="E12" s="86"/>
      <c r="F12" s="12"/>
      <c r="G12" s="17"/>
      <c r="H12" s="110"/>
      <c r="I12" s="104">
        <v>10</v>
      </c>
      <c r="J12" s="10" t="s">
        <v>158</v>
      </c>
      <c r="K12" s="11" t="s">
        <v>144</v>
      </c>
      <c r="L12" s="84">
        <v>45464</v>
      </c>
      <c r="M12" s="98">
        <v>0</v>
      </c>
      <c r="N12" s="229"/>
    </row>
    <row r="13" spans="1:14" ht="15" thickBot="1">
      <c r="A13" s="88"/>
      <c r="B13" s="130"/>
      <c r="C13" s="91"/>
      <c r="D13" s="87"/>
      <c r="E13" s="86"/>
      <c r="F13" s="86"/>
      <c r="G13" s="17"/>
      <c r="H13" s="110"/>
      <c r="I13" s="104">
        <v>11</v>
      </c>
      <c r="J13" s="113" t="s">
        <v>15</v>
      </c>
      <c r="K13" s="112" t="s">
        <v>159</v>
      </c>
      <c r="L13" s="84">
        <v>45473</v>
      </c>
      <c r="M13" s="85">
        <v>209</v>
      </c>
      <c r="N13" s="11" t="s">
        <v>160</v>
      </c>
    </row>
    <row r="14" spans="1:14" ht="15" thickBot="1">
      <c r="A14" s="89"/>
      <c r="B14" s="130"/>
      <c r="C14" s="91"/>
      <c r="D14" s="87"/>
      <c r="E14" s="86"/>
      <c r="F14" s="86"/>
      <c r="G14" s="17"/>
      <c r="H14" s="110"/>
      <c r="I14" s="123">
        <v>12</v>
      </c>
      <c r="J14" s="131" t="s">
        <v>161</v>
      </c>
      <c r="K14" s="91" t="s">
        <v>162</v>
      </c>
      <c r="L14" s="24">
        <v>45504</v>
      </c>
      <c r="M14" s="99">
        <v>252</v>
      </c>
      <c r="N14" s="112" t="s">
        <v>145</v>
      </c>
    </row>
    <row r="15" spans="1:14" ht="15" thickBot="1">
      <c r="A15" s="89"/>
      <c r="B15" s="130"/>
      <c r="C15" s="91"/>
      <c r="D15" s="87"/>
      <c r="E15" s="86"/>
      <c r="F15" s="86"/>
      <c r="G15" s="17"/>
      <c r="H15" s="32"/>
      <c r="I15" s="124">
        <v>13</v>
      </c>
      <c r="J15" s="144" t="s">
        <v>47</v>
      </c>
      <c r="K15" s="24" t="s">
        <v>112</v>
      </c>
      <c r="L15" s="111">
        <v>45565</v>
      </c>
      <c r="M15" s="132">
        <v>153</v>
      </c>
      <c r="N15" s="122"/>
    </row>
    <row r="16" spans="1:14" ht="15" thickBot="1">
      <c r="A16" s="89"/>
      <c r="B16" s="130"/>
      <c r="C16" s="91"/>
      <c r="D16" s="87"/>
      <c r="E16" s="86"/>
      <c r="F16" s="86"/>
      <c r="G16" s="17"/>
      <c r="H16" s="32"/>
      <c r="I16" s="116">
        <v>14</v>
      </c>
      <c r="J16" s="23" t="s">
        <v>163</v>
      </c>
      <c r="K16" s="111" t="s">
        <v>112</v>
      </c>
      <c r="L16" s="97">
        <v>45657</v>
      </c>
      <c r="M16" s="98">
        <v>257</v>
      </c>
      <c r="N16" s="11"/>
    </row>
    <row r="17" spans="1:14" ht="15" thickBot="1">
      <c r="A17" s="128"/>
      <c r="B17" s="130"/>
      <c r="C17" s="91"/>
      <c r="D17" s="87"/>
      <c r="E17" s="86"/>
      <c r="F17" s="86"/>
      <c r="G17" s="17"/>
      <c r="H17" s="32"/>
      <c r="I17" s="121">
        <v>15</v>
      </c>
      <c r="J17" s="96" t="s">
        <v>164</v>
      </c>
      <c r="K17" s="91" t="s">
        <v>147</v>
      </c>
      <c r="L17" s="125">
        <v>45657</v>
      </c>
      <c r="M17" s="126">
        <v>208</v>
      </c>
      <c r="N17" s="11"/>
    </row>
    <row r="18" spans="1:14" ht="15" thickBot="1">
      <c r="A18" s="119"/>
      <c r="B18" s="118"/>
      <c r="C18" s="120"/>
      <c r="D18" s="225" t="s">
        <v>109</v>
      </c>
      <c r="E18" s="226"/>
      <c r="F18" s="227"/>
      <c r="G18" s="100">
        <f>SUM(G3:G17)</f>
        <v>944</v>
      </c>
      <c r="H18" s="110"/>
      <c r="I18" s="107"/>
      <c r="J18" s="108"/>
      <c r="K18" s="109"/>
      <c r="L18" s="114" t="s">
        <v>109</v>
      </c>
      <c r="M18" s="115">
        <f>SUM(M3:M17)</f>
        <v>2687</v>
      </c>
      <c r="N18" s="11"/>
    </row>
  </sheetData>
  <mergeCells count="5">
    <mergeCell ref="A1:G1"/>
    <mergeCell ref="I1:M1"/>
    <mergeCell ref="D18:F18"/>
    <mergeCell ref="N5:N12"/>
    <mergeCell ref="N3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15F8-0D94-4B99-A627-537AC0509A6D}">
  <sheetPr codeName="Sheet5"/>
  <dimension ref="A1:N15"/>
  <sheetViews>
    <sheetView workbookViewId="0">
      <pane ySplit="2" topLeftCell="A3" activePane="bottomLeft" state="frozen"/>
      <selection pane="bottomLeft" activeCell="E2" sqref="E2"/>
    </sheetView>
  </sheetViews>
  <sheetFormatPr defaultRowHeight="14.45"/>
  <cols>
    <col min="1" max="1" width="6" style="1" bestFit="1" customWidth="1"/>
    <col min="2" max="2" width="36.7109375" style="1" bestFit="1" customWidth="1"/>
    <col min="3" max="3" width="21" style="1" customWidth="1"/>
    <col min="4" max="5" width="14.85546875" style="1" customWidth="1"/>
    <col min="6" max="6" width="10" style="1" bestFit="1" customWidth="1"/>
    <col min="7" max="7" width="9.7109375" style="1" customWidth="1"/>
    <col min="8" max="8" width="1.28515625" style="1" customWidth="1"/>
    <col min="9" max="9" width="5.5703125" style="1" bestFit="1" customWidth="1"/>
    <col min="10" max="10" width="22.5703125" style="1" customWidth="1"/>
    <col min="11" max="11" width="24.7109375" style="1" customWidth="1"/>
    <col min="12" max="12" width="22.85546875" style="1" bestFit="1" customWidth="1"/>
    <col min="13" max="13" width="12.28515625" style="1" bestFit="1" customWidth="1"/>
    <col min="14" max="14" width="26.7109375" style="1" bestFit="1" customWidth="1"/>
  </cols>
  <sheetData>
    <row r="1" spans="1:14" ht="15" thickBot="1">
      <c r="A1" s="221" t="s">
        <v>57</v>
      </c>
      <c r="B1" s="222"/>
      <c r="C1" s="222"/>
      <c r="D1" s="222"/>
      <c r="E1" s="222"/>
      <c r="F1" s="222"/>
      <c r="G1" s="222"/>
      <c r="H1" s="69"/>
      <c r="I1" s="235" t="s">
        <v>58</v>
      </c>
      <c r="J1" s="235"/>
      <c r="K1" s="235"/>
      <c r="L1" s="235"/>
      <c r="M1" s="236"/>
    </row>
    <row r="2" spans="1:14" ht="24.6" thickBot="1">
      <c r="A2" s="15" t="s">
        <v>59</v>
      </c>
      <c r="B2" s="7" t="s">
        <v>1</v>
      </c>
      <c r="C2" s="7" t="s">
        <v>60</v>
      </c>
      <c r="D2" s="5" t="s">
        <v>61</v>
      </c>
      <c r="E2" s="5" t="s">
        <v>62</v>
      </c>
      <c r="F2" s="5" t="s">
        <v>63</v>
      </c>
      <c r="G2" s="16" t="s">
        <v>64</v>
      </c>
      <c r="H2" s="70"/>
      <c r="I2" s="7" t="s">
        <v>65</v>
      </c>
      <c r="J2" s="7" t="s">
        <v>66</v>
      </c>
      <c r="K2" s="7" t="s">
        <v>60</v>
      </c>
      <c r="L2" s="7" t="s">
        <v>67</v>
      </c>
      <c r="M2" s="7" t="s">
        <v>68</v>
      </c>
      <c r="N2" s="7" t="s">
        <v>69</v>
      </c>
    </row>
    <row r="3" spans="1:14" ht="15" thickBot="1">
      <c r="A3" s="9">
        <v>1</v>
      </c>
      <c r="B3" s="10" t="s">
        <v>115</v>
      </c>
      <c r="C3" s="11" t="s">
        <v>116</v>
      </c>
      <c r="D3" s="11">
        <v>44951</v>
      </c>
      <c r="E3" s="11">
        <v>45017</v>
      </c>
      <c r="F3" s="11">
        <v>45017</v>
      </c>
      <c r="G3" s="17">
        <v>591</v>
      </c>
      <c r="H3" s="70"/>
      <c r="I3" s="48">
        <v>1</v>
      </c>
      <c r="J3" s="10" t="s">
        <v>28</v>
      </c>
      <c r="K3" s="11" t="s">
        <v>112</v>
      </c>
      <c r="L3" s="11">
        <v>45199</v>
      </c>
      <c r="M3" s="12">
        <v>154</v>
      </c>
      <c r="N3" s="75"/>
    </row>
    <row r="4" spans="1:14">
      <c r="A4" s="9">
        <v>2</v>
      </c>
      <c r="B4" s="46" t="s">
        <v>121</v>
      </c>
      <c r="C4" s="11" t="s">
        <v>165</v>
      </c>
      <c r="D4" s="11">
        <v>45055</v>
      </c>
      <c r="E4" s="11">
        <v>45078</v>
      </c>
      <c r="F4" s="11">
        <v>45078</v>
      </c>
      <c r="G4" s="17">
        <v>56</v>
      </c>
      <c r="H4" s="70"/>
      <c r="I4" s="48">
        <v>2</v>
      </c>
      <c r="J4" s="10" t="s">
        <v>31</v>
      </c>
      <c r="K4" s="11" t="s">
        <v>166</v>
      </c>
      <c r="L4" s="11">
        <v>45199</v>
      </c>
      <c r="M4" s="12">
        <v>787</v>
      </c>
      <c r="N4" s="11" t="s">
        <v>79</v>
      </c>
    </row>
    <row r="5" spans="1:14" ht="22.9">
      <c r="A5" s="9">
        <v>3</v>
      </c>
      <c r="B5" s="74" t="s">
        <v>167</v>
      </c>
      <c r="C5" s="11" t="s">
        <v>112</v>
      </c>
      <c r="D5" s="11">
        <v>45092</v>
      </c>
      <c r="E5" s="11">
        <v>45117</v>
      </c>
      <c r="F5" s="11">
        <v>45117</v>
      </c>
      <c r="G5" s="17">
        <v>1753</v>
      </c>
      <c r="H5" s="70"/>
      <c r="I5" s="48">
        <v>3</v>
      </c>
      <c r="J5" s="74" t="s">
        <v>168</v>
      </c>
      <c r="K5" s="11" t="s">
        <v>112</v>
      </c>
      <c r="L5" s="11">
        <v>45230</v>
      </c>
      <c r="M5" s="12">
        <v>129</v>
      </c>
      <c r="N5" s="11" t="s">
        <v>169</v>
      </c>
    </row>
    <row r="6" spans="1:14">
      <c r="A6" s="9">
        <v>4</v>
      </c>
      <c r="B6" s="74" t="s">
        <v>170</v>
      </c>
      <c r="C6" s="11" t="s">
        <v>171</v>
      </c>
      <c r="D6" s="11">
        <v>45097</v>
      </c>
      <c r="E6" s="11">
        <v>45240</v>
      </c>
      <c r="F6" s="11">
        <v>45240</v>
      </c>
      <c r="G6" s="17">
        <v>35</v>
      </c>
      <c r="H6" s="70"/>
      <c r="I6" s="48">
        <v>4</v>
      </c>
      <c r="J6" s="46" t="s">
        <v>172</v>
      </c>
      <c r="K6" s="75" t="s">
        <v>173</v>
      </c>
      <c r="L6" s="11">
        <v>45292</v>
      </c>
      <c r="M6" s="12">
        <v>64</v>
      </c>
      <c r="N6" s="75" t="s">
        <v>174</v>
      </c>
    </row>
    <row r="7" spans="1:14" ht="15" thickBot="1">
      <c r="A7" s="9">
        <v>5</v>
      </c>
      <c r="B7" s="10" t="s">
        <v>175</v>
      </c>
      <c r="C7" s="11" t="s">
        <v>112</v>
      </c>
      <c r="D7" s="11">
        <v>45161</v>
      </c>
      <c r="E7" s="11">
        <v>45177</v>
      </c>
      <c r="F7" s="11">
        <v>45177</v>
      </c>
      <c r="G7" s="17">
        <v>135</v>
      </c>
      <c r="H7" s="70"/>
      <c r="I7" s="48">
        <v>5</v>
      </c>
      <c r="J7" s="10"/>
      <c r="K7" s="11"/>
      <c r="L7" s="11"/>
      <c r="M7" s="12"/>
      <c r="N7" s="22"/>
    </row>
    <row r="8" spans="1:14" ht="15" thickBot="1">
      <c r="A8" s="9">
        <v>6</v>
      </c>
      <c r="B8" s="10" t="s">
        <v>137</v>
      </c>
      <c r="C8" s="11" t="s">
        <v>112</v>
      </c>
      <c r="D8" s="11">
        <v>45209</v>
      </c>
      <c r="E8" s="11">
        <v>45258</v>
      </c>
      <c r="F8" s="11">
        <v>45258</v>
      </c>
      <c r="G8" s="17">
        <v>130</v>
      </c>
      <c r="H8" s="70"/>
      <c r="I8" s="48"/>
      <c r="J8" s="10"/>
      <c r="K8" s="11"/>
      <c r="L8" s="11"/>
      <c r="M8" s="12"/>
      <c r="N8" s="11"/>
    </row>
    <row r="9" spans="1:14" ht="15" thickBot="1">
      <c r="A9" s="48">
        <v>7</v>
      </c>
      <c r="B9" s="10" t="s">
        <v>176</v>
      </c>
      <c r="C9" s="11" t="s">
        <v>165</v>
      </c>
      <c r="D9" s="11">
        <v>45210</v>
      </c>
      <c r="E9" s="11">
        <v>45250</v>
      </c>
      <c r="F9" s="11">
        <v>45250</v>
      </c>
      <c r="G9" s="17">
        <v>400</v>
      </c>
      <c r="H9" s="70"/>
      <c r="I9" s="48"/>
      <c r="J9" s="10"/>
      <c r="K9" s="11"/>
      <c r="L9" s="11"/>
      <c r="M9" s="12"/>
      <c r="N9" s="11"/>
    </row>
    <row r="10" spans="1:14" ht="15" thickBot="1">
      <c r="A10" s="48">
        <v>8</v>
      </c>
      <c r="B10" s="10" t="s">
        <v>154</v>
      </c>
      <c r="C10" s="11" t="s">
        <v>144</v>
      </c>
      <c r="D10" s="11">
        <v>45232</v>
      </c>
      <c r="E10" s="11">
        <v>45244</v>
      </c>
      <c r="F10" s="11">
        <v>45244</v>
      </c>
      <c r="G10" s="17">
        <v>49</v>
      </c>
      <c r="H10" s="70"/>
      <c r="I10" s="48"/>
      <c r="J10" s="10"/>
      <c r="K10" s="11"/>
      <c r="L10" s="11"/>
      <c r="M10" s="12"/>
      <c r="N10" s="11"/>
    </row>
    <row r="11" spans="1:14" ht="15" thickBot="1">
      <c r="A11" s="48">
        <v>9</v>
      </c>
      <c r="B11" s="10" t="s">
        <v>152</v>
      </c>
      <c r="C11" s="11" t="s">
        <v>144</v>
      </c>
      <c r="D11" s="11">
        <v>45252</v>
      </c>
      <c r="E11" s="11">
        <v>45270</v>
      </c>
      <c r="F11" s="11">
        <v>45270</v>
      </c>
      <c r="G11" s="17">
        <v>55</v>
      </c>
      <c r="H11" s="70"/>
      <c r="I11" s="48"/>
      <c r="J11" s="10"/>
      <c r="K11" s="11"/>
      <c r="L11" s="11"/>
      <c r="M11" s="12"/>
      <c r="N11" s="11"/>
    </row>
    <row r="12" spans="1:14" ht="15" thickBot="1">
      <c r="A12" s="48">
        <v>10</v>
      </c>
      <c r="B12" s="10" t="s">
        <v>156</v>
      </c>
      <c r="C12" s="11" t="s">
        <v>144</v>
      </c>
      <c r="D12" s="11">
        <v>45261</v>
      </c>
      <c r="E12" s="11">
        <v>45265</v>
      </c>
      <c r="F12" s="11">
        <v>45265</v>
      </c>
      <c r="G12" s="17">
        <v>11</v>
      </c>
      <c r="H12" s="70"/>
      <c r="I12" s="48"/>
      <c r="J12" s="10"/>
      <c r="K12" s="11"/>
      <c r="L12" s="11"/>
      <c r="M12" s="12"/>
      <c r="N12" s="11"/>
    </row>
    <row r="13" spans="1:14" ht="15" thickBot="1">
      <c r="A13" s="48">
        <v>11</v>
      </c>
      <c r="B13" s="10" t="s">
        <v>149</v>
      </c>
      <c r="C13" s="11" t="s">
        <v>144</v>
      </c>
      <c r="D13" s="11">
        <v>45274</v>
      </c>
      <c r="E13" s="11">
        <v>45294</v>
      </c>
      <c r="F13" s="11">
        <v>45294</v>
      </c>
      <c r="G13" s="17">
        <v>52</v>
      </c>
      <c r="H13" s="70"/>
      <c r="I13" s="48"/>
      <c r="J13" s="10"/>
      <c r="K13" s="11"/>
      <c r="L13" s="11"/>
      <c r="M13" s="12"/>
      <c r="N13" s="11"/>
    </row>
    <row r="14" spans="1:14" ht="15" thickBot="1">
      <c r="A14" s="48"/>
      <c r="B14" s="10"/>
      <c r="C14" s="11"/>
      <c r="D14" s="11"/>
      <c r="E14" s="11"/>
      <c r="F14" s="12"/>
      <c r="G14" s="17"/>
      <c r="H14" s="70"/>
      <c r="I14" s="48"/>
      <c r="J14" s="10"/>
      <c r="K14" s="11"/>
      <c r="L14" s="11"/>
      <c r="M14" s="12"/>
      <c r="N14" s="11"/>
    </row>
    <row r="15" spans="1:14">
      <c r="D15" s="237" t="s">
        <v>109</v>
      </c>
      <c r="E15" s="238"/>
      <c r="F15" s="239"/>
      <c r="G15" s="77">
        <f>SUM(G3:G14)</f>
        <v>3267</v>
      </c>
      <c r="H15" s="70"/>
      <c r="I15" s="48"/>
      <c r="J15" s="10"/>
      <c r="K15" s="11"/>
      <c r="L15" s="25" t="s">
        <v>109</v>
      </c>
      <c r="M15" s="77">
        <f>SUM(M3:M14)</f>
        <v>1134</v>
      </c>
      <c r="N15" s="11"/>
    </row>
  </sheetData>
  <mergeCells count="3">
    <mergeCell ref="A1:G1"/>
    <mergeCell ref="I1:M1"/>
    <mergeCell ref="D15:F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DF8A5-A07A-473A-8004-06459AE1259C}">
  <sheetPr codeName="Sheet6"/>
  <dimension ref="A1:N11"/>
  <sheetViews>
    <sheetView workbookViewId="0">
      <pane ySplit="2" topLeftCell="A3" activePane="bottomLeft" state="frozen"/>
      <selection pane="bottomLeft" activeCell="F6" sqref="F6"/>
    </sheetView>
  </sheetViews>
  <sheetFormatPr defaultColWidth="9.140625" defaultRowHeight="14.45"/>
  <cols>
    <col min="1" max="1" width="6" style="1" bestFit="1" customWidth="1"/>
    <col min="2" max="2" width="23.28515625" style="1" bestFit="1" customWidth="1"/>
    <col min="3" max="3" width="8.85546875" style="1" bestFit="1" customWidth="1"/>
    <col min="4" max="5" width="14.85546875" style="1" customWidth="1"/>
    <col min="6" max="6" width="10" style="1" bestFit="1" customWidth="1"/>
    <col min="7" max="7" width="9.7109375" style="1" customWidth="1"/>
    <col min="8" max="8" width="1.28515625" style="1" customWidth="1"/>
    <col min="9" max="9" width="5.5703125" style="1" bestFit="1" customWidth="1"/>
    <col min="10" max="10" width="22.5703125" style="1" customWidth="1"/>
    <col min="11" max="11" width="24.7109375" style="1" customWidth="1"/>
    <col min="12" max="12" width="22.85546875" style="1" bestFit="1" customWidth="1"/>
    <col min="13" max="13" width="12.28515625" style="1" bestFit="1" customWidth="1"/>
    <col min="14" max="14" width="26.7109375" style="1" bestFit="1" customWidth="1"/>
    <col min="15" max="16384" width="9.140625" style="1"/>
  </cols>
  <sheetData>
    <row r="1" spans="1:14" ht="15" thickBot="1">
      <c r="A1" s="221" t="s">
        <v>177</v>
      </c>
      <c r="B1" s="222"/>
      <c r="C1" s="222"/>
      <c r="D1" s="222"/>
      <c r="E1" s="222"/>
      <c r="F1" s="222"/>
      <c r="G1" s="222"/>
      <c r="H1" s="69"/>
      <c r="I1" s="235" t="s">
        <v>178</v>
      </c>
      <c r="J1" s="235"/>
      <c r="K1" s="235"/>
      <c r="L1" s="235"/>
      <c r="M1" s="236"/>
    </row>
    <row r="2" spans="1:14" ht="24.6" thickBot="1">
      <c r="A2" s="15" t="s">
        <v>59</v>
      </c>
      <c r="B2" s="7" t="s">
        <v>1</v>
      </c>
      <c r="C2" s="7" t="s">
        <v>60</v>
      </c>
      <c r="D2" s="5" t="s">
        <v>61</v>
      </c>
      <c r="E2" s="93" t="s">
        <v>62</v>
      </c>
      <c r="F2" s="5" t="s">
        <v>63</v>
      </c>
      <c r="G2" s="16" t="s">
        <v>64</v>
      </c>
      <c r="H2" s="70"/>
      <c r="I2" s="7" t="s">
        <v>65</v>
      </c>
      <c r="J2" s="7" t="s">
        <v>66</v>
      </c>
      <c r="K2" s="7" t="s">
        <v>60</v>
      </c>
      <c r="L2" s="7" t="s">
        <v>67</v>
      </c>
      <c r="M2" s="7" t="s">
        <v>68</v>
      </c>
      <c r="N2" s="7" t="s">
        <v>69</v>
      </c>
    </row>
    <row r="3" spans="1:14" ht="15" thickBot="1">
      <c r="A3" s="9">
        <v>1</v>
      </c>
      <c r="B3" s="10" t="s">
        <v>179</v>
      </c>
      <c r="C3" s="11" t="s">
        <v>112</v>
      </c>
      <c r="D3" s="11">
        <v>44722</v>
      </c>
      <c r="E3" s="11">
        <v>44774</v>
      </c>
      <c r="F3" s="11">
        <v>44774</v>
      </c>
      <c r="G3" s="17">
        <v>2200</v>
      </c>
      <c r="H3" s="70"/>
      <c r="I3" s="48">
        <v>1</v>
      </c>
      <c r="J3" s="10" t="s">
        <v>180</v>
      </c>
      <c r="K3" s="11" t="s">
        <v>181</v>
      </c>
      <c r="L3" s="11">
        <v>44681</v>
      </c>
      <c r="M3" s="12">
        <v>356</v>
      </c>
      <c r="N3" s="75"/>
    </row>
    <row r="4" spans="1:14" ht="15" thickBot="1">
      <c r="A4" s="9">
        <v>2</v>
      </c>
      <c r="B4" s="46" t="s">
        <v>182</v>
      </c>
      <c r="C4" s="11" t="s">
        <v>112</v>
      </c>
      <c r="D4" s="11">
        <v>44771</v>
      </c>
      <c r="E4" s="11">
        <v>44805</v>
      </c>
      <c r="F4" s="11">
        <v>44805</v>
      </c>
      <c r="G4" s="17">
        <v>300</v>
      </c>
      <c r="H4" s="70"/>
      <c r="I4" s="48">
        <v>2</v>
      </c>
      <c r="J4" s="10" t="s">
        <v>11</v>
      </c>
      <c r="K4" s="11" t="s">
        <v>183</v>
      </c>
      <c r="L4" s="11">
        <v>44773</v>
      </c>
      <c r="M4" s="12">
        <v>124</v>
      </c>
      <c r="N4" s="11"/>
    </row>
    <row r="5" spans="1:14" ht="15" thickBot="1">
      <c r="A5" s="9">
        <v>3</v>
      </c>
      <c r="B5" s="74" t="s">
        <v>184</v>
      </c>
      <c r="C5" s="11" t="s">
        <v>112</v>
      </c>
      <c r="D5" s="11">
        <v>44846</v>
      </c>
      <c r="E5" s="11">
        <v>44880</v>
      </c>
      <c r="F5" s="11">
        <v>44880</v>
      </c>
      <c r="G5" s="17">
        <v>104</v>
      </c>
      <c r="H5" s="70"/>
      <c r="I5" s="48">
        <v>3</v>
      </c>
      <c r="J5" s="74" t="s">
        <v>52</v>
      </c>
      <c r="K5" s="11" t="s">
        <v>112</v>
      </c>
      <c r="L5" s="11">
        <v>44805</v>
      </c>
      <c r="M5" s="12">
        <v>320</v>
      </c>
      <c r="N5" s="11"/>
    </row>
    <row r="6" spans="1:14" ht="15" thickBot="1">
      <c r="A6" s="9">
        <v>4</v>
      </c>
      <c r="B6" s="74" t="s">
        <v>185</v>
      </c>
      <c r="C6" s="11" t="s">
        <v>112</v>
      </c>
      <c r="D6" s="11">
        <v>44847</v>
      </c>
      <c r="E6" s="11">
        <v>44885</v>
      </c>
      <c r="F6" s="11">
        <v>44885</v>
      </c>
      <c r="G6" s="17">
        <v>300</v>
      </c>
      <c r="H6" s="70"/>
      <c r="I6" s="48">
        <v>4</v>
      </c>
      <c r="J6" s="46" t="s">
        <v>186</v>
      </c>
      <c r="K6" s="75" t="s">
        <v>187</v>
      </c>
      <c r="L6" s="11">
        <v>44805</v>
      </c>
      <c r="M6" s="12">
        <v>700</v>
      </c>
      <c r="N6" s="75"/>
    </row>
    <row r="7" spans="1:14" ht="15" thickBot="1">
      <c r="A7" s="9">
        <v>5</v>
      </c>
      <c r="B7" s="10" t="s">
        <v>188</v>
      </c>
      <c r="C7" s="11" t="s">
        <v>112</v>
      </c>
      <c r="D7" s="11">
        <v>44863</v>
      </c>
      <c r="E7" s="11">
        <v>44879</v>
      </c>
      <c r="F7" s="11">
        <v>44879</v>
      </c>
      <c r="G7" s="17">
        <v>96</v>
      </c>
      <c r="H7" s="70"/>
      <c r="I7" s="48">
        <v>5</v>
      </c>
      <c r="J7" s="10" t="s">
        <v>36</v>
      </c>
      <c r="K7" s="11" t="s">
        <v>165</v>
      </c>
      <c r="L7" s="11">
        <v>44834</v>
      </c>
      <c r="M7" s="12">
        <v>143</v>
      </c>
      <c r="N7" s="22" t="s">
        <v>189</v>
      </c>
    </row>
    <row r="8" spans="1:14" ht="15" thickBot="1">
      <c r="A8" s="9">
        <v>6</v>
      </c>
      <c r="B8" s="10" t="s">
        <v>190</v>
      </c>
      <c r="C8" s="11" t="s">
        <v>112</v>
      </c>
      <c r="D8" s="11">
        <v>44886</v>
      </c>
      <c r="E8" s="11">
        <v>44893</v>
      </c>
      <c r="F8" s="11">
        <v>44893</v>
      </c>
      <c r="G8" s="17">
        <v>649</v>
      </c>
      <c r="H8" s="70"/>
      <c r="I8" s="48">
        <v>6</v>
      </c>
      <c r="J8" s="10" t="s">
        <v>33</v>
      </c>
      <c r="K8" s="11" t="s">
        <v>191</v>
      </c>
      <c r="L8" s="11">
        <v>44926</v>
      </c>
      <c r="M8" s="12">
        <v>204</v>
      </c>
      <c r="N8" s="11"/>
    </row>
    <row r="9" spans="1:14" ht="15" thickBot="1">
      <c r="A9" s="48">
        <v>7</v>
      </c>
      <c r="B9" s="10" t="s">
        <v>111</v>
      </c>
      <c r="C9" s="11" t="s">
        <v>112</v>
      </c>
      <c r="D9" s="11">
        <v>44893</v>
      </c>
      <c r="E9" s="11">
        <v>44896</v>
      </c>
      <c r="F9" s="11">
        <v>44896</v>
      </c>
      <c r="G9" s="17">
        <v>334</v>
      </c>
      <c r="H9" s="70"/>
      <c r="I9" s="48">
        <v>7</v>
      </c>
      <c r="J9" s="10" t="s">
        <v>192</v>
      </c>
      <c r="K9" s="11" t="s">
        <v>187</v>
      </c>
      <c r="L9" s="11">
        <v>44926</v>
      </c>
      <c r="M9" s="12">
        <v>25</v>
      </c>
      <c r="N9" s="11"/>
    </row>
    <row r="10" spans="1:14" ht="15" thickBot="1">
      <c r="A10" s="48"/>
      <c r="B10" s="10"/>
      <c r="C10" s="11"/>
      <c r="D10" s="11"/>
      <c r="E10" s="11"/>
      <c r="F10" s="11"/>
      <c r="G10" s="17"/>
      <c r="H10" s="70"/>
      <c r="I10" s="48">
        <v>8</v>
      </c>
      <c r="J10" s="10" t="s">
        <v>29</v>
      </c>
      <c r="K10" s="11" t="s">
        <v>191</v>
      </c>
      <c r="L10" s="11">
        <v>44926</v>
      </c>
      <c r="M10" s="12">
        <v>299</v>
      </c>
      <c r="N10" s="11"/>
    </row>
    <row r="11" spans="1:14" ht="15" thickBot="1">
      <c r="D11" s="237" t="s">
        <v>109</v>
      </c>
      <c r="E11" s="238"/>
      <c r="F11" s="239"/>
      <c r="G11" s="77">
        <f>SUM(G3:G10)</f>
        <v>3983</v>
      </c>
      <c r="H11" s="70"/>
      <c r="I11" s="48"/>
      <c r="J11" s="10"/>
      <c r="K11" s="11"/>
      <c r="L11" s="11"/>
      <c r="M11" s="80">
        <f>SUM(M3:M10)</f>
        <v>2171</v>
      </c>
      <c r="N11" s="11"/>
    </row>
  </sheetData>
  <mergeCells count="3">
    <mergeCell ref="A1:G1"/>
    <mergeCell ref="I1:M1"/>
    <mergeCell ref="D11:F1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FBD3-AAE4-4745-88D5-347ACCA3CAED}">
  <sheetPr codeName="Sheet7"/>
  <dimension ref="A1:N17"/>
  <sheetViews>
    <sheetView workbookViewId="0">
      <pane ySplit="2" topLeftCell="A3" activePane="bottomLeft" state="frozen"/>
      <selection pane="bottomLeft" activeCell="E2" sqref="E2"/>
    </sheetView>
  </sheetViews>
  <sheetFormatPr defaultColWidth="9.140625" defaultRowHeight="14.45"/>
  <cols>
    <col min="1" max="1" width="6" style="1" bestFit="1" customWidth="1"/>
    <col min="2" max="2" width="35" style="1" bestFit="1" customWidth="1"/>
    <col min="3" max="3" width="8.85546875" style="1" bestFit="1" customWidth="1"/>
    <col min="4" max="5" width="14.85546875" style="1" customWidth="1"/>
    <col min="6" max="6" width="10" style="1" bestFit="1" customWidth="1"/>
    <col min="7" max="7" width="9.7109375" style="1" customWidth="1"/>
    <col min="8" max="8" width="1.28515625" style="1" customWidth="1"/>
    <col min="9" max="9" width="5.5703125" style="1" bestFit="1" customWidth="1"/>
    <col min="10" max="10" width="28.42578125" style="1" bestFit="1" customWidth="1"/>
    <col min="11" max="11" width="14.85546875" style="1" bestFit="1" customWidth="1"/>
    <col min="12" max="12" width="22.85546875" style="1" bestFit="1" customWidth="1"/>
    <col min="13" max="13" width="12.28515625" style="1" bestFit="1" customWidth="1"/>
    <col min="14" max="14" width="32.28515625" style="81" bestFit="1" customWidth="1"/>
    <col min="15" max="16384" width="9.140625" style="1"/>
  </cols>
  <sheetData>
    <row r="1" spans="1:14" ht="15" thickBot="1">
      <c r="A1" s="221" t="s">
        <v>177</v>
      </c>
      <c r="B1" s="222"/>
      <c r="C1" s="222"/>
      <c r="D1" s="222"/>
      <c r="E1" s="222"/>
      <c r="F1" s="222"/>
      <c r="G1" s="222"/>
      <c r="H1" s="69"/>
      <c r="I1" s="235" t="s">
        <v>178</v>
      </c>
      <c r="J1" s="235"/>
      <c r="K1" s="235"/>
      <c r="L1" s="235"/>
      <c r="M1" s="236"/>
    </row>
    <row r="2" spans="1:14" ht="24.6" thickBot="1">
      <c r="A2" s="15" t="s">
        <v>59</v>
      </c>
      <c r="B2" s="7" t="s">
        <v>1</v>
      </c>
      <c r="C2" s="7" t="s">
        <v>60</v>
      </c>
      <c r="D2" s="5" t="s">
        <v>61</v>
      </c>
      <c r="E2" s="5" t="s">
        <v>62</v>
      </c>
      <c r="F2" s="5" t="s">
        <v>63</v>
      </c>
      <c r="G2" s="16" t="s">
        <v>64</v>
      </c>
      <c r="H2" s="70"/>
      <c r="I2" s="7" t="s">
        <v>65</v>
      </c>
      <c r="J2" s="7" t="s">
        <v>66</v>
      </c>
      <c r="K2" s="7" t="s">
        <v>60</v>
      </c>
      <c r="L2" s="7" t="s">
        <v>67</v>
      </c>
      <c r="M2" s="7" t="s">
        <v>68</v>
      </c>
      <c r="N2" s="82" t="s">
        <v>69</v>
      </c>
    </row>
    <row r="3" spans="1:14" ht="23.45" thickBot="1">
      <c r="A3" s="48">
        <v>1</v>
      </c>
      <c r="B3" s="10" t="s">
        <v>193</v>
      </c>
      <c r="C3" s="11" t="s">
        <v>112</v>
      </c>
      <c r="D3" s="11">
        <v>44187</v>
      </c>
      <c r="E3" s="11">
        <v>44200</v>
      </c>
      <c r="F3" s="11">
        <v>44200</v>
      </c>
      <c r="G3" s="17">
        <v>78</v>
      </c>
      <c r="H3" s="70"/>
      <c r="I3" s="48">
        <v>1</v>
      </c>
      <c r="J3" s="10" t="s">
        <v>194</v>
      </c>
      <c r="K3" s="11" t="s">
        <v>195</v>
      </c>
      <c r="L3" s="11">
        <v>44377</v>
      </c>
      <c r="M3" s="12">
        <v>195</v>
      </c>
      <c r="N3" s="83" t="s">
        <v>196</v>
      </c>
    </row>
    <row r="4" spans="1:14" ht="15" thickBot="1">
      <c r="A4" s="9">
        <v>2</v>
      </c>
      <c r="B4" s="46" t="s">
        <v>47</v>
      </c>
      <c r="C4" s="11" t="s">
        <v>112</v>
      </c>
      <c r="D4" s="11">
        <v>44289</v>
      </c>
      <c r="E4" s="11">
        <v>44314</v>
      </c>
      <c r="F4" s="11">
        <v>44314</v>
      </c>
      <c r="G4" s="17">
        <v>141</v>
      </c>
      <c r="H4" s="70"/>
      <c r="I4" s="48">
        <v>2</v>
      </c>
      <c r="J4" s="10" t="s">
        <v>55</v>
      </c>
      <c r="K4" s="11" t="s">
        <v>197</v>
      </c>
      <c r="L4" s="11">
        <v>44317</v>
      </c>
      <c r="M4" s="12">
        <v>36</v>
      </c>
      <c r="N4" s="22"/>
    </row>
    <row r="5" spans="1:14" ht="23.45" thickBot="1">
      <c r="A5" s="9">
        <v>3</v>
      </c>
      <c r="B5" s="74" t="s">
        <v>198</v>
      </c>
      <c r="C5" s="11" t="s">
        <v>112</v>
      </c>
      <c r="D5" s="11">
        <v>44286</v>
      </c>
      <c r="E5" s="11">
        <v>44300</v>
      </c>
      <c r="F5" s="11">
        <v>44300</v>
      </c>
      <c r="G5" s="17">
        <v>164</v>
      </c>
      <c r="H5" s="70"/>
      <c r="I5" s="48">
        <v>3</v>
      </c>
      <c r="J5" s="74" t="s">
        <v>56</v>
      </c>
      <c r="K5" s="11" t="s">
        <v>195</v>
      </c>
      <c r="L5" s="11">
        <v>44316</v>
      </c>
      <c r="M5" s="12">
        <v>242</v>
      </c>
      <c r="N5" s="22" t="s">
        <v>199</v>
      </c>
    </row>
    <row r="6" spans="1:14" ht="43.5" customHeight="1" thickBot="1">
      <c r="A6" s="9">
        <v>4</v>
      </c>
      <c r="B6" s="74" t="s">
        <v>48</v>
      </c>
      <c r="C6" s="75" t="s">
        <v>200</v>
      </c>
      <c r="D6" s="11">
        <v>44329</v>
      </c>
      <c r="E6" s="11">
        <v>44349</v>
      </c>
      <c r="F6" s="11">
        <v>44349</v>
      </c>
      <c r="G6" s="17">
        <v>228</v>
      </c>
      <c r="H6" s="70"/>
      <c r="I6" s="48">
        <v>4</v>
      </c>
      <c r="J6" s="46" t="s">
        <v>201</v>
      </c>
      <c r="K6" s="11" t="s">
        <v>171</v>
      </c>
      <c r="L6" s="11">
        <v>44378</v>
      </c>
      <c r="M6" s="12">
        <v>19</v>
      </c>
      <c r="N6" s="83" t="s">
        <v>202</v>
      </c>
    </row>
    <row r="7" spans="1:14" ht="25.5" customHeight="1" thickBot="1">
      <c r="A7" s="9">
        <v>5</v>
      </c>
      <c r="B7" s="10" t="s">
        <v>49</v>
      </c>
      <c r="C7" s="11" t="s">
        <v>112</v>
      </c>
      <c r="D7" s="11">
        <v>44384</v>
      </c>
      <c r="E7" s="11">
        <v>44409</v>
      </c>
      <c r="F7" s="11">
        <v>44409</v>
      </c>
      <c r="G7" s="17">
        <v>499</v>
      </c>
      <c r="H7" s="70"/>
      <c r="I7" s="48">
        <v>5</v>
      </c>
      <c r="J7" s="74" t="s">
        <v>32</v>
      </c>
      <c r="K7" s="11" t="s">
        <v>112</v>
      </c>
      <c r="L7" s="11">
        <v>44561</v>
      </c>
      <c r="M7" s="12">
        <v>318</v>
      </c>
      <c r="N7" s="22"/>
    </row>
    <row r="8" spans="1:14" ht="15" thickBot="1">
      <c r="A8" s="9">
        <v>6</v>
      </c>
      <c r="B8" s="10" t="s">
        <v>203</v>
      </c>
      <c r="C8" s="11" t="s">
        <v>112</v>
      </c>
      <c r="D8" s="11">
        <v>44422</v>
      </c>
      <c r="E8" s="11">
        <v>44454</v>
      </c>
      <c r="F8" s="11">
        <v>44454</v>
      </c>
      <c r="G8" s="17">
        <v>192</v>
      </c>
      <c r="H8" s="70"/>
      <c r="I8" s="48"/>
      <c r="J8" s="10"/>
      <c r="K8" s="11"/>
      <c r="L8" s="11"/>
      <c r="M8" s="12"/>
      <c r="N8" s="22"/>
    </row>
    <row r="9" spans="1:14" ht="15" thickBot="1">
      <c r="A9" s="48">
        <v>7</v>
      </c>
      <c r="B9" s="10" t="s">
        <v>204</v>
      </c>
      <c r="C9" s="11" t="s">
        <v>112</v>
      </c>
      <c r="D9" s="11">
        <v>44432</v>
      </c>
      <c r="E9" s="11">
        <v>44438</v>
      </c>
      <c r="F9" s="11">
        <v>44438</v>
      </c>
      <c r="G9" s="17">
        <v>718</v>
      </c>
      <c r="H9" s="70"/>
      <c r="I9" s="48"/>
      <c r="J9" s="10"/>
      <c r="K9" s="11"/>
      <c r="L9" s="11"/>
      <c r="M9" s="12"/>
      <c r="N9" s="22"/>
    </row>
    <row r="10" spans="1:14" ht="15" thickBot="1">
      <c r="A10" s="48">
        <v>8</v>
      </c>
      <c r="B10" s="10" t="s">
        <v>205</v>
      </c>
      <c r="C10" s="11" t="s">
        <v>112</v>
      </c>
      <c r="D10" s="11">
        <v>44426</v>
      </c>
      <c r="E10" s="11">
        <v>44434</v>
      </c>
      <c r="F10" s="11">
        <v>44434</v>
      </c>
      <c r="G10" s="17">
        <v>4</v>
      </c>
      <c r="H10" s="70"/>
      <c r="I10" s="48"/>
      <c r="J10" s="10"/>
      <c r="K10" s="11"/>
      <c r="L10" s="11"/>
      <c r="M10" s="12"/>
      <c r="N10" s="22"/>
    </row>
    <row r="11" spans="1:14" ht="15" thickBot="1">
      <c r="A11" s="48">
        <v>9</v>
      </c>
      <c r="B11" s="10" t="s">
        <v>52</v>
      </c>
      <c r="C11" s="11" t="s">
        <v>112</v>
      </c>
      <c r="D11" s="11">
        <v>44487</v>
      </c>
      <c r="E11" s="11">
        <v>44501</v>
      </c>
      <c r="F11" s="11">
        <v>44501</v>
      </c>
      <c r="G11" s="17">
        <v>260</v>
      </c>
      <c r="H11" s="70"/>
      <c r="I11" s="48"/>
      <c r="J11" s="10"/>
      <c r="K11" s="11"/>
      <c r="L11" s="11"/>
      <c r="M11" s="12"/>
      <c r="N11" s="22"/>
    </row>
    <row r="12" spans="1:14" ht="15" thickBot="1">
      <c r="A12" s="48">
        <v>10</v>
      </c>
      <c r="B12" s="10" t="s">
        <v>51</v>
      </c>
      <c r="C12" s="11" t="s">
        <v>112</v>
      </c>
      <c r="D12" s="11">
        <v>44499</v>
      </c>
      <c r="E12" s="11">
        <v>44438</v>
      </c>
      <c r="F12" s="11">
        <v>44438</v>
      </c>
      <c r="G12" s="17">
        <v>951</v>
      </c>
      <c r="H12" s="70"/>
      <c r="I12" s="48"/>
      <c r="J12" s="10"/>
      <c r="K12" s="11"/>
      <c r="L12" s="11"/>
      <c r="M12" s="12"/>
      <c r="N12" s="22"/>
    </row>
    <row r="13" spans="1:14" ht="15" thickBot="1">
      <c r="A13" s="48">
        <v>11</v>
      </c>
      <c r="B13" s="10" t="s">
        <v>163</v>
      </c>
      <c r="C13" s="11" t="s">
        <v>112</v>
      </c>
      <c r="D13" s="11">
        <v>44461</v>
      </c>
      <c r="E13" s="11">
        <v>44508</v>
      </c>
      <c r="F13" s="11">
        <v>44508</v>
      </c>
      <c r="G13" s="17">
        <v>276</v>
      </c>
      <c r="H13" s="70"/>
      <c r="I13" s="48"/>
      <c r="J13" s="10"/>
      <c r="K13" s="11"/>
      <c r="L13" s="11"/>
      <c r="M13" s="12"/>
      <c r="N13" s="22"/>
    </row>
    <row r="14" spans="1:14" ht="15" thickBot="1">
      <c r="A14" s="48">
        <v>12</v>
      </c>
      <c r="B14" s="10" t="s">
        <v>206</v>
      </c>
      <c r="C14" s="11" t="s">
        <v>112</v>
      </c>
      <c r="D14" s="11">
        <v>44510</v>
      </c>
      <c r="E14" s="11">
        <v>44517</v>
      </c>
      <c r="F14" s="11">
        <v>44517</v>
      </c>
      <c r="G14" s="17">
        <v>41</v>
      </c>
      <c r="H14" s="70"/>
      <c r="I14" s="48"/>
      <c r="J14" s="10"/>
      <c r="K14" s="11"/>
      <c r="L14" s="11"/>
      <c r="M14" s="12"/>
      <c r="N14" s="22"/>
    </row>
    <row r="15" spans="1:14" ht="15" thickBot="1">
      <c r="A15" s="48">
        <v>13</v>
      </c>
      <c r="B15" s="10" t="s">
        <v>207</v>
      </c>
      <c r="C15" s="11" t="s">
        <v>112</v>
      </c>
      <c r="D15" s="11">
        <v>44521</v>
      </c>
      <c r="E15" s="11">
        <v>44536</v>
      </c>
      <c r="F15" s="11">
        <v>44536</v>
      </c>
      <c r="G15" s="17">
        <v>235</v>
      </c>
      <c r="H15" s="70"/>
      <c r="I15" s="48"/>
      <c r="J15" s="10"/>
      <c r="K15" s="11"/>
      <c r="L15" s="11"/>
      <c r="M15" s="12"/>
      <c r="N15" s="22"/>
    </row>
    <row r="16" spans="1:14" ht="15" thickBot="1">
      <c r="A16" s="48">
        <v>14</v>
      </c>
      <c r="B16" s="10" t="s">
        <v>208</v>
      </c>
      <c r="C16" s="11" t="s">
        <v>112</v>
      </c>
      <c r="D16" s="11">
        <v>44537</v>
      </c>
      <c r="E16" s="11">
        <v>44545</v>
      </c>
      <c r="F16" s="11">
        <v>44545</v>
      </c>
      <c r="G16" s="17">
        <v>348</v>
      </c>
      <c r="H16" s="70"/>
      <c r="I16" s="48"/>
      <c r="J16" s="10"/>
      <c r="K16" s="11"/>
      <c r="L16" s="11"/>
      <c r="M16" s="12"/>
      <c r="N16" s="22"/>
    </row>
    <row r="17" spans="4:14" ht="15" thickBot="1">
      <c r="D17" s="237" t="s">
        <v>109</v>
      </c>
      <c r="E17" s="238"/>
      <c r="F17" s="239"/>
      <c r="G17" s="77">
        <f>SUM(G3:G16)</f>
        <v>4135</v>
      </c>
      <c r="H17" s="70"/>
      <c r="I17" s="48"/>
      <c r="J17" s="10"/>
      <c r="K17" s="11"/>
      <c r="L17" s="11"/>
      <c r="M17" s="80">
        <f>SUM(M3:M16)</f>
        <v>810</v>
      </c>
      <c r="N17" s="22"/>
    </row>
  </sheetData>
  <mergeCells count="3">
    <mergeCell ref="A1:G1"/>
    <mergeCell ref="I1:M1"/>
    <mergeCell ref="D17:F1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B874-3FC8-4A8A-8BE7-0956F804C9E0}">
  <sheetPr codeName="Sheet8"/>
  <dimension ref="A1:N16"/>
  <sheetViews>
    <sheetView workbookViewId="0">
      <pane ySplit="2" topLeftCell="A3" activePane="bottomLeft" state="frozen"/>
      <selection pane="bottomLeft" activeCell="F9" sqref="F9"/>
    </sheetView>
  </sheetViews>
  <sheetFormatPr defaultColWidth="9.140625" defaultRowHeight="14.45"/>
  <cols>
    <col min="1" max="1" width="6" style="1" bestFit="1" customWidth="1"/>
    <col min="2" max="2" width="23.7109375" style="1" bestFit="1" customWidth="1"/>
    <col min="3" max="3" width="6.42578125" style="1" bestFit="1" customWidth="1"/>
    <col min="4" max="5" width="14.85546875" style="1" customWidth="1"/>
    <col min="6" max="6" width="10" style="1" bestFit="1" customWidth="1"/>
    <col min="7" max="7" width="9.7109375" style="1" customWidth="1"/>
    <col min="8" max="8" width="1.28515625" style="1" customWidth="1"/>
    <col min="9" max="9" width="5.5703125" style="1" bestFit="1" customWidth="1"/>
    <col min="10" max="10" width="28.42578125" style="1" bestFit="1" customWidth="1"/>
    <col min="11" max="11" width="24.7109375" style="1" customWidth="1"/>
    <col min="12" max="12" width="22.85546875" style="1" bestFit="1" customWidth="1"/>
    <col min="13" max="13" width="12.28515625" style="1" bestFit="1" customWidth="1"/>
    <col min="14" max="14" width="32.28515625" style="1" bestFit="1" customWidth="1"/>
    <col min="15" max="16384" width="9.140625" style="1"/>
  </cols>
  <sheetData>
    <row r="1" spans="1:14" ht="15" thickBot="1">
      <c r="A1" s="221" t="s">
        <v>177</v>
      </c>
      <c r="B1" s="222"/>
      <c r="C1" s="222"/>
      <c r="D1" s="222"/>
      <c r="E1" s="222"/>
      <c r="F1" s="222"/>
      <c r="G1" s="222"/>
      <c r="H1" s="69"/>
      <c r="I1" s="235" t="s">
        <v>178</v>
      </c>
      <c r="J1" s="235"/>
      <c r="K1" s="235"/>
      <c r="L1" s="235"/>
      <c r="M1" s="236"/>
    </row>
    <row r="2" spans="1:14" ht="24.6" thickBot="1">
      <c r="A2" s="15" t="s">
        <v>59</v>
      </c>
      <c r="B2" s="7" t="s">
        <v>1</v>
      </c>
      <c r="C2" s="7" t="s">
        <v>60</v>
      </c>
      <c r="D2" s="5" t="s">
        <v>61</v>
      </c>
      <c r="E2" s="5" t="s">
        <v>62</v>
      </c>
      <c r="F2" s="5" t="s">
        <v>63</v>
      </c>
      <c r="G2" s="16" t="s">
        <v>64</v>
      </c>
      <c r="H2" s="70"/>
      <c r="I2" s="7" t="s">
        <v>65</v>
      </c>
      <c r="J2" s="7" t="s">
        <v>66</v>
      </c>
      <c r="K2" s="7" t="s">
        <v>60</v>
      </c>
      <c r="L2" s="7" t="s">
        <v>67</v>
      </c>
      <c r="M2" s="7" t="s">
        <v>68</v>
      </c>
      <c r="N2" s="7" t="s">
        <v>69</v>
      </c>
    </row>
    <row r="3" spans="1:14" ht="23.45" thickBot="1">
      <c r="A3" s="9">
        <v>1</v>
      </c>
      <c r="B3" s="74" t="s">
        <v>209</v>
      </c>
      <c r="C3" s="11" t="s">
        <v>210</v>
      </c>
      <c r="D3" s="11">
        <v>43854</v>
      </c>
      <c r="E3" s="11">
        <v>43859</v>
      </c>
      <c r="F3" s="11">
        <v>43859</v>
      </c>
      <c r="G3" s="17">
        <v>200</v>
      </c>
      <c r="H3" s="70"/>
      <c r="I3" s="48">
        <v>1</v>
      </c>
      <c r="J3" s="10" t="s">
        <v>211</v>
      </c>
      <c r="K3" s="11" t="s">
        <v>212</v>
      </c>
      <c r="L3" s="11">
        <v>43861</v>
      </c>
      <c r="M3" s="12">
        <v>323</v>
      </c>
      <c r="N3" s="11" t="s">
        <v>213</v>
      </c>
    </row>
    <row r="4" spans="1:14">
      <c r="A4" s="9">
        <v>2</v>
      </c>
      <c r="B4" s="46" t="s">
        <v>39</v>
      </c>
      <c r="C4" s="11" t="s">
        <v>210</v>
      </c>
      <c r="D4" s="11">
        <v>43866</v>
      </c>
      <c r="E4" s="11">
        <v>43899</v>
      </c>
      <c r="F4" s="11">
        <v>43899</v>
      </c>
      <c r="G4" s="17">
        <v>6088</v>
      </c>
      <c r="H4" s="70"/>
      <c r="I4" s="48">
        <v>2</v>
      </c>
      <c r="J4" s="10" t="s">
        <v>214</v>
      </c>
      <c r="K4" s="11" t="s">
        <v>215</v>
      </c>
      <c r="L4" s="11">
        <v>43861</v>
      </c>
      <c r="M4" s="12">
        <v>233</v>
      </c>
      <c r="N4" s="11"/>
    </row>
    <row r="5" spans="1:14" ht="15" thickBot="1">
      <c r="A5" s="9">
        <v>3</v>
      </c>
      <c r="B5" s="10" t="s">
        <v>40</v>
      </c>
      <c r="C5" s="11" t="s">
        <v>165</v>
      </c>
      <c r="D5" s="11">
        <v>44005</v>
      </c>
      <c r="E5" s="11">
        <v>44047</v>
      </c>
      <c r="F5" s="11">
        <v>44047</v>
      </c>
      <c r="G5" s="17">
        <v>223</v>
      </c>
      <c r="H5" s="70"/>
      <c r="I5" s="48">
        <v>3</v>
      </c>
      <c r="J5" s="10" t="s">
        <v>9</v>
      </c>
      <c r="K5" s="11" t="s">
        <v>216</v>
      </c>
      <c r="L5" s="11">
        <v>43921</v>
      </c>
      <c r="M5" s="12">
        <v>47</v>
      </c>
      <c r="N5" s="11" t="s">
        <v>217</v>
      </c>
    </row>
    <row r="6" spans="1:14" ht="15" thickBot="1">
      <c r="A6" s="9">
        <v>4</v>
      </c>
      <c r="B6" s="10" t="s">
        <v>41</v>
      </c>
      <c r="C6" s="11" t="s">
        <v>218</v>
      </c>
      <c r="D6" s="11">
        <v>44013</v>
      </c>
      <c r="E6" s="11">
        <v>44039</v>
      </c>
      <c r="F6" s="11">
        <v>44039</v>
      </c>
      <c r="G6" s="17">
        <v>192</v>
      </c>
      <c r="H6" s="70"/>
      <c r="I6" s="48">
        <v>4</v>
      </c>
      <c r="J6" s="46" t="s">
        <v>219</v>
      </c>
      <c r="K6" s="11" t="s">
        <v>220</v>
      </c>
      <c r="L6" s="11">
        <v>44135</v>
      </c>
      <c r="M6" s="12">
        <v>168</v>
      </c>
      <c r="N6" s="11"/>
    </row>
    <row r="7" spans="1:14" ht="15" thickBot="1">
      <c r="A7" s="9">
        <v>5</v>
      </c>
      <c r="B7" s="10" t="s">
        <v>42</v>
      </c>
      <c r="C7" s="11" t="s">
        <v>112</v>
      </c>
      <c r="D7" s="11">
        <v>44045</v>
      </c>
      <c r="E7" s="11">
        <v>44077</v>
      </c>
      <c r="F7" s="11">
        <v>44077</v>
      </c>
      <c r="G7" s="17">
        <v>128</v>
      </c>
      <c r="H7" s="70"/>
      <c r="I7" s="48">
        <v>5</v>
      </c>
      <c r="J7" s="10" t="s">
        <v>221</v>
      </c>
      <c r="K7" s="11" t="s">
        <v>112</v>
      </c>
      <c r="L7" s="11">
        <v>44196</v>
      </c>
      <c r="M7" s="12">
        <v>120</v>
      </c>
      <c r="N7" s="11"/>
    </row>
    <row r="8" spans="1:14" ht="15" thickBot="1">
      <c r="A8" s="9">
        <v>6</v>
      </c>
      <c r="B8" s="10" t="s">
        <v>222</v>
      </c>
      <c r="C8" s="11" t="s">
        <v>112</v>
      </c>
      <c r="D8" s="11">
        <v>44093</v>
      </c>
      <c r="E8" s="11">
        <v>44109</v>
      </c>
      <c r="F8" s="11">
        <v>44109</v>
      </c>
      <c r="G8" s="17">
        <v>120</v>
      </c>
      <c r="H8" s="70"/>
      <c r="I8" s="48">
        <v>6</v>
      </c>
      <c r="J8" s="10" t="s">
        <v>38</v>
      </c>
      <c r="K8" s="11" t="s">
        <v>112</v>
      </c>
      <c r="L8" s="11">
        <v>44196</v>
      </c>
      <c r="M8" s="12">
        <v>869</v>
      </c>
      <c r="N8" s="11" t="s">
        <v>145</v>
      </c>
    </row>
    <row r="9" spans="1:14" ht="15" thickBot="1">
      <c r="A9" s="48">
        <v>7</v>
      </c>
      <c r="B9" s="10" t="s">
        <v>44</v>
      </c>
      <c r="C9" s="11" t="s">
        <v>223</v>
      </c>
      <c r="D9" s="11">
        <v>44132</v>
      </c>
      <c r="E9" s="11">
        <v>44151</v>
      </c>
      <c r="F9" s="11">
        <v>44151</v>
      </c>
      <c r="G9" s="17">
        <v>105</v>
      </c>
      <c r="H9" s="70"/>
      <c r="I9" s="48"/>
      <c r="J9" s="10"/>
      <c r="K9" s="11"/>
      <c r="L9" s="11"/>
      <c r="M9" s="12"/>
      <c r="N9" s="11"/>
    </row>
    <row r="10" spans="1:14" ht="15" thickBot="1">
      <c r="A10" s="48">
        <v>8</v>
      </c>
      <c r="B10" s="10" t="s">
        <v>45</v>
      </c>
      <c r="C10" s="11" t="s">
        <v>112</v>
      </c>
      <c r="D10" s="11">
        <v>44160</v>
      </c>
      <c r="E10" s="11">
        <v>44531</v>
      </c>
      <c r="F10" s="11">
        <v>44531</v>
      </c>
      <c r="G10" s="17">
        <v>590</v>
      </c>
      <c r="H10" s="70"/>
      <c r="I10" s="48"/>
      <c r="J10" s="10"/>
      <c r="K10" s="11"/>
      <c r="L10" s="11"/>
      <c r="M10" s="12"/>
      <c r="N10" s="11"/>
    </row>
    <row r="11" spans="1:14" ht="15" thickBot="1">
      <c r="A11" s="48">
        <v>9</v>
      </c>
      <c r="B11" s="10" t="s">
        <v>46</v>
      </c>
      <c r="C11" s="11" t="s">
        <v>112</v>
      </c>
      <c r="D11" s="11">
        <v>44171</v>
      </c>
      <c r="E11" s="11">
        <v>44179</v>
      </c>
      <c r="F11" s="11">
        <v>44179</v>
      </c>
      <c r="G11" s="17">
        <v>133</v>
      </c>
      <c r="H11" s="70"/>
      <c r="I11" s="48"/>
      <c r="J11" s="10"/>
      <c r="K11" s="11"/>
      <c r="L11" s="11"/>
      <c r="M11" s="12"/>
      <c r="N11" s="11"/>
    </row>
    <row r="12" spans="1:14" ht="15" thickBot="1">
      <c r="A12" s="48">
        <v>10</v>
      </c>
      <c r="B12" s="10" t="s">
        <v>224</v>
      </c>
      <c r="C12" s="11" t="s">
        <v>112</v>
      </c>
      <c r="D12" s="11">
        <v>44171</v>
      </c>
      <c r="E12" s="11">
        <v>44181</v>
      </c>
      <c r="F12" s="11">
        <v>44181</v>
      </c>
      <c r="G12" s="17">
        <v>50</v>
      </c>
      <c r="H12" s="70"/>
      <c r="I12" s="48"/>
      <c r="J12" s="10"/>
      <c r="K12" s="11"/>
      <c r="L12" s="11"/>
      <c r="M12" s="12"/>
      <c r="N12" s="11"/>
    </row>
    <row r="13" spans="1:14" ht="23.45" thickBot="1">
      <c r="A13" s="48">
        <v>11</v>
      </c>
      <c r="B13" s="74" t="s">
        <v>225</v>
      </c>
      <c r="C13" s="11" t="s">
        <v>226</v>
      </c>
      <c r="D13" s="11">
        <v>44136</v>
      </c>
      <c r="E13" s="11">
        <v>44141</v>
      </c>
      <c r="F13" s="11">
        <v>44141</v>
      </c>
      <c r="G13" s="17">
        <v>56</v>
      </c>
      <c r="H13" s="70"/>
      <c r="I13" s="48"/>
      <c r="J13" s="10"/>
      <c r="K13" s="11"/>
      <c r="L13" s="11"/>
      <c r="M13" s="12"/>
      <c r="N13" s="11"/>
    </row>
    <row r="14" spans="1:14" ht="15" thickBot="1">
      <c r="A14" s="48">
        <v>12</v>
      </c>
      <c r="B14" s="10" t="s">
        <v>227</v>
      </c>
      <c r="C14" s="11" t="s">
        <v>112</v>
      </c>
      <c r="D14" s="11">
        <v>44144</v>
      </c>
      <c r="E14" s="11">
        <v>44151</v>
      </c>
      <c r="F14" s="11">
        <v>44151</v>
      </c>
      <c r="G14" s="17">
        <v>90</v>
      </c>
      <c r="H14" s="70"/>
      <c r="I14" s="48"/>
      <c r="J14" s="10"/>
      <c r="K14" s="11"/>
      <c r="L14" s="11"/>
      <c r="M14" s="12"/>
      <c r="N14" s="11"/>
    </row>
    <row r="15" spans="1:14" ht="23.45" thickBot="1">
      <c r="A15" s="48">
        <v>13</v>
      </c>
      <c r="B15" s="74" t="s">
        <v>228</v>
      </c>
      <c r="C15" s="11" t="s">
        <v>229</v>
      </c>
      <c r="D15" s="11">
        <v>44130</v>
      </c>
      <c r="E15" s="11">
        <v>44139</v>
      </c>
      <c r="F15" s="11">
        <v>44139</v>
      </c>
      <c r="G15" s="17">
        <v>24</v>
      </c>
      <c r="H15" s="70"/>
      <c r="I15" s="48"/>
      <c r="J15" s="10"/>
      <c r="K15" s="11"/>
      <c r="L15" s="11"/>
      <c r="M15" s="12"/>
      <c r="N15" s="11"/>
    </row>
    <row r="16" spans="1:14" ht="15" thickBot="1">
      <c r="D16" s="237" t="s">
        <v>109</v>
      </c>
      <c r="E16" s="238"/>
      <c r="F16" s="239"/>
      <c r="G16" s="77">
        <f>SUM(G3:G15)</f>
        <v>7999</v>
      </c>
      <c r="H16" s="70"/>
      <c r="I16" s="48"/>
      <c r="J16" s="10"/>
      <c r="K16" s="11"/>
      <c r="L16" s="11"/>
      <c r="M16" s="80">
        <f>SUM(M3:M15)</f>
        <v>1760</v>
      </c>
      <c r="N16" s="11"/>
    </row>
  </sheetData>
  <mergeCells count="3">
    <mergeCell ref="A1:G1"/>
    <mergeCell ref="I1:M1"/>
    <mergeCell ref="D16:F1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E2A3-248A-4976-A6B5-5B7E4DDD6426}">
  <sheetPr codeName="Sheet9"/>
  <dimension ref="A1:M11"/>
  <sheetViews>
    <sheetView workbookViewId="0">
      <pane ySplit="2" topLeftCell="A3" activePane="bottomLeft" state="frozen"/>
      <selection pane="bottomLeft" activeCell="K17" sqref="K17"/>
    </sheetView>
  </sheetViews>
  <sheetFormatPr defaultColWidth="9.140625" defaultRowHeight="14.45"/>
  <cols>
    <col min="1" max="1" width="6" style="1" bestFit="1" customWidth="1"/>
    <col min="2" max="2" width="23.7109375" style="1" bestFit="1" customWidth="1"/>
    <col min="3" max="3" width="6.42578125" style="1" bestFit="1" customWidth="1"/>
    <col min="4" max="5" width="14.85546875" style="1" customWidth="1"/>
    <col min="6" max="6" width="10" style="1" bestFit="1" customWidth="1"/>
    <col min="7" max="7" width="9.7109375" style="1" customWidth="1"/>
    <col min="8" max="8" width="1.28515625" style="1" customWidth="1"/>
    <col min="9" max="9" width="5.5703125" style="1" bestFit="1" customWidth="1"/>
    <col min="10" max="10" width="28.42578125" style="1" bestFit="1" customWidth="1"/>
    <col min="11" max="11" width="24.7109375" style="1" customWidth="1"/>
    <col min="12" max="12" width="22.7109375" style="1" bestFit="1" customWidth="1"/>
    <col min="13" max="13" width="12.140625" style="1" bestFit="1" customWidth="1"/>
    <col min="14" max="16384" width="9.140625" style="1"/>
  </cols>
  <sheetData>
    <row r="1" spans="1:13" ht="15" thickBot="1">
      <c r="A1" s="221" t="s">
        <v>177</v>
      </c>
      <c r="B1" s="222"/>
      <c r="C1" s="222"/>
      <c r="D1" s="222"/>
      <c r="E1" s="222"/>
      <c r="F1" s="222"/>
      <c r="G1" s="222"/>
      <c r="H1" s="69"/>
      <c r="I1" s="235" t="s">
        <v>178</v>
      </c>
      <c r="J1" s="235"/>
      <c r="K1" s="235"/>
      <c r="L1" s="235"/>
      <c r="M1" s="236"/>
    </row>
    <row r="2" spans="1:13" ht="24.6" thickBot="1">
      <c r="A2" s="15" t="s">
        <v>59</v>
      </c>
      <c r="B2" s="7" t="s">
        <v>1</v>
      </c>
      <c r="C2" s="7" t="s">
        <v>60</v>
      </c>
      <c r="D2" s="5" t="s">
        <v>61</v>
      </c>
      <c r="E2" s="5" t="s">
        <v>62</v>
      </c>
      <c r="F2" s="5" t="s">
        <v>63</v>
      </c>
      <c r="G2" s="16" t="s">
        <v>64</v>
      </c>
      <c r="H2" s="70"/>
      <c r="I2" s="7" t="s">
        <v>65</v>
      </c>
      <c r="J2" s="7" t="s">
        <v>66</v>
      </c>
      <c r="K2" s="7" t="s">
        <v>60</v>
      </c>
      <c r="L2" s="7" t="s">
        <v>67</v>
      </c>
      <c r="M2" s="7" t="s">
        <v>68</v>
      </c>
    </row>
    <row r="3" spans="1:13" ht="23.45" thickBot="1">
      <c r="A3" s="9">
        <v>1</v>
      </c>
      <c r="B3" s="46" t="s">
        <v>13</v>
      </c>
      <c r="C3" s="39" t="s">
        <v>165</v>
      </c>
      <c r="D3" s="11">
        <v>43494</v>
      </c>
      <c r="E3" s="11">
        <v>43512</v>
      </c>
      <c r="F3" s="11">
        <v>43512</v>
      </c>
      <c r="G3" s="17">
        <v>559</v>
      </c>
      <c r="H3" s="70"/>
      <c r="I3" s="48">
        <v>1</v>
      </c>
      <c r="J3" s="10" t="s">
        <v>230</v>
      </c>
      <c r="K3" s="11" t="s">
        <v>231</v>
      </c>
      <c r="L3" s="11">
        <v>43555</v>
      </c>
      <c r="M3" s="12">
        <v>59</v>
      </c>
    </row>
    <row r="4" spans="1:13" ht="23.45" thickBot="1">
      <c r="A4" s="9">
        <v>2</v>
      </c>
      <c r="B4" s="46" t="s">
        <v>56</v>
      </c>
      <c r="C4" s="39" t="s">
        <v>165</v>
      </c>
      <c r="D4" s="11">
        <v>43523</v>
      </c>
      <c r="E4" s="11">
        <v>43565</v>
      </c>
      <c r="F4" s="11">
        <v>43565</v>
      </c>
      <c r="G4" s="17">
        <v>288</v>
      </c>
      <c r="H4" s="70"/>
      <c r="I4" s="48">
        <v>2</v>
      </c>
      <c r="J4" s="10" t="s">
        <v>232</v>
      </c>
      <c r="K4" s="11" t="s">
        <v>233</v>
      </c>
      <c r="L4" s="11">
        <v>43585</v>
      </c>
      <c r="M4" s="12">
        <v>815</v>
      </c>
    </row>
    <row r="5" spans="1:13" ht="15" thickBot="1">
      <c r="A5" s="9">
        <v>3</v>
      </c>
      <c r="B5" s="10" t="s">
        <v>234</v>
      </c>
      <c r="C5" s="11" t="s">
        <v>210</v>
      </c>
      <c r="D5" s="11">
        <v>43752</v>
      </c>
      <c r="E5" s="11">
        <v>43755</v>
      </c>
      <c r="F5" s="11">
        <v>43755</v>
      </c>
      <c r="G5" s="17">
        <v>80</v>
      </c>
      <c r="H5" s="70"/>
      <c r="I5" s="48">
        <v>3</v>
      </c>
      <c r="J5" s="10" t="s">
        <v>235</v>
      </c>
      <c r="K5" s="11" t="s">
        <v>112</v>
      </c>
      <c r="L5" s="11">
        <v>43616</v>
      </c>
      <c r="M5" s="12">
        <v>30</v>
      </c>
    </row>
    <row r="6" spans="1:13" ht="23.45" thickBot="1">
      <c r="A6" s="9">
        <v>4</v>
      </c>
      <c r="B6" s="10" t="s">
        <v>236</v>
      </c>
      <c r="C6" s="11" t="s">
        <v>233</v>
      </c>
      <c r="D6" s="11">
        <v>43761</v>
      </c>
      <c r="E6" s="11">
        <v>43770</v>
      </c>
      <c r="F6" s="11">
        <v>43770</v>
      </c>
      <c r="G6" s="17">
        <v>51</v>
      </c>
      <c r="H6" s="70"/>
      <c r="I6" s="48">
        <v>4</v>
      </c>
      <c r="J6" s="46" t="s">
        <v>237</v>
      </c>
      <c r="K6" s="11" t="s">
        <v>238</v>
      </c>
      <c r="L6" s="11">
        <v>43677</v>
      </c>
      <c r="M6" s="12">
        <v>492</v>
      </c>
    </row>
    <row r="7" spans="1:13" ht="15" thickBot="1">
      <c r="A7" s="9">
        <v>5</v>
      </c>
      <c r="B7" s="10" t="s">
        <v>239</v>
      </c>
      <c r="C7" s="11" t="s">
        <v>112</v>
      </c>
      <c r="D7" s="11">
        <v>43789</v>
      </c>
      <c r="E7" s="11">
        <v>43794</v>
      </c>
      <c r="F7" s="11">
        <v>43794</v>
      </c>
      <c r="G7" s="17">
        <v>303</v>
      </c>
      <c r="H7" s="70"/>
      <c r="I7" s="48">
        <v>5</v>
      </c>
      <c r="J7" s="10" t="s">
        <v>240</v>
      </c>
      <c r="K7" s="11" t="s">
        <v>231</v>
      </c>
      <c r="L7" s="11">
        <v>43769</v>
      </c>
      <c r="M7" s="12">
        <v>270</v>
      </c>
    </row>
    <row r="8" spans="1:13" ht="15" thickBot="1">
      <c r="A8" s="9">
        <v>6</v>
      </c>
      <c r="B8" s="10" t="s">
        <v>5</v>
      </c>
      <c r="C8" s="39" t="s">
        <v>165</v>
      </c>
      <c r="D8" s="11">
        <v>43796</v>
      </c>
      <c r="E8" s="11">
        <v>43810</v>
      </c>
      <c r="F8" s="11">
        <v>43810</v>
      </c>
      <c r="G8" s="17">
        <v>72</v>
      </c>
      <c r="H8" s="70"/>
      <c r="I8" s="48">
        <v>6</v>
      </c>
      <c r="J8" s="10" t="s">
        <v>241</v>
      </c>
      <c r="K8" s="11" t="s">
        <v>165</v>
      </c>
      <c r="L8" s="11">
        <v>43799</v>
      </c>
      <c r="M8" s="12">
        <v>280</v>
      </c>
    </row>
    <row r="9" spans="1:13" ht="15" thickBot="1">
      <c r="A9" s="48"/>
      <c r="B9" s="10"/>
      <c r="C9" s="11"/>
      <c r="D9" s="11"/>
      <c r="E9" s="11"/>
      <c r="F9" s="12"/>
      <c r="G9" s="17"/>
      <c r="H9" s="70"/>
      <c r="I9" s="48">
        <v>7</v>
      </c>
      <c r="J9" s="10" t="s">
        <v>242</v>
      </c>
      <c r="K9" s="11" t="s">
        <v>231</v>
      </c>
      <c r="L9" s="11">
        <v>43799</v>
      </c>
      <c r="M9" s="12">
        <v>102</v>
      </c>
    </row>
    <row r="10" spans="1:13" ht="15" thickBot="1">
      <c r="A10" s="48"/>
      <c r="B10" s="10"/>
      <c r="C10" s="11"/>
      <c r="D10" s="11"/>
      <c r="E10" s="11"/>
      <c r="F10" s="12"/>
      <c r="G10" s="17"/>
      <c r="H10" s="70"/>
      <c r="I10" s="48">
        <v>9</v>
      </c>
      <c r="J10" s="10" t="s">
        <v>243</v>
      </c>
      <c r="K10" s="11" t="s">
        <v>183</v>
      </c>
      <c r="L10" s="11">
        <v>43830</v>
      </c>
      <c r="M10" s="12">
        <v>100</v>
      </c>
    </row>
    <row r="11" spans="1:13" ht="15" thickBot="1">
      <c r="D11" s="237" t="s">
        <v>109</v>
      </c>
      <c r="E11" s="238"/>
      <c r="F11" s="239"/>
      <c r="G11" s="77">
        <f>SUM(G3:G10)</f>
        <v>1353</v>
      </c>
      <c r="H11" s="70"/>
      <c r="I11" s="48"/>
      <c r="J11" s="10"/>
      <c r="K11" s="11"/>
      <c r="L11" s="11"/>
      <c r="M11" s="80">
        <f>SUM(M3:M10)</f>
        <v>2148</v>
      </c>
    </row>
  </sheetData>
  <mergeCells count="3">
    <mergeCell ref="A1:G1"/>
    <mergeCell ref="I1:M1"/>
    <mergeCell ref="D11:F1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5E38-448E-4CE1-9410-3313D2171F7A}">
  <sheetPr codeName="Sheet10"/>
  <dimension ref="A1:M23"/>
  <sheetViews>
    <sheetView workbookViewId="0">
      <pane ySplit="2" topLeftCell="A7" activePane="bottomLeft" state="frozen"/>
      <selection pane="bottomLeft" activeCell="F8" sqref="F8"/>
    </sheetView>
  </sheetViews>
  <sheetFormatPr defaultColWidth="9.140625" defaultRowHeight="14.45"/>
  <cols>
    <col min="1" max="1" width="6" style="1" bestFit="1" customWidth="1"/>
    <col min="2" max="2" width="23.7109375" style="1" bestFit="1" customWidth="1"/>
    <col min="3" max="3" width="6.42578125" style="1" bestFit="1" customWidth="1"/>
    <col min="4" max="4" width="9.85546875" style="1" bestFit="1" customWidth="1"/>
    <col min="5" max="5" width="14.140625" style="1" bestFit="1" customWidth="1"/>
    <col min="6" max="6" width="9.85546875" style="1" bestFit="1" customWidth="1"/>
    <col min="7" max="7" width="9.7109375" style="1" customWidth="1"/>
    <col min="8" max="8" width="1.28515625" style="1" customWidth="1"/>
    <col min="9" max="9" width="5.5703125" style="1" bestFit="1" customWidth="1"/>
    <col min="10" max="10" width="33.85546875" style="1" bestFit="1" customWidth="1"/>
    <col min="11" max="11" width="29.42578125" style="1" bestFit="1" customWidth="1"/>
    <col min="12" max="12" width="22.7109375" style="1" bestFit="1" customWidth="1"/>
    <col min="13" max="13" width="12.140625" style="1" bestFit="1" customWidth="1"/>
    <col min="14" max="16384" width="9.140625" style="1"/>
  </cols>
  <sheetData>
    <row r="1" spans="1:13" ht="15" thickBot="1">
      <c r="A1" s="221" t="s">
        <v>177</v>
      </c>
      <c r="B1" s="222"/>
      <c r="C1" s="222"/>
      <c r="D1" s="222"/>
      <c r="E1" s="222"/>
      <c r="F1" s="222"/>
      <c r="G1" s="222"/>
      <c r="H1" s="69"/>
      <c r="I1" s="235" t="s">
        <v>178</v>
      </c>
      <c r="J1" s="235"/>
      <c r="K1" s="235"/>
      <c r="L1" s="235"/>
      <c r="M1" s="236"/>
    </row>
    <row r="2" spans="1:13" ht="48.6" thickBot="1">
      <c r="A2" s="15" t="s">
        <v>59</v>
      </c>
      <c r="B2" s="7" t="s">
        <v>1</v>
      </c>
      <c r="C2" s="7" t="s">
        <v>60</v>
      </c>
      <c r="D2" s="5" t="s">
        <v>61</v>
      </c>
      <c r="E2" s="5" t="s">
        <v>62</v>
      </c>
      <c r="F2" s="5" t="s">
        <v>63</v>
      </c>
      <c r="G2" s="16" t="s">
        <v>64</v>
      </c>
      <c r="H2" s="70"/>
      <c r="I2" s="7" t="s">
        <v>65</v>
      </c>
      <c r="J2" s="7" t="s">
        <v>66</v>
      </c>
      <c r="K2" s="7" t="s">
        <v>60</v>
      </c>
      <c r="L2" s="7" t="s">
        <v>67</v>
      </c>
      <c r="M2" s="7" t="s">
        <v>68</v>
      </c>
    </row>
    <row r="3" spans="1:13" ht="15" thickBot="1">
      <c r="A3" s="9">
        <v>1</v>
      </c>
      <c r="B3" s="39" t="s">
        <v>25</v>
      </c>
      <c r="C3" s="39" t="s">
        <v>112</v>
      </c>
      <c r="D3" s="11">
        <v>43194</v>
      </c>
      <c r="E3" s="11">
        <v>43206</v>
      </c>
      <c r="F3" s="11">
        <v>43206</v>
      </c>
      <c r="G3" s="17">
        <v>2107</v>
      </c>
      <c r="H3" s="70"/>
      <c r="I3" s="48">
        <v>1</v>
      </c>
      <c r="J3" s="10" t="s">
        <v>244</v>
      </c>
      <c r="K3" s="11" t="s">
        <v>245</v>
      </c>
      <c r="L3" s="11">
        <v>43131</v>
      </c>
      <c r="M3" s="12">
        <v>43</v>
      </c>
    </row>
    <row r="4" spans="1:13" ht="15" thickBot="1">
      <c r="A4" s="58">
        <v>2</v>
      </c>
      <c r="B4" s="59" t="s">
        <v>24</v>
      </c>
      <c r="C4" s="59" t="s">
        <v>112</v>
      </c>
      <c r="D4" s="60">
        <v>43222</v>
      </c>
      <c r="E4" s="60">
        <v>43259</v>
      </c>
      <c r="F4" s="60">
        <v>43259</v>
      </c>
      <c r="G4" s="67">
        <v>197</v>
      </c>
      <c r="H4" s="70"/>
      <c r="I4" s="48">
        <v>2</v>
      </c>
      <c r="J4" s="10" t="s">
        <v>246</v>
      </c>
      <c r="K4" s="11" t="s">
        <v>247</v>
      </c>
      <c r="L4" s="11">
        <v>43159</v>
      </c>
      <c r="M4" s="12">
        <v>109</v>
      </c>
    </row>
    <row r="5" spans="1:13" ht="15" thickBot="1">
      <c r="A5" s="58">
        <v>3</v>
      </c>
      <c r="B5" s="59" t="s">
        <v>248</v>
      </c>
      <c r="C5" s="59" t="s">
        <v>165</v>
      </c>
      <c r="D5" s="60">
        <v>43262</v>
      </c>
      <c r="E5" s="60">
        <v>43276</v>
      </c>
      <c r="F5" s="60">
        <v>43276</v>
      </c>
      <c r="G5" s="67">
        <v>130</v>
      </c>
      <c r="H5" s="70"/>
      <c r="I5" s="48">
        <v>3</v>
      </c>
      <c r="J5" s="10" t="s">
        <v>249</v>
      </c>
      <c r="K5" s="11" t="s">
        <v>247</v>
      </c>
      <c r="L5" s="11">
        <v>43190</v>
      </c>
      <c r="M5" s="12">
        <v>192</v>
      </c>
    </row>
    <row r="6" spans="1:13" ht="15" thickBot="1">
      <c r="A6" s="63">
        <v>4</v>
      </c>
      <c r="B6" s="64" t="s">
        <v>36</v>
      </c>
      <c r="C6" s="64" t="s">
        <v>165</v>
      </c>
      <c r="D6" s="65">
        <v>43284</v>
      </c>
      <c r="E6" s="65">
        <v>43298</v>
      </c>
      <c r="F6" s="65">
        <v>43298</v>
      </c>
      <c r="G6" s="68">
        <v>174</v>
      </c>
      <c r="H6" s="70"/>
      <c r="I6" s="48">
        <v>4</v>
      </c>
      <c r="J6" s="10" t="s">
        <v>250</v>
      </c>
      <c r="K6" s="11" t="s">
        <v>251</v>
      </c>
      <c r="L6" s="11">
        <v>43235</v>
      </c>
      <c r="M6" s="12">
        <v>219</v>
      </c>
    </row>
    <row r="7" spans="1:13" ht="15" thickBot="1">
      <c r="A7" s="63">
        <v>5</v>
      </c>
      <c r="B7" s="64" t="s">
        <v>31</v>
      </c>
      <c r="C7" s="64" t="s">
        <v>252</v>
      </c>
      <c r="D7" s="65">
        <v>43329</v>
      </c>
      <c r="E7" s="65">
        <v>43381</v>
      </c>
      <c r="F7" s="65">
        <v>43381</v>
      </c>
      <c r="G7" s="68">
        <v>480</v>
      </c>
      <c r="H7" s="70"/>
      <c r="I7" s="48">
        <v>5</v>
      </c>
      <c r="J7" s="10" t="s">
        <v>253</v>
      </c>
      <c r="K7" s="11" t="s">
        <v>254</v>
      </c>
      <c r="L7" s="11">
        <v>43343</v>
      </c>
      <c r="M7" s="12">
        <v>2311</v>
      </c>
    </row>
    <row r="8" spans="1:13" ht="15" thickBot="1">
      <c r="A8" s="63">
        <v>6</v>
      </c>
      <c r="B8" s="64" t="s">
        <v>34</v>
      </c>
      <c r="C8" s="64" t="s">
        <v>255</v>
      </c>
      <c r="D8" s="65">
        <v>43397</v>
      </c>
      <c r="E8" s="65">
        <v>43417</v>
      </c>
      <c r="F8" s="65">
        <v>43417</v>
      </c>
      <c r="G8" s="68">
        <v>337</v>
      </c>
      <c r="H8" s="70"/>
      <c r="I8" s="48">
        <v>6</v>
      </c>
      <c r="J8" s="10" t="s">
        <v>256</v>
      </c>
      <c r="K8" s="11" t="s">
        <v>238</v>
      </c>
      <c r="L8" s="11">
        <v>43373</v>
      </c>
      <c r="M8" s="12">
        <v>396</v>
      </c>
    </row>
    <row r="9" spans="1:13" ht="15" thickBot="1">
      <c r="A9" s="63">
        <v>7</v>
      </c>
      <c r="B9" s="64" t="s">
        <v>22</v>
      </c>
      <c r="C9" s="64" t="s">
        <v>252</v>
      </c>
      <c r="D9" s="65">
        <v>43444</v>
      </c>
      <c r="E9" s="65">
        <v>43466</v>
      </c>
      <c r="F9" s="65">
        <v>43466</v>
      </c>
      <c r="G9" s="68">
        <v>740</v>
      </c>
      <c r="H9" s="70"/>
      <c r="I9" s="48">
        <v>7</v>
      </c>
      <c r="J9" s="10" t="s">
        <v>257</v>
      </c>
      <c r="K9" s="11" t="s">
        <v>254</v>
      </c>
      <c r="L9" s="11">
        <v>43399</v>
      </c>
      <c r="M9" s="12">
        <v>760</v>
      </c>
    </row>
    <row r="10" spans="1:13" ht="15" thickBot="1">
      <c r="A10" s="63"/>
      <c r="B10" s="64"/>
      <c r="C10" s="64"/>
      <c r="D10" s="65"/>
      <c r="E10" s="65"/>
      <c r="F10" s="65"/>
      <c r="G10" s="68"/>
      <c r="H10" s="70"/>
      <c r="I10" s="48">
        <v>8</v>
      </c>
      <c r="J10" s="10" t="s">
        <v>258</v>
      </c>
      <c r="K10" s="11" t="s">
        <v>255</v>
      </c>
      <c r="L10" s="11">
        <v>43401</v>
      </c>
      <c r="M10" s="12">
        <v>622</v>
      </c>
    </row>
    <row r="11" spans="1:13" ht="15" thickBot="1">
      <c r="A11" s="63"/>
      <c r="B11" s="64"/>
      <c r="C11" s="64"/>
      <c r="D11" s="65"/>
      <c r="E11" s="65"/>
      <c r="F11" s="65"/>
      <c r="G11" s="68"/>
      <c r="H11" s="70"/>
      <c r="I11" s="48">
        <v>9</v>
      </c>
      <c r="J11" s="10" t="s">
        <v>259</v>
      </c>
      <c r="K11" s="11" t="s">
        <v>260</v>
      </c>
      <c r="L11" s="11">
        <v>43465</v>
      </c>
      <c r="M11" s="12">
        <v>931</v>
      </c>
    </row>
    <row r="12" spans="1:13" ht="15" thickBot="1">
      <c r="H12" s="70"/>
      <c r="I12" s="48">
        <v>10</v>
      </c>
      <c r="J12" s="10" t="s">
        <v>261</v>
      </c>
      <c r="K12" s="11" t="s">
        <v>260</v>
      </c>
      <c r="L12" s="11">
        <v>43465</v>
      </c>
      <c r="M12" s="12">
        <v>229</v>
      </c>
    </row>
    <row r="13" spans="1:13" ht="15" thickBot="1">
      <c r="D13" s="49"/>
      <c r="E13" s="49"/>
      <c r="F13" s="49"/>
      <c r="G13" s="49"/>
      <c r="H13" s="70"/>
      <c r="I13" s="48">
        <v>11</v>
      </c>
      <c r="J13" s="10" t="s">
        <v>262</v>
      </c>
      <c r="K13" s="11" t="s">
        <v>72</v>
      </c>
      <c r="L13" s="11">
        <v>43465</v>
      </c>
      <c r="M13" s="12">
        <v>549</v>
      </c>
    </row>
    <row r="14" spans="1:13" ht="15" thickBot="1">
      <c r="D14" s="49"/>
      <c r="E14" s="49"/>
      <c r="F14" s="49"/>
      <c r="G14" s="49"/>
      <c r="H14" s="70"/>
      <c r="I14" s="48">
        <v>12</v>
      </c>
      <c r="J14" s="10" t="s">
        <v>263</v>
      </c>
      <c r="K14" s="11" t="s">
        <v>72</v>
      </c>
      <c r="L14" s="11">
        <v>43465</v>
      </c>
      <c r="M14" s="12">
        <v>21</v>
      </c>
    </row>
    <row r="15" spans="1:13" ht="15" thickBot="1">
      <c r="D15" s="49"/>
      <c r="E15" s="49"/>
      <c r="F15" s="49"/>
      <c r="G15" s="49"/>
      <c r="H15" s="70"/>
      <c r="I15" s="48">
        <v>13</v>
      </c>
      <c r="J15" s="10" t="s">
        <v>264</v>
      </c>
      <c r="K15" s="11" t="s">
        <v>231</v>
      </c>
      <c r="L15" s="11">
        <v>43465</v>
      </c>
      <c r="M15" s="12">
        <v>215</v>
      </c>
    </row>
    <row r="16" spans="1:13" ht="15" thickBot="1">
      <c r="D16" s="49"/>
      <c r="E16" s="49"/>
      <c r="F16" s="49"/>
      <c r="G16" s="49"/>
      <c r="H16" s="70"/>
      <c r="I16" s="48">
        <v>14</v>
      </c>
      <c r="J16" s="10" t="s">
        <v>265</v>
      </c>
      <c r="K16" s="11" t="s">
        <v>266</v>
      </c>
      <c r="L16" s="11">
        <v>43465</v>
      </c>
      <c r="M16" s="12">
        <v>155</v>
      </c>
    </row>
    <row r="17" spans="2:13" ht="15" thickBot="1">
      <c r="D17" s="49"/>
      <c r="E17" s="49"/>
      <c r="F17" s="49"/>
      <c r="G17" s="49"/>
      <c r="H17" s="71"/>
      <c r="I17" s="48">
        <v>15</v>
      </c>
      <c r="J17" s="10" t="s">
        <v>267</v>
      </c>
      <c r="K17" s="11" t="s">
        <v>268</v>
      </c>
      <c r="L17" s="11">
        <v>43465</v>
      </c>
      <c r="M17" s="12">
        <v>277</v>
      </c>
    </row>
    <row r="18" spans="2:13" ht="15" thickBot="1">
      <c r="D18" s="237" t="s">
        <v>109</v>
      </c>
      <c r="E18" s="238"/>
      <c r="F18" s="239"/>
      <c r="G18" s="77">
        <f>SUM(G3:G11)</f>
        <v>4165</v>
      </c>
      <c r="H18" s="33"/>
      <c r="L18" s="25" t="s">
        <v>109</v>
      </c>
      <c r="M18" s="25">
        <f>SUM(M3:M17)</f>
        <v>7029</v>
      </c>
    </row>
    <row r="19" spans="2:13" hidden="1">
      <c r="B19" s="29" t="s">
        <v>269</v>
      </c>
      <c r="C19" s="30" t="s">
        <v>270</v>
      </c>
      <c r="D19" s="242" t="s">
        <v>271</v>
      </c>
      <c r="E19" s="242"/>
      <c r="F19" s="242"/>
      <c r="G19" s="242"/>
      <c r="H19" s="33"/>
      <c r="L19" s="24"/>
      <c r="M19" s="24"/>
    </row>
    <row r="20" spans="2:13" hidden="1">
      <c r="B20" s="78" t="s">
        <v>4</v>
      </c>
      <c r="C20" s="78">
        <v>44</v>
      </c>
      <c r="D20" s="241" t="s">
        <v>272</v>
      </c>
      <c r="E20" s="241"/>
      <c r="F20" s="241"/>
      <c r="G20" s="241"/>
      <c r="H20" s="33"/>
      <c r="I20" s="76"/>
      <c r="J20" s="76"/>
      <c r="K20" s="24"/>
      <c r="L20" s="57"/>
      <c r="M20" s="24"/>
    </row>
    <row r="21" spans="2:13" ht="28.9" hidden="1">
      <c r="B21" s="78" t="s">
        <v>53</v>
      </c>
      <c r="C21" s="78">
        <v>18</v>
      </c>
      <c r="D21" s="241" t="s">
        <v>273</v>
      </c>
      <c r="E21" s="241"/>
      <c r="F21" s="241"/>
      <c r="G21" s="241"/>
      <c r="H21" s="33"/>
      <c r="I21" s="243" t="s">
        <v>274</v>
      </c>
      <c r="J21" s="243"/>
      <c r="K21" s="79" t="s">
        <v>275</v>
      </c>
      <c r="L21" s="24"/>
      <c r="M21" s="24"/>
    </row>
    <row r="22" spans="2:13" hidden="1">
      <c r="B22" s="1" t="s">
        <v>276</v>
      </c>
      <c r="C22" s="1">
        <v>62</v>
      </c>
      <c r="D22" s="241" t="s">
        <v>277</v>
      </c>
      <c r="E22" s="241"/>
      <c r="F22" s="241"/>
      <c r="G22" s="241"/>
      <c r="H22" s="33"/>
      <c r="I22" s="244">
        <f>SUM('Client List'!C3:C39)</f>
        <v>19840</v>
      </c>
      <c r="J22" s="244"/>
      <c r="K22" s="78">
        <f>SUM('Client List'!D3:D39)</f>
        <v>1013</v>
      </c>
      <c r="L22" s="24"/>
      <c r="M22" s="24"/>
    </row>
    <row r="23" spans="2:13" hidden="1">
      <c r="B23"/>
      <c r="C23"/>
      <c r="H23" s="33"/>
      <c r="I23" s="240">
        <f>SUM('Client List'!C51:C67)</f>
        <v>6625</v>
      </c>
      <c r="J23" s="240"/>
      <c r="K23" s="78">
        <f>SUM('Client List'!D51:D67)</f>
        <v>61</v>
      </c>
      <c r="L23" s="24"/>
      <c r="M23" s="24"/>
    </row>
  </sheetData>
  <mergeCells count="10">
    <mergeCell ref="I23:J23"/>
    <mergeCell ref="D22:G22"/>
    <mergeCell ref="A1:G1"/>
    <mergeCell ref="I1:M1"/>
    <mergeCell ref="D18:F18"/>
    <mergeCell ref="D19:G19"/>
    <mergeCell ref="D20:G20"/>
    <mergeCell ref="D21:G21"/>
    <mergeCell ref="I21:J21"/>
    <mergeCell ref="I22:J22"/>
  </mergeCells>
  <pageMargins left="0.7" right="0.7" top="0.75" bottom="0.75" header="0.3" footer="0.3"/>
  <pageSetup orientation="portrait"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M18"/>
  <sheetViews>
    <sheetView workbookViewId="0">
      <pane xSplit="1" ySplit="2" topLeftCell="B8" activePane="bottomRight" state="frozen"/>
      <selection pane="bottomRight" activeCell="F13" sqref="F13"/>
      <selection pane="bottomLeft" activeCell="A3" sqref="A3"/>
      <selection pane="topRight" activeCell="B1" sqref="B1"/>
    </sheetView>
  </sheetViews>
  <sheetFormatPr defaultColWidth="9.140625" defaultRowHeight="14.45"/>
  <cols>
    <col min="1" max="1" width="6" style="1" bestFit="1" customWidth="1"/>
    <col min="2" max="2" width="23.7109375" style="1" bestFit="1" customWidth="1"/>
    <col min="3" max="3" width="18.85546875" style="1" bestFit="1" customWidth="1"/>
    <col min="4" max="4" width="9.85546875" style="1" bestFit="1" customWidth="1"/>
    <col min="5" max="5" width="15.140625" style="1" customWidth="1"/>
    <col min="6" max="6" width="9.85546875" style="1" bestFit="1" customWidth="1"/>
    <col min="7" max="7" width="9.7109375" style="1" customWidth="1"/>
    <col min="8" max="8" width="3.140625" style="1" customWidth="1"/>
    <col min="9" max="9" width="5.5703125" style="1" bestFit="1" customWidth="1"/>
    <col min="10" max="10" width="27.42578125" style="1" bestFit="1" customWidth="1"/>
    <col min="11" max="11" width="16.5703125" style="1" bestFit="1" customWidth="1"/>
    <col min="12" max="12" width="22.7109375" style="1" bestFit="1" customWidth="1"/>
    <col min="13" max="13" width="12.140625" style="1" bestFit="1" customWidth="1"/>
    <col min="14" max="16384" width="9.140625" style="1"/>
  </cols>
  <sheetData>
    <row r="1" spans="1:13" ht="15" thickBot="1">
      <c r="A1" s="221" t="s">
        <v>177</v>
      </c>
      <c r="B1" s="222"/>
      <c r="C1" s="222"/>
      <c r="D1" s="222"/>
      <c r="E1" s="222"/>
      <c r="F1" s="222"/>
      <c r="G1" s="222"/>
      <c r="H1" s="31"/>
      <c r="I1" s="245" t="s">
        <v>178</v>
      </c>
      <c r="J1" s="235"/>
      <c r="K1" s="235"/>
      <c r="L1" s="235"/>
      <c r="M1" s="236"/>
    </row>
    <row r="2" spans="1:13" ht="48.6" thickBot="1">
      <c r="A2" s="15" t="s">
        <v>59</v>
      </c>
      <c r="B2" s="7" t="s">
        <v>1</v>
      </c>
      <c r="C2" s="7" t="s">
        <v>60</v>
      </c>
      <c r="D2" s="5" t="s">
        <v>61</v>
      </c>
      <c r="E2" s="5" t="s">
        <v>62</v>
      </c>
      <c r="F2" s="5" t="s">
        <v>63</v>
      </c>
      <c r="G2" s="16" t="s">
        <v>64</v>
      </c>
      <c r="H2" s="32"/>
      <c r="I2" s="3" t="s">
        <v>65</v>
      </c>
      <c r="J2" s="7" t="s">
        <v>66</v>
      </c>
      <c r="K2" s="7" t="s">
        <v>60</v>
      </c>
      <c r="L2" s="7" t="s">
        <v>67</v>
      </c>
      <c r="M2" s="7" t="s">
        <v>68</v>
      </c>
    </row>
    <row r="3" spans="1:13" ht="15" thickBot="1">
      <c r="A3" s="34">
        <v>1</v>
      </c>
      <c r="B3" s="40" t="s">
        <v>278</v>
      </c>
      <c r="C3" s="40" t="s">
        <v>238</v>
      </c>
      <c r="D3" s="35">
        <v>42691</v>
      </c>
      <c r="E3" s="35">
        <v>42753</v>
      </c>
      <c r="F3" s="35">
        <v>42753</v>
      </c>
      <c r="G3" s="36">
        <v>145</v>
      </c>
      <c r="H3" s="32"/>
      <c r="I3" s="47">
        <v>1</v>
      </c>
      <c r="J3" s="41" t="s">
        <v>279</v>
      </c>
      <c r="K3" s="42" t="s">
        <v>112</v>
      </c>
      <c r="L3" s="37">
        <v>42766</v>
      </c>
      <c r="M3" s="38">
        <v>100</v>
      </c>
    </row>
    <row r="4" spans="1:13" ht="15" thickBot="1">
      <c r="A4" s="9">
        <v>2</v>
      </c>
      <c r="B4" s="39" t="s">
        <v>280</v>
      </c>
      <c r="C4" s="39" t="s">
        <v>247</v>
      </c>
      <c r="D4" s="11">
        <v>42616</v>
      </c>
      <c r="E4" s="11">
        <v>42767</v>
      </c>
      <c r="F4" s="11">
        <v>42767</v>
      </c>
      <c r="G4" s="17">
        <v>106</v>
      </c>
      <c r="H4" s="32"/>
      <c r="I4" s="9">
        <v>2</v>
      </c>
      <c r="J4" s="39" t="s">
        <v>281</v>
      </c>
      <c r="K4" s="22" t="s">
        <v>72</v>
      </c>
      <c r="L4" s="11">
        <v>42855</v>
      </c>
      <c r="M4" s="12">
        <v>116</v>
      </c>
    </row>
    <row r="5" spans="1:13" ht="15" thickBot="1">
      <c r="A5" s="9">
        <v>3</v>
      </c>
      <c r="B5" s="39" t="s">
        <v>9</v>
      </c>
      <c r="C5" s="39" t="s">
        <v>72</v>
      </c>
      <c r="D5" s="11">
        <v>42667</v>
      </c>
      <c r="E5" s="11">
        <v>42767</v>
      </c>
      <c r="F5" s="11">
        <v>42767</v>
      </c>
      <c r="G5" s="17">
        <v>323</v>
      </c>
      <c r="H5" s="32"/>
      <c r="I5" s="9">
        <v>3</v>
      </c>
      <c r="J5" s="39" t="s">
        <v>282</v>
      </c>
      <c r="K5" s="22" t="s">
        <v>247</v>
      </c>
      <c r="L5" s="11">
        <v>42978</v>
      </c>
      <c r="M5" s="12">
        <v>61</v>
      </c>
    </row>
    <row r="6" spans="1:13" ht="15" thickBot="1">
      <c r="A6" s="34">
        <v>4</v>
      </c>
      <c r="B6" s="40" t="s">
        <v>279</v>
      </c>
      <c r="C6" s="40" t="s">
        <v>112</v>
      </c>
      <c r="D6" s="35">
        <v>42669</v>
      </c>
      <c r="E6" s="35">
        <v>42767</v>
      </c>
      <c r="F6" s="35">
        <v>42767</v>
      </c>
      <c r="G6" s="36">
        <v>100</v>
      </c>
      <c r="H6" s="32"/>
      <c r="I6" s="34">
        <v>4</v>
      </c>
      <c r="J6" s="40" t="s">
        <v>278</v>
      </c>
      <c r="K6" s="43" t="s">
        <v>238</v>
      </c>
      <c r="L6" s="35">
        <v>43008</v>
      </c>
      <c r="M6" s="44">
        <v>147</v>
      </c>
    </row>
    <row r="7" spans="1:13" ht="15" thickBot="1">
      <c r="A7" s="34">
        <v>5</v>
      </c>
      <c r="B7" s="40" t="s">
        <v>283</v>
      </c>
      <c r="C7" s="40" t="s">
        <v>238</v>
      </c>
      <c r="D7" s="35">
        <v>42720</v>
      </c>
      <c r="E7" s="35">
        <v>42767</v>
      </c>
      <c r="F7" s="35">
        <v>42767</v>
      </c>
      <c r="G7" s="36">
        <v>91</v>
      </c>
      <c r="H7" s="32"/>
      <c r="I7" s="34">
        <v>5</v>
      </c>
      <c r="J7" s="40" t="s">
        <v>284</v>
      </c>
      <c r="K7" s="43" t="s">
        <v>247</v>
      </c>
      <c r="L7" s="35">
        <v>43039</v>
      </c>
      <c r="M7" s="44">
        <v>283</v>
      </c>
    </row>
    <row r="8" spans="1:13" ht="15" thickBot="1">
      <c r="A8" s="9">
        <v>6</v>
      </c>
      <c r="B8" s="39" t="s">
        <v>285</v>
      </c>
      <c r="C8" s="39" t="s">
        <v>260</v>
      </c>
      <c r="D8" s="11">
        <v>42724</v>
      </c>
      <c r="E8" s="11">
        <v>42767</v>
      </c>
      <c r="F8" s="11">
        <v>42767</v>
      </c>
      <c r="G8" s="17">
        <v>231</v>
      </c>
      <c r="H8" s="32"/>
      <c r="I8" s="9">
        <v>6</v>
      </c>
      <c r="J8" s="39" t="s">
        <v>286</v>
      </c>
      <c r="K8" s="22" t="s">
        <v>72</v>
      </c>
      <c r="L8" s="11">
        <v>43100</v>
      </c>
      <c r="M8" s="12">
        <v>399</v>
      </c>
    </row>
    <row r="9" spans="1:13" ht="15" thickBot="1">
      <c r="A9" s="9">
        <v>7</v>
      </c>
      <c r="B9" s="39" t="s">
        <v>30</v>
      </c>
      <c r="C9" s="39" t="s">
        <v>238</v>
      </c>
      <c r="D9" s="11">
        <v>42730</v>
      </c>
      <c r="E9" s="11">
        <v>42828</v>
      </c>
      <c r="F9" s="11">
        <v>42828</v>
      </c>
      <c r="G9" s="17">
        <v>443</v>
      </c>
      <c r="H9" s="32"/>
      <c r="I9" s="34">
        <v>7</v>
      </c>
      <c r="J9" s="40" t="s">
        <v>283</v>
      </c>
      <c r="K9" s="43" t="s">
        <v>238</v>
      </c>
      <c r="L9" s="35">
        <v>43100</v>
      </c>
      <c r="M9" s="44">
        <v>97</v>
      </c>
    </row>
    <row r="10" spans="1:13" ht="15" thickBot="1">
      <c r="A10" s="9">
        <v>8</v>
      </c>
      <c r="B10" s="39" t="s">
        <v>256</v>
      </c>
      <c r="C10" s="39" t="s">
        <v>238</v>
      </c>
      <c r="D10" s="11">
        <v>42795</v>
      </c>
      <c r="E10" s="11">
        <v>42835</v>
      </c>
      <c r="F10" s="11">
        <v>42835</v>
      </c>
      <c r="G10" s="17">
        <v>150</v>
      </c>
      <c r="H10" s="32"/>
      <c r="I10" s="9">
        <v>8</v>
      </c>
      <c r="J10" s="39" t="s">
        <v>287</v>
      </c>
      <c r="K10" s="22" t="s">
        <v>247</v>
      </c>
      <c r="L10" s="11">
        <v>43100</v>
      </c>
      <c r="M10" s="12">
        <v>125</v>
      </c>
    </row>
    <row r="11" spans="1:13" ht="15" thickBot="1">
      <c r="A11" s="9">
        <v>9</v>
      </c>
      <c r="B11" s="39" t="s">
        <v>288</v>
      </c>
      <c r="C11" s="39" t="s">
        <v>112</v>
      </c>
      <c r="D11" s="11">
        <v>42815</v>
      </c>
      <c r="E11" s="11">
        <v>42856</v>
      </c>
      <c r="F11" s="11">
        <v>42856</v>
      </c>
      <c r="G11" s="17">
        <v>84</v>
      </c>
      <c r="H11" s="32"/>
      <c r="I11" s="76"/>
      <c r="J11" s="76"/>
      <c r="K11" s="24"/>
      <c r="L11" s="25"/>
      <c r="M11" s="25"/>
    </row>
    <row r="12" spans="1:13" ht="15" thickBot="1">
      <c r="A12" s="34">
        <v>10</v>
      </c>
      <c r="B12" s="40" t="s">
        <v>284</v>
      </c>
      <c r="C12" s="40" t="s">
        <v>247</v>
      </c>
      <c r="D12" s="35">
        <v>42807</v>
      </c>
      <c r="E12" s="35">
        <v>42877</v>
      </c>
      <c r="F12" s="35">
        <v>42877</v>
      </c>
      <c r="G12" s="36">
        <v>260</v>
      </c>
      <c r="H12" s="32"/>
      <c r="I12" s="76"/>
      <c r="J12" s="76"/>
      <c r="K12" s="24"/>
      <c r="L12" s="24"/>
      <c r="M12" s="24"/>
    </row>
    <row r="13" spans="1:13" ht="15" thickBot="1">
      <c r="A13" s="9">
        <v>11</v>
      </c>
      <c r="B13" s="39" t="s">
        <v>17</v>
      </c>
      <c r="C13" s="39" t="s">
        <v>247</v>
      </c>
      <c r="D13" s="11">
        <v>42815</v>
      </c>
      <c r="E13" s="11">
        <v>42919</v>
      </c>
      <c r="F13" s="11">
        <v>42919</v>
      </c>
      <c r="G13" s="17">
        <v>68</v>
      </c>
      <c r="H13" s="32"/>
      <c r="I13" s="76"/>
      <c r="J13" s="76"/>
      <c r="K13" s="24"/>
      <c r="L13" s="24"/>
      <c r="M13" s="24"/>
    </row>
    <row r="14" spans="1:13" ht="23.45" thickBot="1">
      <c r="A14" s="9">
        <v>12</v>
      </c>
      <c r="B14" s="46" t="s">
        <v>237</v>
      </c>
      <c r="C14" s="39" t="s">
        <v>238</v>
      </c>
      <c r="D14" s="11">
        <v>42926</v>
      </c>
      <c r="E14" s="11">
        <v>42943</v>
      </c>
      <c r="F14" s="11">
        <v>42943</v>
      </c>
      <c r="G14" s="17">
        <v>253</v>
      </c>
      <c r="H14" s="32"/>
      <c r="I14" s="76"/>
      <c r="J14" s="76"/>
      <c r="K14" s="24"/>
      <c r="L14" s="24"/>
      <c r="M14" s="24"/>
    </row>
    <row r="15" spans="1:13" ht="15" thickBot="1">
      <c r="A15" s="9">
        <v>13</v>
      </c>
      <c r="B15" s="39" t="s">
        <v>289</v>
      </c>
      <c r="C15" s="39" t="s">
        <v>112</v>
      </c>
      <c r="D15" s="11">
        <v>42936</v>
      </c>
      <c r="E15" s="11">
        <v>42954</v>
      </c>
      <c r="F15" s="11">
        <v>42954</v>
      </c>
      <c r="G15" s="17">
        <v>181</v>
      </c>
      <c r="H15" s="32"/>
      <c r="I15" s="76"/>
      <c r="J15" s="76"/>
      <c r="K15" s="24"/>
      <c r="L15" s="24"/>
      <c r="M15" s="24"/>
    </row>
    <row r="16" spans="1:13" ht="15" thickBot="1">
      <c r="A16" s="9">
        <v>14</v>
      </c>
      <c r="B16" s="39" t="s">
        <v>14</v>
      </c>
      <c r="C16" s="39" t="s">
        <v>112</v>
      </c>
      <c r="D16" s="11">
        <v>42997</v>
      </c>
      <c r="E16" s="11">
        <v>43040</v>
      </c>
      <c r="F16" s="11">
        <v>43040</v>
      </c>
      <c r="G16" s="17">
        <v>807</v>
      </c>
      <c r="H16" s="32"/>
      <c r="I16" s="76"/>
      <c r="J16" s="76"/>
      <c r="K16" s="24"/>
      <c r="L16" s="24"/>
      <c r="M16" s="24"/>
    </row>
    <row r="17" spans="1:13" ht="15" thickBot="1">
      <c r="A17" s="9">
        <v>15</v>
      </c>
      <c r="B17" s="39" t="s">
        <v>6</v>
      </c>
      <c r="C17" s="39" t="s">
        <v>112</v>
      </c>
      <c r="D17" s="11">
        <v>43043</v>
      </c>
      <c r="E17" s="11">
        <v>43053</v>
      </c>
      <c r="F17" s="11">
        <v>43053</v>
      </c>
      <c r="G17" s="17">
        <v>1060</v>
      </c>
      <c r="H17" s="32"/>
      <c r="I17" s="76"/>
      <c r="J17" s="76"/>
      <c r="K17" s="24"/>
      <c r="L17" s="24"/>
      <c r="M17" s="24"/>
    </row>
    <row r="18" spans="1:13" ht="15" thickBot="1">
      <c r="D18" s="246" t="s">
        <v>109</v>
      </c>
      <c r="E18" s="247"/>
      <c r="F18" s="248"/>
      <c r="G18" s="45">
        <f>SUM(G3:G17)</f>
        <v>4302</v>
      </c>
      <c r="H18" s="32"/>
      <c r="I18" s="76"/>
      <c r="J18" s="76"/>
      <c r="K18" s="24"/>
      <c r="L18" s="24"/>
      <c r="M18" s="24"/>
    </row>
  </sheetData>
  <sortState xmlns:xlrd2="http://schemas.microsoft.com/office/spreadsheetml/2017/richdata2" ref="I3:M9">
    <sortCondition ref="L3:L9"/>
  </sortState>
  <mergeCells count="3">
    <mergeCell ref="A1:G1"/>
    <mergeCell ref="I1:M1"/>
    <mergeCell ref="D18:F18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/>
  <dimension ref="A1:M13"/>
  <sheetViews>
    <sheetView workbookViewId="0">
      <selection activeCell="B2" sqref="B2"/>
    </sheetView>
  </sheetViews>
  <sheetFormatPr defaultRowHeight="14.45"/>
  <cols>
    <col min="1" max="1" width="6" bestFit="1" customWidth="1"/>
    <col min="2" max="2" width="35.85546875" bestFit="1" customWidth="1"/>
    <col min="3" max="3" width="26.140625" bestFit="1" customWidth="1"/>
    <col min="4" max="4" width="12.42578125" bestFit="1" customWidth="1"/>
    <col min="5" max="5" width="15.85546875" customWidth="1"/>
    <col min="6" max="6" width="9.85546875" bestFit="1" customWidth="1"/>
    <col min="7" max="7" width="9.7109375" style="1" bestFit="1" customWidth="1"/>
    <col min="8" max="8" width="2" style="2" customWidth="1"/>
    <col min="9" max="9" width="5.5703125" bestFit="1" customWidth="1"/>
    <col min="10" max="10" width="19.140625" bestFit="1" customWidth="1"/>
    <col min="11" max="11" width="31.85546875" bestFit="1" customWidth="1"/>
    <col min="12" max="12" width="22.7109375" bestFit="1" customWidth="1"/>
    <col min="13" max="13" width="12.140625" bestFit="1" customWidth="1"/>
  </cols>
  <sheetData>
    <row r="1" spans="1:13" ht="15" thickBot="1">
      <c r="A1" s="221" t="s">
        <v>177</v>
      </c>
      <c r="B1" s="222"/>
      <c r="C1" s="222"/>
      <c r="D1" s="222"/>
      <c r="E1" s="222"/>
      <c r="F1" s="222"/>
      <c r="G1" s="222"/>
      <c r="I1" s="245" t="s">
        <v>178</v>
      </c>
      <c r="J1" s="235"/>
      <c r="K1" s="235"/>
      <c r="L1" s="235"/>
      <c r="M1" s="236"/>
    </row>
    <row r="2" spans="1:13" s="8" customFormat="1" ht="24.6" thickBot="1">
      <c r="A2" s="15" t="s">
        <v>59</v>
      </c>
      <c r="B2" s="4" t="s">
        <v>1</v>
      </c>
      <c r="C2" s="7" t="s">
        <v>60</v>
      </c>
      <c r="D2" s="5" t="s">
        <v>61</v>
      </c>
      <c r="E2" s="5" t="s">
        <v>62</v>
      </c>
      <c r="F2" s="5" t="s">
        <v>63</v>
      </c>
      <c r="G2" s="16" t="s">
        <v>64</v>
      </c>
      <c r="H2" s="6"/>
      <c r="I2" s="3" t="s">
        <v>65</v>
      </c>
      <c r="J2" s="4" t="s">
        <v>66</v>
      </c>
      <c r="K2" s="7" t="s">
        <v>60</v>
      </c>
      <c r="L2" s="7" t="s">
        <v>67</v>
      </c>
      <c r="M2" s="7" t="s">
        <v>68</v>
      </c>
    </row>
    <row r="3" spans="1:13" s="8" customFormat="1" ht="12" thickBot="1">
      <c r="A3" s="9">
        <v>1</v>
      </c>
      <c r="B3" s="10" t="s">
        <v>290</v>
      </c>
      <c r="C3" s="10" t="s">
        <v>191</v>
      </c>
      <c r="D3" s="11">
        <v>42290</v>
      </c>
      <c r="E3" s="11">
        <v>42552</v>
      </c>
      <c r="F3" s="11">
        <v>42552</v>
      </c>
      <c r="G3" s="17">
        <v>176</v>
      </c>
      <c r="H3" s="6"/>
      <c r="I3" s="12">
        <v>1</v>
      </c>
      <c r="J3" s="10" t="s">
        <v>291</v>
      </c>
      <c r="K3" s="22" t="s">
        <v>231</v>
      </c>
      <c r="L3" s="11">
        <v>42401</v>
      </c>
      <c r="M3" s="12">
        <v>310</v>
      </c>
    </row>
    <row r="4" spans="1:13" s="8" customFormat="1" ht="12" thickBot="1">
      <c r="A4" s="9">
        <v>2</v>
      </c>
      <c r="B4" s="10" t="s">
        <v>292</v>
      </c>
      <c r="C4" s="10" t="s">
        <v>293</v>
      </c>
      <c r="D4" s="11">
        <v>42528</v>
      </c>
      <c r="E4" s="11">
        <v>42628</v>
      </c>
      <c r="F4" s="11">
        <v>42628</v>
      </c>
      <c r="G4" s="17">
        <v>273</v>
      </c>
      <c r="H4" s="6"/>
      <c r="I4" s="12">
        <v>2</v>
      </c>
      <c r="J4" s="10" t="s">
        <v>294</v>
      </c>
      <c r="K4" s="22" t="s">
        <v>215</v>
      </c>
      <c r="L4" s="11">
        <v>42430</v>
      </c>
      <c r="M4" s="12">
        <v>919</v>
      </c>
    </row>
    <row r="5" spans="1:13" s="8" customFormat="1" ht="12" thickBot="1">
      <c r="A5" s="9">
        <v>3</v>
      </c>
      <c r="B5" s="10" t="s">
        <v>259</v>
      </c>
      <c r="C5" s="10" t="s">
        <v>295</v>
      </c>
      <c r="D5" s="11">
        <v>42546</v>
      </c>
      <c r="E5" s="11">
        <v>42583</v>
      </c>
      <c r="F5" s="11">
        <v>42583</v>
      </c>
      <c r="G5" s="17">
        <v>1438</v>
      </c>
      <c r="H5" s="6"/>
      <c r="I5" s="12">
        <v>3</v>
      </c>
      <c r="J5" s="10" t="s">
        <v>296</v>
      </c>
      <c r="K5" s="22" t="s">
        <v>297</v>
      </c>
      <c r="L5" s="11">
        <v>42491</v>
      </c>
      <c r="M5" s="12">
        <v>258</v>
      </c>
    </row>
    <row r="6" spans="1:13" s="8" customFormat="1" ht="12" thickBot="1">
      <c r="A6" s="9">
        <v>4</v>
      </c>
      <c r="B6" s="10" t="s">
        <v>19</v>
      </c>
      <c r="C6" s="10" t="s">
        <v>252</v>
      </c>
      <c r="D6" s="11">
        <v>42576</v>
      </c>
      <c r="E6" s="11">
        <v>42612</v>
      </c>
      <c r="F6" s="11">
        <v>42612</v>
      </c>
      <c r="G6" s="17">
        <v>143</v>
      </c>
      <c r="H6" s="6"/>
      <c r="I6" s="12">
        <v>4</v>
      </c>
      <c r="J6" s="10" t="s">
        <v>298</v>
      </c>
      <c r="K6" s="22" t="s">
        <v>251</v>
      </c>
      <c r="L6" s="11">
        <v>42552</v>
      </c>
      <c r="M6" s="12">
        <v>407</v>
      </c>
    </row>
    <row r="7" spans="1:13" s="8" customFormat="1" ht="12" thickBot="1">
      <c r="A7" s="9">
        <v>5</v>
      </c>
      <c r="B7" s="10" t="s">
        <v>29</v>
      </c>
      <c r="C7" s="10" t="s">
        <v>191</v>
      </c>
      <c r="D7" s="11">
        <v>42577</v>
      </c>
      <c r="E7" s="11">
        <v>42620</v>
      </c>
      <c r="F7" s="11">
        <v>42620</v>
      </c>
      <c r="G7" s="17">
        <v>232</v>
      </c>
      <c r="H7" s="6"/>
      <c r="I7" s="12">
        <v>5</v>
      </c>
      <c r="J7" s="10" t="s">
        <v>299</v>
      </c>
      <c r="K7" s="22" t="s">
        <v>231</v>
      </c>
      <c r="L7" s="11">
        <v>42583</v>
      </c>
      <c r="M7" s="12">
        <v>144</v>
      </c>
    </row>
    <row r="8" spans="1:13" s="8" customFormat="1" ht="12" thickBot="1">
      <c r="A8" s="9">
        <v>6</v>
      </c>
      <c r="B8" s="10" t="s">
        <v>300</v>
      </c>
      <c r="C8" s="10" t="s">
        <v>252</v>
      </c>
      <c r="D8" s="11">
        <v>42598</v>
      </c>
      <c r="E8" s="11">
        <v>42606</v>
      </c>
      <c r="F8" s="11">
        <v>42606</v>
      </c>
      <c r="G8" s="17">
        <v>363</v>
      </c>
      <c r="H8" s="6"/>
      <c r="I8" s="12">
        <v>6</v>
      </c>
      <c r="J8" s="10" t="s">
        <v>301</v>
      </c>
      <c r="K8" s="22" t="s">
        <v>302</v>
      </c>
      <c r="L8" s="11">
        <v>42591</v>
      </c>
      <c r="M8" s="12">
        <v>431</v>
      </c>
    </row>
    <row r="9" spans="1:13" s="8" customFormat="1" ht="12" thickBot="1">
      <c r="A9" s="9">
        <v>7</v>
      </c>
      <c r="B9" s="10" t="s">
        <v>28</v>
      </c>
      <c r="C9" s="10" t="s">
        <v>252</v>
      </c>
      <c r="D9" s="11">
        <v>42606</v>
      </c>
      <c r="E9" s="11">
        <v>42644</v>
      </c>
      <c r="F9" s="11">
        <v>42644</v>
      </c>
      <c r="G9" s="17">
        <v>152</v>
      </c>
      <c r="H9" s="6"/>
      <c r="I9" s="12">
        <v>7</v>
      </c>
      <c r="J9" s="10" t="s">
        <v>303</v>
      </c>
      <c r="K9" s="22" t="s">
        <v>183</v>
      </c>
      <c r="L9" s="11">
        <v>42704</v>
      </c>
      <c r="M9" s="12">
        <v>88</v>
      </c>
    </row>
    <row r="10" spans="1:13" s="8" customFormat="1" ht="12" thickBot="1">
      <c r="A10" s="9">
        <v>8</v>
      </c>
      <c r="B10" s="10" t="s">
        <v>304</v>
      </c>
      <c r="C10" s="10" t="s">
        <v>247</v>
      </c>
      <c r="D10" s="11">
        <v>42610</v>
      </c>
      <c r="E10" s="11">
        <v>42644</v>
      </c>
      <c r="F10" s="11">
        <v>42644</v>
      </c>
      <c r="G10" s="17">
        <v>550</v>
      </c>
      <c r="H10" s="6"/>
      <c r="I10" s="12">
        <v>8</v>
      </c>
      <c r="J10" s="10" t="s">
        <v>305</v>
      </c>
      <c r="K10" s="22" t="s">
        <v>251</v>
      </c>
      <c r="L10" s="11">
        <v>42705</v>
      </c>
      <c r="M10" s="12">
        <v>3332</v>
      </c>
    </row>
    <row r="11" spans="1:13" s="8" customFormat="1" ht="12" thickBot="1">
      <c r="A11" s="9">
        <v>9</v>
      </c>
      <c r="B11" s="10" t="s">
        <v>38</v>
      </c>
      <c r="C11" s="10" t="s">
        <v>112</v>
      </c>
      <c r="D11" s="11">
        <v>42642</v>
      </c>
      <c r="E11" s="11">
        <v>42692</v>
      </c>
      <c r="F11" s="11">
        <v>42692</v>
      </c>
      <c r="G11" s="17">
        <v>1041</v>
      </c>
      <c r="H11" s="6"/>
      <c r="I11" s="12">
        <v>9</v>
      </c>
      <c r="J11" s="10" t="s">
        <v>306</v>
      </c>
      <c r="K11" s="22" t="s">
        <v>220</v>
      </c>
      <c r="L11" s="19">
        <v>42735</v>
      </c>
      <c r="M11" s="12">
        <v>299</v>
      </c>
    </row>
    <row r="12" spans="1:13" s="8" customFormat="1" ht="12" thickBot="1">
      <c r="A12" s="9">
        <v>10</v>
      </c>
      <c r="B12" s="10" t="s">
        <v>32</v>
      </c>
      <c r="C12" s="10" t="s">
        <v>112</v>
      </c>
      <c r="D12" s="11">
        <v>42682</v>
      </c>
      <c r="E12" s="11">
        <v>42692</v>
      </c>
      <c r="F12" s="11">
        <v>42692</v>
      </c>
      <c r="G12" s="17">
        <v>170</v>
      </c>
      <c r="H12" s="6"/>
      <c r="I12" s="12">
        <v>10</v>
      </c>
      <c r="J12" s="10" t="s">
        <v>307</v>
      </c>
      <c r="K12" s="22" t="s">
        <v>308</v>
      </c>
      <c r="L12" s="19">
        <v>42735</v>
      </c>
      <c r="M12" s="12">
        <v>5741</v>
      </c>
    </row>
    <row r="13" spans="1:13" s="8" customFormat="1" ht="15" thickBot="1">
      <c r="A13"/>
      <c r="B13"/>
      <c r="C13"/>
      <c r="D13" s="246" t="s">
        <v>109</v>
      </c>
      <c r="E13" s="247"/>
      <c r="F13" s="248"/>
      <c r="G13" s="21">
        <f>SUM(G3:G12)</f>
        <v>4538</v>
      </c>
      <c r="H13" s="6"/>
      <c r="I13" s="76"/>
      <c r="J13" s="23"/>
      <c r="K13" s="73"/>
      <c r="L13" s="25" t="s">
        <v>109</v>
      </c>
      <c r="M13" s="25">
        <f>SUM(M3:M12)</f>
        <v>11929</v>
      </c>
    </row>
  </sheetData>
  <sortState xmlns:xlrd2="http://schemas.microsoft.com/office/spreadsheetml/2017/richdata2" ref="A3:G11">
    <sortCondition ref="D3:D11"/>
  </sortState>
  <mergeCells count="3">
    <mergeCell ref="A1:G1"/>
    <mergeCell ref="I1:M1"/>
    <mergeCell ref="D13:F1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3"/>
  <dimension ref="A1:L21"/>
  <sheetViews>
    <sheetView workbookViewId="0">
      <selection activeCell="C2" sqref="C2"/>
    </sheetView>
  </sheetViews>
  <sheetFormatPr defaultRowHeight="14.45"/>
  <cols>
    <col min="1" max="1" width="3.5703125" bestFit="1" customWidth="1"/>
    <col min="2" max="2" width="22.5703125" bestFit="1" customWidth="1"/>
    <col min="3" max="3" width="12.42578125" bestFit="1" customWidth="1"/>
    <col min="4" max="4" width="14.140625" customWidth="1"/>
    <col min="5" max="5" width="9.85546875" bestFit="1" customWidth="1"/>
    <col min="6" max="6" width="9.7109375" style="1" bestFit="1" customWidth="1"/>
    <col min="7" max="7" width="4" style="2" customWidth="1"/>
    <col min="8" max="8" width="5.5703125" bestFit="1" customWidth="1"/>
    <col min="9" max="9" width="22.28515625" bestFit="1" customWidth="1"/>
    <col min="10" max="10" width="22" bestFit="1" customWidth="1"/>
    <col min="11" max="11" width="22.7109375" bestFit="1" customWidth="1"/>
    <col min="12" max="12" width="12.140625" bestFit="1" customWidth="1"/>
  </cols>
  <sheetData>
    <row r="1" spans="1:12" ht="15" thickBot="1">
      <c r="A1" s="221" t="s">
        <v>177</v>
      </c>
      <c r="B1" s="222"/>
      <c r="C1" s="222"/>
      <c r="D1" s="222"/>
      <c r="E1" s="222"/>
      <c r="F1" s="222"/>
      <c r="H1" s="245" t="s">
        <v>178</v>
      </c>
      <c r="I1" s="235"/>
      <c r="J1" s="235"/>
      <c r="K1" s="235"/>
      <c r="L1" s="236"/>
    </row>
    <row r="2" spans="1:12" s="8" customFormat="1" ht="24.6" thickBot="1">
      <c r="A2" s="15" t="s">
        <v>59</v>
      </c>
      <c r="B2" s="4" t="s">
        <v>1</v>
      </c>
      <c r="C2" s="5" t="s">
        <v>61</v>
      </c>
      <c r="D2" s="5" t="s">
        <v>62</v>
      </c>
      <c r="E2" s="5" t="s">
        <v>63</v>
      </c>
      <c r="F2" s="16" t="s">
        <v>64</v>
      </c>
      <c r="G2" s="6"/>
      <c r="H2" s="3" t="s">
        <v>65</v>
      </c>
      <c r="I2" s="4" t="s">
        <v>66</v>
      </c>
      <c r="J2" s="7" t="s">
        <v>60</v>
      </c>
      <c r="K2" s="7" t="s">
        <v>67</v>
      </c>
      <c r="L2" s="7" t="s">
        <v>68</v>
      </c>
    </row>
    <row r="3" spans="1:12" s="8" customFormat="1" ht="12" thickBot="1">
      <c r="A3" s="9">
        <v>1</v>
      </c>
      <c r="B3" s="20" t="s">
        <v>309</v>
      </c>
      <c r="C3" s="11">
        <v>41944</v>
      </c>
      <c r="D3" s="11">
        <v>42005</v>
      </c>
      <c r="E3" s="11">
        <v>42005</v>
      </c>
      <c r="F3" s="12">
        <v>4548</v>
      </c>
      <c r="G3" s="6"/>
      <c r="H3" s="9">
        <v>1</v>
      </c>
      <c r="I3" s="10" t="s">
        <v>310</v>
      </c>
      <c r="J3" s="11" t="s">
        <v>311</v>
      </c>
      <c r="K3" s="11">
        <v>42005</v>
      </c>
      <c r="L3" s="12">
        <v>169</v>
      </c>
    </row>
    <row r="4" spans="1:12" s="8" customFormat="1" ht="12" thickBot="1">
      <c r="A4" s="9">
        <v>2</v>
      </c>
      <c r="B4" s="10" t="s">
        <v>312</v>
      </c>
      <c r="C4" s="11">
        <v>41990</v>
      </c>
      <c r="D4" s="11">
        <v>42024</v>
      </c>
      <c r="E4" s="11">
        <v>42024</v>
      </c>
      <c r="F4" s="17">
        <v>129</v>
      </c>
      <c r="G4" s="6"/>
      <c r="H4" s="9">
        <v>2</v>
      </c>
      <c r="I4" s="10" t="s">
        <v>313</v>
      </c>
      <c r="J4" s="11" t="s">
        <v>215</v>
      </c>
      <c r="K4" s="11">
        <v>42069</v>
      </c>
      <c r="L4" s="12">
        <v>122</v>
      </c>
    </row>
    <row r="5" spans="1:12" s="8" customFormat="1" ht="12" thickBot="1">
      <c r="A5" s="9">
        <v>3</v>
      </c>
      <c r="B5" s="10" t="s">
        <v>314</v>
      </c>
      <c r="C5" s="11">
        <v>42005</v>
      </c>
      <c r="D5" s="11">
        <v>42041</v>
      </c>
      <c r="E5" s="11">
        <v>42041</v>
      </c>
      <c r="F5" s="17">
        <v>223</v>
      </c>
      <c r="G5" s="6"/>
      <c r="H5" s="9">
        <v>3</v>
      </c>
      <c r="I5" s="10" t="s">
        <v>315</v>
      </c>
      <c r="J5" s="11" t="s">
        <v>316</v>
      </c>
      <c r="K5" s="11">
        <v>42074</v>
      </c>
      <c r="L5" s="12">
        <v>264</v>
      </c>
    </row>
    <row r="6" spans="1:12" s="8" customFormat="1" ht="12" thickBot="1">
      <c r="A6" s="9">
        <v>4</v>
      </c>
      <c r="B6" s="10" t="s">
        <v>294</v>
      </c>
      <c r="C6" s="11">
        <v>42033</v>
      </c>
      <c r="D6" s="11">
        <v>42051</v>
      </c>
      <c r="E6" s="11">
        <v>42051</v>
      </c>
      <c r="F6" s="17">
        <v>970</v>
      </c>
      <c r="G6" s="6"/>
      <c r="H6" s="9">
        <v>4</v>
      </c>
      <c r="I6" s="10" t="s">
        <v>317</v>
      </c>
      <c r="J6" s="11" t="s">
        <v>318</v>
      </c>
      <c r="K6" s="11">
        <v>42075</v>
      </c>
      <c r="L6" s="12">
        <v>118</v>
      </c>
    </row>
    <row r="7" spans="1:12" s="8" customFormat="1" ht="12" thickBot="1">
      <c r="A7" s="9">
        <v>5</v>
      </c>
      <c r="B7" s="10" t="s">
        <v>319</v>
      </c>
      <c r="C7" s="11">
        <v>42025</v>
      </c>
      <c r="D7" s="11">
        <v>42060</v>
      </c>
      <c r="E7" s="11">
        <v>42060</v>
      </c>
      <c r="F7" s="17">
        <v>313</v>
      </c>
      <c r="G7" s="6"/>
      <c r="H7" s="9">
        <v>5</v>
      </c>
      <c r="I7" s="20" t="s">
        <v>309</v>
      </c>
      <c r="J7" s="11" t="s">
        <v>254</v>
      </c>
      <c r="K7" s="11">
        <v>42125</v>
      </c>
      <c r="L7" s="12">
        <v>4548</v>
      </c>
    </row>
    <row r="8" spans="1:12" s="8" customFormat="1" ht="12" thickBot="1">
      <c r="A8" s="9">
        <v>6</v>
      </c>
      <c r="B8" s="10" t="s">
        <v>320</v>
      </c>
      <c r="C8" s="11">
        <v>42045</v>
      </c>
      <c r="D8" s="11">
        <v>42065</v>
      </c>
      <c r="E8" s="11">
        <v>42065</v>
      </c>
      <c r="F8" s="17">
        <v>729</v>
      </c>
      <c r="G8" s="6"/>
      <c r="H8" s="9">
        <v>6</v>
      </c>
      <c r="I8" s="10" t="s">
        <v>321</v>
      </c>
      <c r="J8" s="11" t="s">
        <v>322</v>
      </c>
      <c r="K8" s="11">
        <v>42248</v>
      </c>
      <c r="L8" s="12">
        <v>58</v>
      </c>
    </row>
    <row r="9" spans="1:12" s="8" customFormat="1" ht="12" thickBot="1">
      <c r="A9" s="9">
        <v>7</v>
      </c>
      <c r="B9" s="10" t="s">
        <v>323</v>
      </c>
      <c r="C9" s="11">
        <v>42051</v>
      </c>
      <c r="D9" s="11">
        <v>42079</v>
      </c>
      <c r="E9" s="11">
        <v>42079</v>
      </c>
      <c r="F9" s="17">
        <v>545</v>
      </c>
      <c r="G9" s="6"/>
      <c r="H9" s="9">
        <v>7</v>
      </c>
      <c r="I9" s="10" t="s">
        <v>324</v>
      </c>
      <c r="J9" s="11" t="s">
        <v>322</v>
      </c>
      <c r="K9" s="11">
        <v>42248</v>
      </c>
      <c r="L9" s="12">
        <v>148</v>
      </c>
    </row>
    <row r="10" spans="1:12" s="8" customFormat="1" ht="12" thickBot="1">
      <c r="A10" s="9">
        <v>8</v>
      </c>
      <c r="B10" s="10" t="s">
        <v>15</v>
      </c>
      <c r="C10" s="11">
        <v>42041</v>
      </c>
      <c r="D10" s="11">
        <v>42095</v>
      </c>
      <c r="E10" s="11">
        <v>42095</v>
      </c>
      <c r="F10" s="17">
        <v>81</v>
      </c>
      <c r="G10" s="6"/>
      <c r="H10" s="9">
        <v>8</v>
      </c>
      <c r="I10" s="10" t="s">
        <v>325</v>
      </c>
      <c r="J10" s="11" t="s">
        <v>72</v>
      </c>
      <c r="K10" s="11">
        <v>42217</v>
      </c>
      <c r="L10" s="12"/>
    </row>
    <row r="11" spans="1:12" s="8" customFormat="1" ht="12" thickBot="1">
      <c r="A11" s="9">
        <v>9</v>
      </c>
      <c r="B11" s="10" t="s">
        <v>326</v>
      </c>
      <c r="C11" s="11">
        <v>42046</v>
      </c>
      <c r="D11" s="11">
        <v>42104</v>
      </c>
      <c r="E11" s="11">
        <v>42104</v>
      </c>
      <c r="F11" s="17">
        <v>54</v>
      </c>
      <c r="G11" s="6"/>
      <c r="H11" s="9">
        <v>9</v>
      </c>
      <c r="I11" s="10" t="s">
        <v>327</v>
      </c>
      <c r="J11" s="11" t="s">
        <v>318</v>
      </c>
      <c r="K11" s="11">
        <v>42278</v>
      </c>
      <c r="L11" s="12">
        <v>278</v>
      </c>
    </row>
    <row r="12" spans="1:12" s="8" customFormat="1" ht="12" thickBot="1">
      <c r="A12" s="9">
        <v>10</v>
      </c>
      <c r="B12" s="10" t="s">
        <v>328</v>
      </c>
      <c r="C12" s="11">
        <v>42067</v>
      </c>
      <c r="D12" s="11">
        <v>42137</v>
      </c>
      <c r="E12" s="11">
        <v>42137</v>
      </c>
      <c r="F12" s="17">
        <v>135</v>
      </c>
      <c r="G12" s="6"/>
      <c r="H12" s="9">
        <v>10</v>
      </c>
      <c r="I12" s="10" t="s">
        <v>329</v>
      </c>
      <c r="J12" s="11" t="s">
        <v>72</v>
      </c>
      <c r="K12" s="11">
        <v>42278</v>
      </c>
      <c r="L12" s="12">
        <v>586</v>
      </c>
    </row>
    <row r="13" spans="1:12" s="8" customFormat="1" ht="12" thickBot="1">
      <c r="A13" s="9">
        <v>11</v>
      </c>
      <c r="B13" s="10" t="s">
        <v>214</v>
      </c>
      <c r="C13" s="11">
        <v>42082</v>
      </c>
      <c r="D13" s="11">
        <v>42139</v>
      </c>
      <c r="E13" s="11">
        <v>42139</v>
      </c>
      <c r="F13" s="17">
        <v>199</v>
      </c>
      <c r="G13" s="6"/>
      <c r="H13" s="9">
        <v>11</v>
      </c>
      <c r="I13" s="10" t="s">
        <v>330</v>
      </c>
      <c r="J13" s="11" t="s">
        <v>322</v>
      </c>
      <c r="K13" s="11">
        <v>42309</v>
      </c>
      <c r="L13" s="12">
        <v>156</v>
      </c>
    </row>
    <row r="14" spans="1:12" s="8" customFormat="1" ht="12" thickBot="1">
      <c r="A14" s="9">
        <v>12</v>
      </c>
      <c r="B14" s="10" t="s">
        <v>331</v>
      </c>
      <c r="C14" s="11">
        <v>42104</v>
      </c>
      <c r="D14" s="11">
        <v>42139</v>
      </c>
      <c r="E14" s="11">
        <v>42139</v>
      </c>
      <c r="F14" s="17">
        <v>123</v>
      </c>
      <c r="G14" s="6"/>
      <c r="H14" s="9">
        <v>12</v>
      </c>
      <c r="I14" s="10" t="s">
        <v>332</v>
      </c>
      <c r="J14" s="11" t="s">
        <v>233</v>
      </c>
      <c r="K14" s="11">
        <v>42309</v>
      </c>
      <c r="L14" s="12">
        <v>35</v>
      </c>
    </row>
    <row r="15" spans="1:12" s="8" customFormat="1" ht="12" thickBot="1">
      <c r="A15" s="9">
        <v>13</v>
      </c>
      <c r="B15" s="66" t="s">
        <v>264</v>
      </c>
      <c r="C15" s="11">
        <v>42161</v>
      </c>
      <c r="D15" s="11">
        <v>42217</v>
      </c>
      <c r="E15" s="11">
        <v>42217</v>
      </c>
      <c r="F15" s="17">
        <v>204</v>
      </c>
      <c r="G15" s="6"/>
      <c r="H15" s="9">
        <v>13</v>
      </c>
      <c r="I15" s="10" t="s">
        <v>333</v>
      </c>
      <c r="J15" s="11" t="s">
        <v>333</v>
      </c>
      <c r="K15" s="11">
        <v>42309</v>
      </c>
      <c r="L15" s="12">
        <v>85</v>
      </c>
    </row>
    <row r="16" spans="1:12" s="8" customFormat="1" ht="12" thickBot="1">
      <c r="A16" s="9">
        <v>14</v>
      </c>
      <c r="B16" s="10" t="s">
        <v>334</v>
      </c>
      <c r="C16" s="11">
        <v>42170</v>
      </c>
      <c r="D16" s="11">
        <v>42217</v>
      </c>
      <c r="E16" s="11">
        <v>42217</v>
      </c>
      <c r="F16" s="17">
        <v>81</v>
      </c>
      <c r="G16" s="6"/>
      <c r="H16" s="9">
        <v>14</v>
      </c>
      <c r="I16" s="10" t="s">
        <v>335</v>
      </c>
      <c r="J16" s="11" t="s">
        <v>165</v>
      </c>
      <c r="K16" s="11">
        <v>42338</v>
      </c>
      <c r="L16" s="12">
        <v>700</v>
      </c>
    </row>
    <row r="17" spans="1:12" s="8" customFormat="1" ht="12" thickBot="1">
      <c r="A17" s="9">
        <v>15</v>
      </c>
      <c r="B17" s="66" t="s">
        <v>296</v>
      </c>
      <c r="C17" s="11">
        <v>42071</v>
      </c>
      <c r="D17" s="11">
        <v>42303</v>
      </c>
      <c r="E17" s="11">
        <v>42303</v>
      </c>
      <c r="F17" s="17">
        <v>262</v>
      </c>
      <c r="G17" s="6"/>
      <c r="H17" s="9">
        <v>15</v>
      </c>
      <c r="I17" s="10" t="s">
        <v>336</v>
      </c>
      <c r="J17" s="11" t="s">
        <v>333</v>
      </c>
      <c r="K17" s="11">
        <v>42323</v>
      </c>
      <c r="L17" s="12">
        <v>76</v>
      </c>
    </row>
    <row r="18" spans="1:12" s="8" customFormat="1" ht="12" thickBot="1">
      <c r="A18" s="9">
        <v>16</v>
      </c>
      <c r="B18" s="66" t="s">
        <v>337</v>
      </c>
      <c r="C18" s="11">
        <v>42280</v>
      </c>
      <c r="D18" s="11">
        <v>42296</v>
      </c>
      <c r="E18" s="11">
        <v>42296</v>
      </c>
      <c r="F18" s="17">
        <v>42</v>
      </c>
      <c r="G18" s="6"/>
      <c r="H18" s="9">
        <v>16</v>
      </c>
      <c r="I18" s="10" t="s">
        <v>338</v>
      </c>
      <c r="J18" s="11" t="s">
        <v>252</v>
      </c>
      <c r="K18" s="11">
        <v>42370</v>
      </c>
      <c r="L18" s="12">
        <v>14</v>
      </c>
    </row>
    <row r="19" spans="1:12" s="8" customFormat="1" ht="12" thickBot="1">
      <c r="A19" s="9">
        <v>17</v>
      </c>
      <c r="B19" s="10" t="s">
        <v>339</v>
      </c>
      <c r="C19" s="11">
        <v>42297</v>
      </c>
      <c r="D19" s="11">
        <v>42324</v>
      </c>
      <c r="E19" s="11">
        <v>42324</v>
      </c>
      <c r="F19" s="17">
        <v>193</v>
      </c>
      <c r="G19" s="6"/>
    </row>
    <row r="20" spans="1:12" s="8" customFormat="1" ht="12" thickBot="1">
      <c r="A20" s="9">
        <v>18</v>
      </c>
      <c r="B20" s="10" t="s">
        <v>265</v>
      </c>
      <c r="C20" s="11">
        <v>42298</v>
      </c>
      <c r="D20" s="11">
        <v>42324</v>
      </c>
      <c r="E20" s="11">
        <v>42324</v>
      </c>
      <c r="F20" s="17">
        <v>142</v>
      </c>
      <c r="G20" s="6"/>
    </row>
    <row r="21" spans="1:12" s="8" customFormat="1" ht="12">
      <c r="C21" s="249" t="s">
        <v>109</v>
      </c>
      <c r="D21" s="249"/>
      <c r="E21" s="249"/>
      <c r="F21" s="18">
        <f>SUM(F3:F20)</f>
        <v>8973</v>
      </c>
      <c r="G21" s="6"/>
      <c r="K21" s="13" t="s">
        <v>109</v>
      </c>
      <c r="L21" s="14">
        <f>SUM(L3:L18)</f>
        <v>7357</v>
      </c>
    </row>
  </sheetData>
  <mergeCells count="3">
    <mergeCell ref="H1:L1"/>
    <mergeCell ref="C21:E21"/>
    <mergeCell ref="A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CAE6123B71C44382E60652D1CCEC9F" ma:contentTypeVersion="19" ma:contentTypeDescription="Create a new document." ma:contentTypeScope="" ma:versionID="8d1ccdb176ecb4ae65409f24657b59d8">
  <xsd:schema xmlns:xsd="http://www.w3.org/2001/XMLSchema" xmlns:xs="http://www.w3.org/2001/XMLSchema" xmlns:p="http://schemas.microsoft.com/office/2006/metadata/properties" xmlns:ns2="aeb73479-60cb-42aa-b48e-373cd33afd69" xmlns:ns3="4b843e20-b01b-481d-badb-ccb59c26db61" targetNamespace="http://schemas.microsoft.com/office/2006/metadata/properties" ma:root="true" ma:fieldsID="9c213e1534831a45259494e0e71cb642" ns2:_="" ns3:_="">
    <xsd:import namespace="aeb73479-60cb-42aa-b48e-373cd33afd69"/>
    <xsd:import namespace="4b843e20-b01b-481d-badb-ccb59c26db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b73479-60cb-42aa-b48e-373cd33afd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c7e13a9-b2ac-48dc-b4f0-1533e77021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843e20-b01b-481d-badb-ccb59c26db6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2e9fe2b2-cd82-447c-956c-c94c40a79d73}" ma:internalName="TaxCatchAll" ma:showField="CatchAllData" ma:web="4b843e20-b01b-481d-badb-ccb59c26db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b73479-60cb-42aa-b48e-373cd33afd69">
      <Terms xmlns="http://schemas.microsoft.com/office/infopath/2007/PartnerControls"/>
    </lcf76f155ced4ddcb4097134ff3c332f>
    <TaxCatchAll xmlns="4b843e20-b01b-481d-badb-ccb59c26db6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149B47-595C-404B-8CD0-FB289EDD7F08}"/>
</file>

<file path=customXml/itemProps2.xml><?xml version="1.0" encoding="utf-8"?>
<ds:datastoreItem xmlns:ds="http://schemas.openxmlformats.org/officeDocument/2006/customXml" ds:itemID="{5DB80BAE-ECA4-4CDD-AC84-63E5D364200E}"/>
</file>

<file path=customXml/itemProps3.xml><?xml version="1.0" encoding="utf-8"?>
<ds:datastoreItem xmlns:ds="http://schemas.openxmlformats.org/officeDocument/2006/customXml" ds:itemID="{19505D85-F475-4A3A-8D95-A88BE60783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SumanS</dc:creator>
  <cp:keywords/>
  <dc:description/>
  <cp:lastModifiedBy/>
  <cp:revision/>
  <dcterms:created xsi:type="dcterms:W3CDTF">2015-10-30T13:44:29Z</dcterms:created>
  <dcterms:modified xsi:type="dcterms:W3CDTF">2026-07-17T11:42:49Z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0x0101004BCAE6123B71C44382E60652D1CCEC9F</vt:lpwstr>
  </property>
  <property fmtid="{D5CDD505-2E9C-101B-9397-08002B2CF9AE}" pid="3" name="MediaServiceImageTags">
    <vt:lpwstr/>
  </property>
</Properties>
</file>