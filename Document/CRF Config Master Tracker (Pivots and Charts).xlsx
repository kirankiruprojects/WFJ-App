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3.xml" ContentType="application/vnd.openxmlformats-officedocument.spreadsheetml.worksheet+xml"/>
  <Override PartName="/xl/worksheets/sheet1.xml" ContentType="application/vnd.openxmlformats-officedocument.spreadsheetml.worksheet+xml"/>
  <Override PartName="/xl/worksheets/sheet12.xml" ContentType="application/vnd.openxmlformats-officedocument.spreadsheetml.worksheet+xml"/>
  <Override PartName="/xl/worksheets/sheet11.xml" ContentType="application/vnd.openxmlformats-officedocument.spreadsheetml.worksheet+xml"/>
  <Override PartName="/xl/worksheets/sheet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bookViews>
  <sheets>
    <sheet sheetId="14" name="CRF Source Data Config 2026" state="visible" r:id="rId4"/>
    <sheet sheetId="13" name="CRF Source Data Config 2025" state="visible" r:id="rId5"/>
    <sheet sheetId="1" name="CRF Source Data Config 2024" state="visible" r:id="rId6"/>
    <sheet sheetId="12" name="CRF Source Data Config(2017-23)" state="visible" r:id="rId7"/>
    <sheet sheetId="11" name="Pivots" state="visible" r:id="rId8"/>
    <sheet sheetId="7" name="Chart" state="visible" r:id="rId9"/>
    <sheet sheetId="5" name="Source Data Old" state="hidden" r:id="rId10"/>
    <sheet sheetId="6" name="Pivots Old" state="hidden" r:id="rId11"/>
  </sheets>
  <definedNames>
    <definedName name="_xlnm._FilterDatabase">'Source Data Old'!$A$1:$F$1</definedName>
  </definedNames>
  <calcPr calcId="171027"/>
</workbook>
</file>

<file path=xl/sharedStrings.xml><?xml version="1.0" encoding="utf-8"?>
<sst xmlns="http://schemas.openxmlformats.org/spreadsheetml/2006/main" count="39924" uniqueCount="4790">
  <si>
    <t>Change Request Forms - 2026</t>
  </si>
  <si>
    <t>Month</t>
  </si>
  <si>
    <t>Client Name</t>
  </si>
  <si>
    <t>Partner Name</t>
  </si>
  <si>
    <t>Conversation#</t>
  </si>
  <si>
    <t>Change Requested By</t>
  </si>
  <si>
    <t>Change Request Date</t>
  </si>
  <si>
    <t>Category</t>
  </si>
  <si>
    <t>Reason for Raising</t>
  </si>
  <si>
    <t>Change Request</t>
  </si>
  <si>
    <t>Time Spent on Configuration</t>
  </si>
  <si>
    <t>Time Spent on Review/Testing</t>
  </si>
  <si>
    <t>Total Time</t>
  </si>
  <si>
    <t>No. of Errors</t>
  </si>
  <si>
    <t>Configuration Analyst</t>
  </si>
  <si>
    <t>Review/Testing Analyst</t>
  </si>
  <si>
    <t>Implementation Manager/CRM</t>
  </si>
  <si>
    <t>Completed Date</t>
  </si>
  <si>
    <t>Rating</t>
  </si>
  <si>
    <t>Comments</t>
  </si>
  <si>
    <t>Billable/Non Billable</t>
  </si>
  <si>
    <t>July 2026</t>
  </si>
  <si>
    <t/>
  </si>
  <si>
    <t>June 2026</t>
  </si>
  <si>
    <t>ORourke Sales Company</t>
  </si>
  <si>
    <t>TrueNorth</t>
  </si>
  <si>
    <t>468993</t>
  </si>
  <si>
    <t>Partner</t>
  </si>
  <si>
    <t>Eligibility Setup</t>
  </si>
  <si>
    <t>When an employee moves from part-time to either management or non-management, the waiting period should match that of a new hire: FOMF begins 90 days after the effective date of the change.</t>
  </si>
  <si>
    <t xml:space="preserve">•We have  removed Part-time from Class and added it as a department.
•Updated the Department change rule to  90 days from the Date of change that is same as New hire rule. And First of the Month Following or Coinciding with 90 Day(s) from Date of Department for Dental, Vision, Basic Life, LTD, Voluntary Life.
•First of the Month Following 90 Day(s) from Date of Department for  FSA Dependent Care, Voluntary Short Term Disability, Accident, Hospital Indemnity and Critical Illness</t>
  </si>
  <si>
    <t>Pratyush</t>
  </si>
  <si>
    <t>Nischith</t>
  </si>
  <si>
    <t>Denna</t>
  </si>
  <si>
    <t>January 2025</t>
  </si>
  <si>
    <t>Healthcare of Iowa</t>
  </si>
  <si>
    <t>404752</t>
  </si>
  <si>
    <t>Client</t>
  </si>
  <si>
    <t>Plan Setups</t>
  </si>
  <si>
    <t xml:space="preserve">Update rate for Basic Life and AD&amp;D - 50K plan to $0.14 (double check against docs) 
Update rate for UHC Basic Life &amp; AD&amp;D - 80K to $0.12 (double check against docs) 
Critical Illness plan rule update - Premium calculation for spouse should be based on spouse’s age.  
Remove Basic life plan from PT COBRA class.</t>
  </si>
  <si>
    <t xml:space="preserve">BETHANY LUTHERAN 
Basic Life and AD&amp;D - 50k – Update rate effective 1/1/2025 
Life - $0.12  ;AD&amp;D - 0.02 
Voluntary Critical Illness plan rule update - Premium calculation for spouse should be based on spouse’s age. 
Summit Pointe 
UHC Basic Life &amp; AD&amp;D - 80K – Update rate effective 1/1/2025 
Life - $0.10 
AD&amp;D - 0.02 
PT COBRA class  
Remove Basic life - Basic Life and AD&amp;D - 50k plan for this class from initial time.</t>
  </si>
  <si>
    <t>Rakshith</t>
  </si>
  <si>
    <t>Nitya</t>
  </si>
  <si>
    <t>Brightmark</t>
  </si>
  <si>
    <t>Johnson &amp; Dugan</t>
  </si>
  <si>
    <t>https://wfj.teamwork.com/#/messages/1221421</t>
  </si>
  <si>
    <t xml:space="preserve">With this OE the carrier changed for LTD from Guardian to UNUM and there is only one LTD plan now.
We reviewed the records and found that currently 93 employees are in the LTD 2 division (attached). Can we do the following changes to the division -
Move all 93 employees from LTD 2 to LTD 1 effective 1/1/2025 there will not be any enrollment terminations since both the divisions are eligible for all plans.
After division changes, rename LTD 2 to "LTD 2 - Do Not Use"
Rename LTD 1 to "All Employees"</t>
  </si>
  <si>
    <t>Juan</t>
  </si>
  <si>
    <t>ABCM</t>
  </si>
  <si>
    <t>405176</t>
  </si>
  <si>
    <t>Rate Correction</t>
  </si>
  <si>
    <t>HR is reporting a discrepancy in the rates, and provided a rate sheet. It looks like TN didn’t provide the new rates for the dental plan.</t>
  </si>
  <si>
    <t>Update the above rates. The first table is Premium and the second is contribution.</t>
  </si>
  <si>
    <t>Shilpa</t>
  </si>
  <si>
    <t>Dilip</t>
  </si>
  <si>
    <t>https://wfj.teamwork.com/app/messages/1221422?scrollTo=4276773</t>
  </si>
  <si>
    <t xml:space="preserve">Moved employees from class "Brightmark Plastics Renewal Services LLC - LTD 1" to "  Brightmark LLC - FT" effective 1/1/2025.
After moving the employees to the FT class we renamed the "Brightmark Plastics Renewal Services LLC - LTD 1" class to Do Not Use - BPRS LLC - LTD 1 effective 1/1/2025.
100002123,
100002392,
100002171,
100001414,
100002223,
100001415,
100002415
100001676,
100001413,
100002172,</t>
  </si>
  <si>
    <t>405845</t>
  </si>
  <si>
    <t xml:space="preserve">A and R team noticed a rate difference in the carrier site, and the broker confirmed the Basic AD&amp;D rate went down. Please update the AD&amp;D rate in BenJ for 2025 to .02 per $1,000. 
“Correct, Life / AD&amp;D is .095 / .02 (AD&amp;D went down a cent) and a 2 year Rate Guarantee.”</t>
  </si>
  <si>
    <t>“Correct, Life / AD&amp;D is .095 / .02 (AD&amp;D went down a cent) and a 2 year Rate Guarantee.”</t>
  </si>
  <si>
    <t>Flora Food Group</t>
  </si>
  <si>
    <t>Hilb</t>
  </si>
  <si>
    <t>405831</t>
  </si>
  <si>
    <t>Payroll team noticed the maximum to the commuter is set to $315, and they want it updated to the IRS allowed maximum. Please update the parking and transit max to $325 effective 1/1/2025 in BenJ</t>
  </si>
  <si>
    <t>Please update the parking and transit max to $325 effective 1/1/2025 in BenJ.</t>
  </si>
  <si>
    <t>ATK Energy Group</t>
  </si>
  <si>
    <t>405618</t>
  </si>
  <si>
    <t>The client wants to create information plan pages for Healthiest You and AFLAC to the new hire enrolment workflow. Please create two info plan pages for this info. Use the info from the Flimp site</t>
  </si>
  <si>
    <t xml:space="preserve">Please create two info plan pages for Healthiest You and AFLAC to the new hire enrolment workflow. Use the info from the Flimp site.
We already have AFLAC plan, so create Healthiest You Information Only plan and use info from Flimp</t>
  </si>
  <si>
    <t>406482</t>
  </si>
  <si>
    <t xml:space="preserve">During admin training, we discovered that for employee terminations, the benefits term at the end of the month. 
Please update the all plans to terminated at the end of the month for terminations.</t>
  </si>
  <si>
    <t>Updated Termination rules for all plans to be terminated at the end of the month. Even CLDD Terminations to end of the month.</t>
  </si>
  <si>
    <t>TetraMem</t>
  </si>
  <si>
    <t>406833</t>
  </si>
  <si>
    <t>Waiting Period Rules</t>
  </si>
  <si>
    <t xml:space="preserve">The broker confirmed the following:  
 “Eligibility is First of the Month Following or Coinciding with Date of Hire, for both Covered California medical plans and all lines of Principal Financial Group coverage. This same eligibility applies to both new hires and re-hires (e.g., if a former employee was rehired by/returned to TetraMem, they'd be eligible for all coverage the first of the month following their re-hire date OR, if their re-hire date fell on the first day of the month, their coverage would start that day).” 
Please update the new hire and rehire for medical and dental to First of the month following or coinciding 0 day(s) from Date of hire.</t>
  </si>
  <si>
    <t xml:space="preserve">Please update the new hire and rehire for medical (Blue Shield of California and Kaiser medical plans also) carrier and All Plan Types of Principal  carrier to “First of the month following or coinciding 0 day(s) from Date of hire”. 
Please also update the same rule for CLDD waiting period rule. No changes to Termination rules.</t>
  </si>
  <si>
    <t>Sievert Electric</t>
  </si>
  <si>
    <t>LumberFi, Inc</t>
  </si>
  <si>
    <t>406029</t>
  </si>
  <si>
    <t>Field Setup</t>
  </si>
  <si>
    <t>Please make the necessary updates to the system to upload the employee records without SSN by the data team and make it mandatory to employees. Also make the demographic fields non editable to employees as we get the information from Lumber.</t>
  </si>
  <si>
    <t xml:space="preserve">Make the below fields non editable for employees as we are going to get demographic information from Lumber. 
First Name 
Middle Name 
Last Name 
DOB 
Home Address 1 
Home Address 2 
Home State 
Home City 
Home Zip 
Cell Phone 
Also, for admins removed the mandatory for SSN for uploads and adding employees.</t>
  </si>
  <si>
    <t>Thompson Concrete</t>
  </si>
  <si>
    <t>407226</t>
  </si>
  <si>
    <t>Meritain became the Medical carrier effective 1/1/2025</t>
  </si>
  <si>
    <t>Update from Aetna to Meritain Health for Medical and HSA plan</t>
  </si>
  <si>
    <t>407428</t>
  </si>
  <si>
    <t>Setup</t>
  </si>
  <si>
    <t>Anywhere it says ATK Group can you please change the name to ATK Energy Group? This would be in the system and any communications going out to employees.</t>
  </si>
  <si>
    <t>Change the client name to “ATK Energy Group” in all the places including BenJ and Flimp.</t>
  </si>
  <si>
    <t>ark data centers</t>
  </si>
  <si>
    <t>407288</t>
  </si>
  <si>
    <t xml:space="preserve">New departments have come over on the demographic file. Please add the following departments, eligibility should match the other departments:  
1) Strategic Client Services 
2) Marketing Channel 
3) Internal Apps</t>
  </si>
  <si>
    <t xml:space="preserve">New departments have come over on the demographic file. We added the following departments, eligibility matches the other departments:  
1) Strategic Client Services 
2) Marketing Channel 
3) Internal Apps</t>
  </si>
  <si>
    <t>407580</t>
  </si>
  <si>
    <t>Payroll Setup</t>
  </si>
  <si>
    <t xml:space="preserve">Tim confirmed a new group of employees will be bi-weekly, and we only have twice per month pay cycle set up in the system.  
Please set up a bi-weekly pay cycle.</t>
  </si>
  <si>
    <t xml:space="preserve">We have set up a bi-weekly pay cycle.
Hugoton employees should get Every Two Weeks Paycycle.</t>
  </si>
  <si>
    <t>Acme Truck Line Inc</t>
  </si>
  <si>
    <t>407567</t>
  </si>
  <si>
    <t>Rachel noticed the Voluntary Life for the spouse is not matching the MoO certificate. It’s currently set to 50% of the employee coverage but it should be 100%, up to $100,000. Please update this for both Voluntary Life plans</t>
  </si>
  <si>
    <t>Voluntary Life Spouse coverage should be 100%, up to $100,000. We updated this for both Voluntary Life plans</t>
  </si>
  <si>
    <t>​405468​</t>
  </si>
  <si>
    <t>The child vol life amount is $15,000. Right now we have it set up in the system in increments of $5,000 but it shouldn’t be. It is a flat $15,000.</t>
  </si>
  <si>
    <t>February 2025</t>
  </si>
  <si>
    <t>408027</t>
  </si>
  <si>
    <t>Basic Life rate updated to $0.050 and the AD&amp;D rate is $0.030</t>
  </si>
  <si>
    <t>Metal Pros LLC</t>
  </si>
  <si>
    <t>408511</t>
  </si>
  <si>
    <t>There are multiple plan types are listed for Metal Pros US Legal Sheild plans. Can we put it under one plan type one plan?</t>
  </si>
  <si>
    <t>Add Legal Aid plans in a single plan type instead of multiple. And update the rates</t>
  </si>
  <si>
    <t>Jasmin</t>
  </si>
  <si>
    <t>Iowa City Community School District</t>
  </si>
  <si>
    <t>409578</t>
  </si>
  <si>
    <t xml:space="preserve">Starting in 2025, we will be responsible for ICCSD ACA monthly tracking. We need to add CLDD to manage variable-hour and part-time employees.
Create the following Divisions 
Part Time No benefits- Not eligible for any plans 
VH Ineligible- Not eligible for any plans 
VH Eligible- make this eligible for medical plan- PPO plan. This division is not eligible for Retiree Medical  
The waiting period for division change should be the date of change.</t>
  </si>
  <si>
    <t xml:space="preserve">Create the following Divisions 
Part Time No benefits- Not eligible for any plans 
VH Ineligible- Not eligible for any plans 
VH Eligible- make this eligible for medical plan- PPO plan. This division is not eligible for Retiree Medical  
The waiting period for division change should be the date of change.</t>
  </si>
  <si>
    <t>Denna Mathew</t>
  </si>
  <si>
    <t>World Class Industries Inc</t>
  </si>
  <si>
    <t>407649</t>
  </si>
  <si>
    <t>Data team received an error from MoO, and we discovered the dep overage limit is the last day of the month in which your eligible Dependent child reaches the age of 21, or age 25 if a Student for the Voluntary Life.</t>
  </si>
  <si>
    <t xml:space="preserve">Voluntary Life - Overage dependent limit is the last day of the month in which your eligible Dependent child reaches the age of 21, or age 25 if a Student for the Voluntary Life. 
Since we cannot do minimum age setup, we updated the overage setup to first day of the month following the 25th birthday. 
We set the maximum age as 25 for children and will closely monitor their status. Upon reaching the age of 21, CRM will contact the employee to verify the student's status. We will waive their coverage if the child is no longer a full-time student. 
Note: We added a task to do a manual Monthly audit until we develop the functionality.</t>
  </si>
  <si>
    <t>Armstrong Technology Inc</t>
  </si>
  <si>
    <t>KBI</t>
  </si>
  <si>
    <t>409854</t>
  </si>
  <si>
    <t xml:space="preserve">Dilip found discrepancies in the volumes while working on Noyo. We need to update the following for Basic Life:  
1) Benefit Rounding Rule - Next highest 1000 
2) Age Reduction Rounding Rule – No Rounding 
3) Age Reduction Schedule - Age 65 reduce by 35% and Age 70 reduce by 50% but will not go lower than $1,000 
4) Age Reduction Effective from - The age reduction is on the member date of birthday.</t>
  </si>
  <si>
    <t xml:space="preserve">Updated the below for Basic Life plan. 
1) Benefit Rounding Rule - Next highest 1000 
2) Age Reduction Rounding Rule – No Rounding 
3) Age Reduction Schedule - Age 65 reduce by 35% and Age 70 reduce by 50% but will not go lower than $1,000 
4) Age Reduction Effective from - The age reduction is on the member date of birthday.</t>
  </si>
  <si>
    <t>Create and setup the Group Life &amp; AD&amp;D and LTD plan. $15k AD&amp;D, $1k LTD, $15k LIFE and enable auto enrollment.</t>
  </si>
  <si>
    <t>Created the Group Life &amp; AD&amp;D and LTD plans. $15k AD&amp;D, $1k LTD, $15k LIFE and enabled auto enrollment for all eligible employees.</t>
  </si>
  <si>
    <t>409856</t>
  </si>
  <si>
    <t>HR is asking why supporting documentation was not collected for an employee’s status change. Currently, we’re only collecting documentation for marriage, childbirth, and divorce. Please update BenJ to require supporting documentation for all status changes.</t>
  </si>
  <si>
    <t>Please update BenJ to require supporting documentation for all status changes and all applicable plan types</t>
  </si>
  <si>
    <t>408523</t>
  </si>
  <si>
    <t>Status Changes</t>
  </si>
  <si>
    <t>Add Vision plan in Divorce and Death of Dependent status changes</t>
  </si>
  <si>
    <t xml:space="preserve">Added Vision plan in Divorce and Death of Dependent status changes
Employee must only be able to remove the dependent from the Vision plan. Must not be able to newly enroll or waive the Vision plan</t>
  </si>
  <si>
    <t>407283</t>
  </si>
  <si>
    <t xml:space="preserve">Through invoice reconciliation, we discovered the premium for the Platinum plans needs to be updated.
Platinum Plan
Employee + Spouse should be $2,201.30
Employee + Child(ren) should be $1,927.31</t>
  </si>
  <si>
    <t xml:space="preserve">Update the premiums for the Platinum plan to reflect below for the coverages mentioned.
Employee + Spouse should be $2,201.30 
Employee + Child(ren) should be $1,927.31</t>
  </si>
  <si>
    <t>410397</t>
  </si>
  <si>
    <t xml:space="preserve">Flora’s Cigna medical plan includes a vision benefit, and in our reconciliation process the is seeing the additional amount billed for the vision plan. 
Please update the medical premiums to include the vision premium:</t>
  </si>
  <si>
    <t>Please update the medical premiums to include the vision premium (Cigna Eye Exam Only rate):</t>
  </si>
  <si>
    <t>LTMS</t>
  </si>
  <si>
    <t>409726</t>
  </si>
  <si>
    <t>Client renamed from ABCM to LTMS</t>
  </si>
  <si>
    <t>March 2025</t>
  </si>
  <si>
    <t>Juneau Construction Company LLC</t>
  </si>
  <si>
    <t>IMA Financial Group</t>
  </si>
  <si>
    <t>411308</t>
  </si>
  <si>
    <t xml:space="preserve">Please make demographic fields mandatory for Admins/HR’s excluding Marital Status. Also, the Benefits Company is now IMA Financial Group please update in BenJ. 
Please also update TP or Filmp for the same.</t>
  </si>
  <si>
    <t xml:space="preserve">We have made demographic fields mandatory for Admins/HR’s excluding Marital Status. 
Also, the Benefits Company is now IMA Financial Group please updated in BenJ. 
Also updated TP.</t>
  </si>
  <si>
    <t>411390</t>
  </si>
  <si>
    <t xml:space="preserve">Update notification recipients to include Haley New: haley.new@onesourcedat.com 
Update new hire elections so they don’t pend HR approval</t>
  </si>
  <si>
    <t xml:space="preserve">Updated notification recipients to include Haley New: haley.new@onesourcedat.com  
Updated new hire elections so they don’t pend HR approval</t>
  </si>
  <si>
    <t>410528</t>
  </si>
  <si>
    <t xml:space="preserve">Need to update the premiums for HCI- Summit House
Employee deductions should remain the same.</t>
  </si>
  <si>
    <t>Updated the invoice rates.</t>
  </si>
  <si>
    <t>407592</t>
  </si>
  <si>
    <t xml:space="preserve">Update the Basic Life child rates as mentioned below as requested by TransAmerica and Jasmin: 
Employee - $0.120
Spouse - $0.680
Child(ren) - $0.680</t>
  </si>
  <si>
    <t xml:space="preserve">Updated both the Basic Life plans child rates as mentioned below as requested by TransAmerica and Jasmin: 
Employee - $0.120
Spouse - $0.680
Child(ren) - $0.680</t>
  </si>
  <si>
    <t>412581</t>
  </si>
  <si>
    <t xml:space="preserve">Due to a COBRA error, we’ve determined that the medical plan premiums need to be set up in the system, which we previously believed was unnecessary. Since the premiums were not configured, COBRA reported a $0 premium, leading to the issue. 
Because the premiums are tied to Locations (Technology and Manufacturing), we will need to create duplicate medical plans to accommodate the correct premium setup.</t>
  </si>
  <si>
    <t xml:space="preserve">Created new plan based on location for medical plans and keep the existing plans for Technology Location and create new plan for Manufacturing and Engineering. Deductions rates are same only in invoice rates are changing and it is age based.
Moved employees to new plans with current enrollments.</t>
  </si>
  <si>
    <t>Howard Sheppard LLC</t>
  </si>
  <si>
    <t>413183</t>
  </si>
  <si>
    <t xml:space="preserve">WEX flagged a discrepancy for Steve Carter (ID: 66968), stating his COBRA dental start date should be 3/17/2025. However, our system reflects his part-time status effective 3/17/2025, making him COBRA-eligible starting 4/1/2025 per the termination rule.  
Rikki confirmed “Everything should term on date of term, except vision which is end of month.” Please update the division termination rule to date of termination for all plans except for vision. Then correct Steve’s record to reflect the correct termination rules.</t>
  </si>
  <si>
    <t>Updated the division termination rule to date of termination for all plans except for vision. Then corrected Steve’s record to reflect the correct termination rules.</t>
  </si>
  <si>
    <t>413857</t>
  </si>
  <si>
    <t>HR wasn’t able to enroll an employee due to the PCP requirement. Employees are not access the system, and there is no EDI. Please remove the PCP requirement from both Anthem plans.</t>
  </si>
  <si>
    <t>Please remove the PCP requirement from both Anthem plans.</t>
  </si>
  <si>
    <t>AXISCADES</t>
  </si>
  <si>
    <t>402287</t>
  </si>
  <si>
    <t>Update termination date for Medical only to End of the Month following Date of Termination.</t>
  </si>
  <si>
    <t>Update Status Termination date rule for Medical only to “Last day of month following date of termination”.</t>
  </si>
  <si>
    <t>413717</t>
  </si>
  <si>
    <t>Add HSA Plan – details are in renewal wizard.</t>
  </si>
  <si>
    <t>Update termination date for Dental and Vision to End of the Month following Date of Termination.</t>
  </si>
  <si>
    <t>Update Status Termination date rule for Dental and Vision to “Last day of month following date of termination”. Change rule in the existing period plan year.</t>
  </si>
  <si>
    <t>April 2025</t>
  </si>
  <si>
    <t>414117</t>
  </si>
  <si>
    <t>We received the demographic file dated 03/27/2025 with the new department "Technical Operations", "Cloud Operations". Please create the new departments; eligibility should match the other departments.</t>
  </si>
  <si>
    <t>Add 2 New departments "Technical Operations", "Cloud Operations. The eligibility should match the other departments.</t>
  </si>
  <si>
    <t>414300</t>
  </si>
  <si>
    <t xml:space="preserve">HR wants to update employee’s status from terminated to LOA, but we don’t have a CLDD for LOA. Please create a new division ‘LOA No Benefits’ that is not eligible for any plans.  
Then we need to correct Nancy Lopez, 12300, records; reinstate the record and move her to the new LOA division effective 3/24/2025.  
Benefits should term at the end of the month.</t>
  </si>
  <si>
    <t xml:space="preserve">Please create a new division ‘LOA No Benefits’ that is not eligible for any plans.   
Then we need to correct Nancy Lopez, 12300, records; reinstate the record and move her to the new LOA division effective 3/24/2025.   
Division termination rule should match with the status termination rule for all plans.</t>
  </si>
  <si>
    <t>Pak-Lite Inc</t>
  </si>
  <si>
    <t>The Benefit Company</t>
  </si>
  <si>
    <t>414293</t>
  </si>
  <si>
    <t xml:space="preserve">The broker confirmed Aetna doesn’t have separate waiting periods for Executives. It should be First of the Month Following or Coinciding with 60 Day(s) from Date of Hire for them as well. Please update the medical plan waiting period. 
Also, please correct ID 1226 medical effective date to 4/1/2025.</t>
  </si>
  <si>
    <t xml:space="preserve">For Executives the rule should be First of the Month Following or Coinciding with 60 Day(s) from Date of Hire for Aetna Medical plan. Please update the medical plan waiting period.  
Also, please correct ID 1226 medical effective date to 4/1/2025.</t>
  </si>
  <si>
    <t>414679</t>
  </si>
  <si>
    <t>A department has been reported to us. Please add Safety as a new department; eligibility should match the other departments.</t>
  </si>
  <si>
    <t>Please add Safety as a new department; eligibility should match the other departments.</t>
  </si>
  <si>
    <t>415110</t>
  </si>
  <si>
    <t>Metal Pros employee David Weiss is on temporary disability. He was on benefits and supposed to continue paying for it outside of payroll. He stopped paying, and so client has asked that his benefits be terminated. He will remain on payroll, so we need to create a new Division “Leave without Benefits” and move him to that effective Feb 28. (Earlier he was “Termed” effective March 1. That was wrong, so that will need to be corrected with the carriers also</t>
  </si>
  <si>
    <t xml:space="preserve">Create a new Division “Leave without Benefits” and move him to that effective Feb 28. (Earlier he was “Termed” effective March 1. That was wrong, so that will need to be corrected on BenJ and with the carriers. 
I have reverted the Termination entry on BenJ. All you have to do is move employee to “Leave without Benefits” effective Feb 28.
Once changed to benefits not eligible we need to report this to COBRA.</t>
  </si>
  <si>
    <t>414696</t>
  </si>
  <si>
    <t xml:space="preserve">While answering questions regarding the HSA, I noticed we were not accounting for the ER contributions in the maximum limits. 
Please adjust the HSA limit to include employer contribution amount in the annual elections. This adjustment will ensure our system limits the maximum contribution as specified in the setup for employees. 
The updated maximum limits are as follows for 2025:
- Single: $4,300 minus $600 equals $3,700
- Family: $8,550 minus $1,000 equals $7,550</t>
  </si>
  <si>
    <t xml:space="preserve">The updated maximum limits are as follows for 2025: The ER contribution was reduced from max irs limits.
- Single: $4,300 minus $600 equals $3,700
- Family: $8,550 minus $1,000 equals $7,550</t>
  </si>
  <si>
    <t>Ahern</t>
  </si>
  <si>
    <t>M3 Insurance</t>
  </si>
  <si>
    <t>415107</t>
  </si>
  <si>
    <t xml:space="preserve">Ahern Identity Theft Enrollment
Final Plan of Action
- WFJ Population: current covered employees
- Enrollment Period: 4/14 -4/30
- Deductions: Updated deductions will need to be sent on our payroll advice files
- Communication: Enrollment Kick off email on 4/14, email details will be sent
Finalization rule for those that don't take action - keep their current enrollment.
If someone makes a change, it will be effective 4/14/2025. If they don’t make changes current coverage and effective date continues.</t>
  </si>
  <si>
    <t xml:space="preserve">Create the OE setup for Ahern Identity Theft Enrollment.
Enrollment Period: 4/15 -4/30
Finalization rule for those that don't take action - keep their current enrollment.
If someone makes a change, it will be effective 4/15/2025. If they don’t make changes current coverage and effective date continues.</t>
  </si>
  <si>
    <t>410320</t>
  </si>
  <si>
    <t>As part of tracking variable-hour and part-time employees for ACA in BenJ, we are reviewing all the CLDDs. In this process, we identified the part-time no benefits class that should be renamed Teacher.4 no benefits. This class manages the summer check option for employees who are not eligible for benefits.  Only the teachers are eligible for summer check options.  Teachers eligible for benefits are already managed, and this class will be assigned to those who do not qualify for benefits.</t>
  </si>
  <si>
    <t>Rename the class  Part Time Non Benefits Eligible   to Teacher.40 with no benefits</t>
  </si>
  <si>
    <t>415887</t>
  </si>
  <si>
    <t xml:space="preserve">Add Department “Production” and “Default”  
Department is a 'required' field for Lumber and comes from other ERP system integrations. So we just need to add them. They don't impact eligibility. 
Additionally, we need to add a 'Default" department to assign employees to, if we get feeds with missing department info. This will get over written by later feeds from Lumber as and when they receive the Department from the ERP system You could add both these in a single CRF.</t>
  </si>
  <si>
    <t>Add Department “Production” and “Default”. Eligibility same as other departments</t>
  </si>
  <si>
    <t>Raghu</t>
  </si>
  <si>
    <t>415973</t>
  </si>
  <si>
    <t>Add Division “FT Office – Union Retiree” - They would have the exact same benefits offered through WFJ as the "Office Union" class.</t>
  </si>
  <si>
    <t>Added new Division “FT Office – Union Retiree” - It has the exact same benefits offered through WFJ as the "Office Union" class.</t>
  </si>
  <si>
    <t>HSA plan Employer Contribution setup disabled</t>
  </si>
  <si>
    <t xml:space="preserve">HSA plan Employer Contribution setup disabled
and enrollments with HSA with $0 is changed declined</t>
  </si>
  <si>
    <t>415841</t>
  </si>
  <si>
    <t xml:space="preserve">We've identified discrepancies between our system rules and Guardian's policies via the API feed. Please update the coverage rules as follows: 
Guardian Basic Life and AD&amp;D – Termination Rule 
Current system logic: Coverage ends the last day of the month following the termination date. 
Correct rule (per Guardian): Coverage ends on the date of termination. 
Example: Jessica Jay, termed 04/02/2025, should have coverage end on 04/02/2025.</t>
  </si>
  <si>
    <t xml:space="preserve">Guardian Basic Life and AD&amp;D Coverage ends on the date of termination. 
Also, correct the impacted employees from Jan 2025.</t>
  </si>
  <si>
    <t>1910 Legacy Enterprises Inc.</t>
  </si>
  <si>
    <t>416778</t>
  </si>
  <si>
    <t xml:space="preserve">We’re phasing out the using of the COBRA cldds in BenJ which the broker used to track COBRA enrollments for ACA reporting purposes.
Please create a custom free text field called ’COBRA Status’</t>
  </si>
  <si>
    <t xml:space="preserve">Create a custom free text field called ’COBRA Status’
Jeff Filippo should be listed under the COBRA Division effective 07/01/2024. He needs to be enrolled in Medical (Cigna POS 2500) with EE/SP for ACA Reporting purpose at the end of the year.</t>
  </si>
  <si>
    <t>Visiting Nurse Health System</t>
  </si>
  <si>
    <t>415272</t>
  </si>
  <si>
    <t xml:space="preserve">Outlined below are the Veris monthly charges for the health plan. Just as an FYI, our broker consulting fees will also be included going forward as well as a telehealth visit per month. These will be line items and not included in the employee monthly cost. Please let me know if you have any questions. 
Administrative Fee - $37.27 
Management Fee - $17.99 
Specific Stop Loss: Single - $101.47 
Family - $242.65 
Aggregate Stop Loss - $24.00</t>
  </si>
  <si>
    <t xml:space="preserve">For Medical plans we have updated Invoice structure from Fully Insured to Self Funded and added the Admin Fees, Stop Loss to it
Administrative Fee - $37.27 
Management Fee - $17.99 
Specific Stop Loss: Single - $101.47 
Family - $242.65 
Aggregate Stop Loss - $24.00</t>
  </si>
  <si>
    <t>May 2025</t>
  </si>
  <si>
    <t>SOAR Transport</t>
  </si>
  <si>
    <t>Russ Blakely &amp; Associates, LLC</t>
  </si>
  <si>
    <t>417825</t>
  </si>
  <si>
    <t xml:space="preserve">Please update QLE effective to FOMF QE
Except for birth, adoption, marriage, legal guardianship, and/or court order which should be Date of QE.</t>
  </si>
  <si>
    <t xml:space="preserve">Please update QLE effective to FOMF QE. 
Except for birth, adoption, marriage, legal guardianship, and/or court order which should be Date of QE.=
All others QLE already have matching rules except for these 2 QLE. Update the above rule to Dependent loses Coverage and Employee lost Coverage for all plan types.</t>
  </si>
  <si>
    <t>415271</t>
  </si>
  <si>
    <t xml:space="preserve">Jennifer has been auditing the Guardian invoices and discovered that the age reduction is missing from the Critical Illness plan. Please update the plan to include a 50% reduction in coverage at age 70 for both the employee and spouse, based on the employee’s age
The coverage reduces on the date the employee reaches age 70 (birthday) 
The reduced amounts need to be rounded to the nearest $1 but can’t not be less than $1,000.</t>
  </si>
  <si>
    <t xml:space="preserve">For Critical Illness please update the plan to include a 50% reduction in coverage at age 70 for both the employee and spouse, based on the employee’s age.  
The coverage reduces on the date the employee reaches age 70 (birthday) 
The reduced amounts need to be rounded to the nearest $1 but can’t not be less than $1,000. Make it no rounding.</t>
  </si>
  <si>
    <t>Johnson and Dugan</t>
  </si>
  <si>
    <t>418141</t>
  </si>
  <si>
    <t xml:space="preserve">Brightmark Plastics Renewal Services filed for bankruptcy and a new company has been created, Brightmark Plastics Ashley ServiceCo LLC.  
We’ll need to create a new class for the company. Please create the following class 
Brightmark Plastics Ashley HoldCo LLC - FT 
eligibility should match Brightmark Plastics Renewal Services LLC - FT 
Brightmark Plastics Ashley HoldCo LLC – PT 
eligibility should match Brightmark Plastics Renewal Services LLC – PT 
Brightmark Plastics Ashley HoldCo LLC LOA 
eligibility should match Brightmark Plastics Renewal Services LLC - FT LOA</t>
  </si>
  <si>
    <t xml:space="preserve">Brightmark Plastics Renewal Services filed for bankruptcy and a new company has been created, Brightmark Plastics Ashley ServiceCo LLC on their end.  
We created a new classes for the company. 
Brightmark Plastics Ashley HoldCo LLC - FT 
eligibility matchs Brightmark Plastics Renewal Services LLC - FT 
Brightmark Plastics Ashley HoldCo LLC – PT 
eligibility matchs Brightmark Plastics Renewal Services LLC – PT 
Brightmark Plastics Ashley HoldCo LLC LOA 
eligibility matchs Brightmark Plastics Renewal Services LLC - FT LOA</t>
  </si>
  <si>
    <t>Kiran B S</t>
  </si>
  <si>
    <t>420317</t>
  </si>
  <si>
    <t xml:space="preserve">We’ve received a request to add two new locations for O'Rourke Bros:
1.	30 Georgia
2.	RW Remote Work
Both locations will follow the same rules for eligibility, benefits offered, and premium deductions as the existing locations. They will also use the same class structure.</t>
  </si>
  <si>
    <t xml:space="preserve">Add the below 2 locations. Both locations will follow the same rules for eligibility, benefits offered, and premium deductions as the existing locations. They will also use the same class structure.
1.	30 Georgia
2.	RW Remote Work</t>
  </si>
  <si>
    <t>Jasmin Smith</t>
  </si>
  <si>
    <t xml:space="preserve">Starting in 2025, we will be responsible for ICCSD ACA monthly tracking. As we began to add part-time and VH employees, we realized that using the All-Employees division  for both eligible part-time and FT employees is confusing, and we should split the All-Employees Division into  
Part-Time Eligible  
Full-time 
Another change we need is to create three new classes and make them ineligible for any benefit. 
Substitutes 
Timesheet 
Coach/club</t>
  </si>
  <si>
    <t xml:space="preserve">We will be updating the following changes as per the above -
Current Division - "All Employees" renamed to "Full Time"
We added a new division "PT Eligible" - Eligibility  match "Full Time" division.
We added three new classes (Substitutes, Timesheet, Coach/club) which are not eligible for any plans.</t>
  </si>
  <si>
    <t>Interior Investments LLC</t>
  </si>
  <si>
    <t>416332</t>
  </si>
  <si>
    <t xml:space="preserve">For medical, dental, and vision Rikki confirmed the following:  
“We have confirmed that the New Hire rule should be first of the month following Date of Hire unless hired on the first then it's effective date of hire.”</t>
  </si>
  <si>
    <t xml:space="preserve">On BenJ the rule should be as below for new hire and rehire:  
(First of the Month Following or Coinciding with 0 Day(s) from Date of Hire)  
Once updated, could you have the team correct Morgan, ID 850054, enrollment in the system, so medical, dental and Vision is effective 4/1/2025.</t>
  </si>
  <si>
    <t>415130</t>
  </si>
  <si>
    <t>Update the Basic Life and Ltd Rates</t>
  </si>
  <si>
    <t>Updated the Basic Life and Ltd Rates</t>
  </si>
  <si>
    <t>420868</t>
  </si>
  <si>
    <t>Plan Rules</t>
  </si>
  <si>
    <t>Update Auto Enrollment rule to setup to “Enrollment on the completion of due date” for Basic Life,</t>
  </si>
  <si>
    <t>Update Auto Enrollment rule to setup to “Enrollment on the completion of due date” for Basic Life</t>
  </si>
  <si>
    <t>Altitude Health Services LLC</t>
  </si>
  <si>
    <t>Axiscades</t>
  </si>
  <si>
    <t>C. Mondavi and Family</t>
  </si>
  <si>
    <t>EPIC</t>
  </si>
  <si>
    <t>Fort Madison and Montrose and Tama Toledo</t>
  </si>
  <si>
    <t>Soar Transport</t>
  </si>
  <si>
    <t>420648</t>
  </si>
  <si>
    <t xml:space="preserve">An employee in the Full Time Dental Grandfathered division is declining the medical plan due to becoming eligible for Medicare effective 6/1/2025. They wish to continue their dental coverage; however, this division is currently not eligible for the Dental PPO Medical Waived plan, which is required for employees who opt out of medical coverage. 
Please update the division’s eligibility to include the Dental PPO Medical Waived plan and update the employee’s record accordingly.</t>
  </si>
  <si>
    <t>We updates the division’s eligibility of “Full Time Dental Grandfathered” to include the Dental PPO Medical Waived plan. Also, moved this in all the period plan years for this plan.</t>
  </si>
  <si>
    <t>421556</t>
  </si>
  <si>
    <t xml:space="preserve">From TrueNorth: 
Please add OH-AEP as a department for ATK.
The eligibility rules, benefit plans, and premiums are the same as all other departments.
This has been added to Paylocity and will be included on the demographic file as employees are hired.</t>
  </si>
  <si>
    <t>Please add OH-AEP as a department. The eligibility rules, benefit plans, and premiums are the same as all other departments.</t>
  </si>
  <si>
    <t>June 2025</t>
  </si>
  <si>
    <t>422345</t>
  </si>
  <si>
    <t>No rounding on the Voluntary STD plan</t>
  </si>
  <si>
    <t>Voluntary STD plan – Remove rounding rule and check for volumes after the schedular runs.</t>
  </si>
  <si>
    <t>421855</t>
  </si>
  <si>
    <t xml:space="preserve">We need to create a class “Part-time” that is ineligible for benefits.  
Not sure if it should be class or division or what grouping it should be.</t>
  </si>
  <si>
    <t xml:space="preserve">We renamed existing SAL – Salaried to Full Time SAL 
We renamed existing HR – Hourly to Full Time HR 
Added the below 2 classes that are ineligible for benefits- 
Part Time SAL 
Part Time HR 
Also, only for the Vision plan we updated the CLDD termination rule from Date of Termination to Last day of month following date of termination. All others plan rules are correct, NO changes done. 
Moved Alexander Cases to that class - Part Time HR effective 5/12/2025, which made him ineligible for benefits 6/1/2025.</t>
  </si>
  <si>
    <t>419069</t>
  </si>
  <si>
    <t>Update Auto Enrollment rule to setup to “Enrollment on the completion of due date”.</t>
  </si>
  <si>
    <t>Update Auto Enrollment rule to setup to “Enrollment on the completion of due date” for Auto Enrollment Plans in the attached file:</t>
  </si>
  <si>
    <t>Nitya Mathew</t>
  </si>
  <si>
    <t>Castles Technology</t>
  </si>
  <si>
    <t>Dickerson Insurance Service</t>
  </si>
  <si>
    <t>Don Hummer Trucking</t>
  </si>
  <si>
    <t>Enertia Software</t>
  </si>
  <si>
    <t>Dillingham Benefits</t>
  </si>
  <si>
    <t>Fiore and Sons Inc.</t>
  </si>
  <si>
    <t>Holmes Murphy</t>
  </si>
  <si>
    <t>Gilbert May dba Phillips May Corporation</t>
  </si>
  <si>
    <t>Higginbotham</t>
  </si>
  <si>
    <t>Mid-Iowa Co-op</t>
  </si>
  <si>
    <t>Mid-Iowa Milling</t>
  </si>
  <si>
    <t>418029</t>
  </si>
  <si>
    <t xml:space="preserve">Add Aflac plans to Benefits Junction – create custom premium plans 
Mapping 
Aflac Cancer Protection Assurance = CANCER 
Aflac Accident Advantage = ACCA 
Aflac Critical Care Protection = SPEVNT 
Aflac Choice Hospital Insurance = HOSP 
Aflac Individual Juvenile Term Life = LIFE 
Aflac Short-Term Disability Insurance = STD 
Aflac Life Solutions Term Life = LIFE 
Aflac Life Solutions Whole Life = LIFE</t>
  </si>
  <si>
    <t xml:space="preserve">Created custom premium plans as mentioned below - 
Aflac Cancer Protection Assurance = CANCER 
Aflac Accident Advantage = ACCA 
Aflac Critical Care Protection = SPEVNT 
Aflac Choice Hospital Insurance = HOSP 
Aflac Individual Juvenile Term Life = LIFE 
Aflac Short-Term Disability Insurance = STD 
Aflac Life Solutions Term Life = LIFE 
Aflac Life Solutions Whole Life = LIFE</t>
  </si>
  <si>
    <t>424347</t>
  </si>
  <si>
    <t>Enrollment Summary</t>
  </si>
  <si>
    <t xml:space="preserve">Ellie reported that the contribution rate shown on the employee’s Enrollment Summary screen was incorrect. It displayed $710.16 instead of the correct employee-only contribution of $559.14.
After reviewing, team confirmed the system is currently configured to show Total Cost (EE + ER) on the employee view. However, Ellie confirmed that only the employee portion should be shown.
Please update the configuration for the TetraMem so that the employee Enrollment Summary screen displays only the employee-paid contribution (EE Pays), not the total cost (EE + ER).
•	Current behavior: Employee view shows total cost = $559.14 (EE) + $151.02 (ER) = $710.16
•	Requested behavior: Employee view should only show $559.14</t>
  </si>
  <si>
    <t>Please update the configuration for the TetraMem so that the employee Enrollment Summary screen displays only the employee-paid contribution (EE Pays), not the total cost (EE + ER).</t>
  </si>
  <si>
    <t>423487</t>
  </si>
  <si>
    <t xml:space="preserve">Emily confirmed that Kathy’s setup should mirror Retiree B (district-paid) but with rates effective 7/1/2024. To support this, a new retiree location is needed that reflects these terms. Kathy should also be eligible for employee-paid dental, COBRA vision, and basic life continuation. She should not be direct billed by Wellmark. 
Please create a new location in the system with the following configuration: 
Location Name: Retiree Dist-Pay 2025 
Eligibility: 
Medical: Retiree Medical – district-paid, using 2024 rates 
Other plans: match the Retiree OE Dist-Pay eligibility.  
Map this new location to: Retiree B account code for Wellmark reporting purposes (not direct billed)</t>
  </si>
  <si>
    <t xml:space="preserve">Added new location "Retiree Dist-Pay 2025" 
Medical: Retiree Medical – district-paid, using 2024 rates 
Eligible for employee-paid dental, COBRA vision, and basic life continuation 
Other plans: match the Retiree OE Dist-Pay eligibility. 
Kathy Jenkins is moved into Retiree Dist-Pay 2025 effective 6/30/2025.</t>
  </si>
  <si>
    <t>422649</t>
  </si>
  <si>
    <t xml:space="preserve">Please add a new department, eligibility should match the other departments:
June Bug</t>
  </si>
  <si>
    <t>423715</t>
  </si>
  <si>
    <t>Update OAD rule so that dependent terminates EOM following turning 26.</t>
  </si>
  <si>
    <t>Updated OAD rule so that dependent terminates EOM following turning 26 for Medical, Dental and Vision plans.</t>
  </si>
  <si>
    <t>July 2025</t>
  </si>
  <si>
    <t>HealthCare Access Maryland Inc</t>
  </si>
  <si>
    <t>Tribridge Partners</t>
  </si>
  <si>
    <t>418804</t>
  </si>
  <si>
    <t xml:space="preserve">We need to enable documents required for QLEs. (except Child Birth) 
Add cbush1@hcamaryland.org to pending transactions and update CDS</t>
  </si>
  <si>
    <t xml:space="preserve">We need to enable documents required for QLEs. (except Child Birth). This applies to all plan types. 
Add cbush1@hcamaryland.org to pending transactions and update CDS</t>
  </si>
  <si>
    <t>425457</t>
  </si>
  <si>
    <t>Update the FSA termination rule for Location changes so that the termination date aligns with the end of the month (e.g., 7/1/2025 for a 6/30/2025 event), instead of the current “date of termination” rule.</t>
  </si>
  <si>
    <t xml:space="preserve">Update the FSA termination rule for Location changes so that the termination date aligns with the end of the month.
Update Kathy Jenkins effective date if impacted.</t>
  </si>
  <si>
    <t>425761</t>
  </si>
  <si>
    <t>To allow the BenefitsDesk team to review if dependents are added and start the dependent verification process when needed</t>
  </si>
  <si>
    <t xml:space="preserve">Transaction Approval Setup needs to be enabled for New Hires. 
Select the option for New Hires - Only Enrollment Transactions needs approval</t>
  </si>
  <si>
    <t>425582</t>
  </si>
  <si>
    <t>The request is to update the Medical Stop Loss and Transplant premiums in the system for Plans A, B, and C, effective 7/1/2025, to reflect the newly confirmed rates from the July invoice. These updated rates were confirmed by the broker as accurate and should replace the old rates currently configured in Benefits Junction.</t>
  </si>
  <si>
    <t>The request is to update the Medical Stop Loss and Transplant premiums in the system for Plans A, B, and C, effective 7/1/2025, to reflect the newly confirmed rates from the July invoice. Confirmed New Rates to be Updated: Stoploss and Transplant = Other Fees. The Admin Fee and FIE remains same.</t>
  </si>
  <si>
    <t>424628</t>
  </si>
  <si>
    <t>The request is to update the Medical Stop Loss premium rate for both medical plans, effective 6/1/2025, from the previously configured $323.63 to the correct amount of $327.38, based on True North’s confirmation</t>
  </si>
  <si>
    <t xml:space="preserve">The request is to update the Medical Stop Loss premium rate for both medical plans, effective 6/1/2025, from the previously configured $323.63 to the correct amount of $327.38, based on True North’s confirmation.
The updated total premium includes:
•	Stop Loss Premium: $315.38
•	Admin Fee: $12.00
•	Total Monthly Premium: $327.38</t>
  </si>
  <si>
    <t>426191</t>
  </si>
  <si>
    <t>The request is to update the company class name in the system from “Brightmark Plastics Ashley HoldCo LLC” to “Brightmark Plastics Ashley ServiceCo LLC.” The client, Brightmark, has confirmed that the current name is incorrect and does not reflect the proper legal entity.</t>
  </si>
  <si>
    <t xml:space="preserve">Please change the classes name to Brightmark Plastics Ashley ServiceCo LLC.
Brightmark Plastics Ashley HoldCo LLC – FT to Brightmark Plastics Ashley ServiceCo LLC - FT
Brightmark Plastics Ashley HoldCo LLC – PT to Brightmark Plastics Ashley ServiceCo LLC - PT 
Brightmark Plastics Ashley HoldCo LLC LOA to Brightmark Plastics Ashley ServiceCo LLC - FT LOA</t>
  </si>
  <si>
    <t>424905</t>
  </si>
  <si>
    <t>The request is to remove the age reduction rule currently applied to Voluntary Life and Voluntary Spouse Life coverage and instead pass the full elected volume on the file feed to Principal. To maintain accurate payroll deductions, we will apply the age-based reduction through the rate structure rather than reducing the coverage amount in the system. A message will also be added to the plan information section to clarify this for employees.</t>
  </si>
  <si>
    <t xml:space="preserve">•	Remove the age reduction setup
•	Adjust the rate structure to reflect the age-based reduction through the rates themselves (see rates below)
•	Update the affected employee records to reflect the original elected volume after which review to see if the premium remains same after the setup change.</t>
  </si>
  <si>
    <t>426872</t>
  </si>
  <si>
    <t>Update the eligibility in the system to ensure the Full Time Grandfather division is marked as eligible for Critical Illness coverage. This update aligns with the client’s intent for all divisions to have access to the Critical Illness benefit.</t>
  </si>
  <si>
    <t>Updated the eligibility in the system to ensure the Full Time Grandfather division is marked as eligible for Critical Illness coverage. This update aligns with the client’s intent for all divisions to have access to the Critical Illness benefit.</t>
  </si>
  <si>
    <t>Point of Rental</t>
  </si>
  <si>
    <t>Alera Group</t>
  </si>
  <si>
    <t>427043</t>
  </si>
  <si>
    <t xml:space="preserve">Update Effective Date for Qualifying events
-	Birth, Adoption, and placement for adoption                should be Date of QE
-	The rest should be FOMF Date of QE</t>
  </si>
  <si>
    <t xml:space="preserve">-	Update Marriage status change rule to FOMF Date of QE for all plan types. All other rules are correct
-	Enable Employee gained other Coverage for all the plan types with rule FOMF Date of QE
-	Setup Accident plan with status change and update rules same as other plan types.</t>
  </si>
  <si>
    <t>SPC Mechanical</t>
  </si>
  <si>
    <t>423133</t>
  </si>
  <si>
    <t>We still want to make sure they are terminating on the same day as we enter, even though their coverage is valid through the end of the month. I believe we pay a month ahead on vision, so they are technically covered through the end of the month that they terminate.” Ticket 428082</t>
  </si>
  <si>
    <t>Update the Vision plan coverage to terminate end of the month. This applies to all the termination rules including CLDD and Work Country.</t>
  </si>
  <si>
    <t>August 2025</t>
  </si>
  <si>
    <t>420654</t>
  </si>
  <si>
    <t xml:space="preserve">We have renamed the departments below as mentioned to match with Paycor.
Department Name	Renamed To
Administration	105 - Admin*Administration
MATCH - Foster Care	200 - MATCH*Foster Care
Care Coordination	201 - ACC*Care Coordinator
Connector	310 - Central*Connector Enrollment
Eligibility	602 - EL*Eligibility
Returning Citizens Health Link	902 - Centurion*
Community Diabetes Initiative	881 - CDI*Community Diabetes Initi
Recovery Care Services	501 - BHSB-SCC*State Care Coord
Population Health	202 - Exp-ACC*Supplemental (Exp)
Baltimore Health Corps	527 - BCo-SCC*Baltimore Co Care Coor
Added the below new departments- 
New Departments
9999 - Prior Terminated EEs
870 - Corizon Health*YesCare
314 - Mid West*Connector Modified
806 - MCH_HV*MCH Home Visiting
887 - BJA*
905 - MCHRC-Dental*
502 - BHSB-PPP*Preg Post Partum
904 - Neighborhood Nursing*Weinberg
906 - Neighbor Nursing*JHSON
889 - PIGF-RCCC*
Reference to this is https://secure.helpscout.net/conversation/2946482040/420654</t>
  </si>
  <si>
    <t xml:space="preserve">Please make the changes as mentioned above for Departments to match with Paycor.
After all the changes, move employees to BenJ as per Paycor report with Finch.</t>
  </si>
  <si>
    <t>Dilip Kumar</t>
  </si>
  <si>
    <t>W.T.Rich</t>
  </si>
  <si>
    <t>429139</t>
  </si>
  <si>
    <t>Some employees work less than full time, but more than 30hours, and so they will be classified as Part Time Benefits Eligible. We need a new Class for this.</t>
  </si>
  <si>
    <t>Create a new class named “Part-Time Benefits Eligible”. The eligibility is same as Full-Time employees.</t>
  </si>
  <si>
    <t>428742</t>
  </si>
  <si>
    <t>Message Setup</t>
  </si>
  <si>
    <t xml:space="preserve">To update the email sent when an employee moves from VH Ineligible to benefit-eligible so it matches the New Hire Welcome Email. This ensures consistent messaging and clear instructions.
Employees transitioning to benefits are confused due to a lack of detailed instructions. Aligning the email content will reduce confusion and improve the onboarding experience.</t>
  </si>
  <si>
    <t>Update Eligibility for New plans email to match the New Hire Welcome Email.</t>
  </si>
  <si>
    <t>431217</t>
  </si>
  <si>
    <t>The request is to add a new division, NOMAD Power Group, under ATK. This is needed because ATK has acquired another company, and the employees of NOMAD Power Group must be recognized in the benefits and payroll systems.</t>
  </si>
  <si>
    <t>Please create a new department with the name Nomad Power Group. The eligibility is similar to June Bug,</t>
  </si>
  <si>
    <t>431720</t>
  </si>
  <si>
    <t>We have removed the SSN required for admins and employees (New Hire and Existing).</t>
  </si>
  <si>
    <t>432172</t>
  </si>
  <si>
    <t>Updated New Hire Window Rule from 30 Day(s) Following Date of Eligibility to 90 days from DOH</t>
  </si>
  <si>
    <t xml:space="preserve">Updated New Hire Window Rule to 90 Day(s) Following Date of Eligibility
Also, identify all the impacted employees new hire send to product team to provide the new hire window for the impacted employees.</t>
  </si>
  <si>
    <t>431166</t>
  </si>
  <si>
    <t>Update QLE for STD plan</t>
  </si>
  <si>
    <t>Add status change setup for Vol STD plan. Also Inez needs to be removed from the STD coverage. I need to know if your team can get me a report of all individuals enrolled in STD that contains their initial enrollment date and hire date.</t>
  </si>
  <si>
    <t>Partyush</t>
  </si>
  <si>
    <t>432492</t>
  </si>
  <si>
    <t xml:space="preserve">What is the request?
Enable the status change option for Vision plan in the system. The functionality should mirror how status changes are currently handled for Medical and Dental.
Why is this needed?
HR has specifically requested that Vision be included in the status change workflow going forward.</t>
  </si>
  <si>
    <t>Enable the status change option for Vision plan in the system. Should mirror how status changes are currently handled for Medical and Dental</t>
  </si>
  <si>
    <t>429124</t>
  </si>
  <si>
    <t>Full-time hourly is eligible for life and disability plans</t>
  </si>
  <si>
    <t xml:space="preserve">can we also a run a report and see who else should be enrolled?
Employee Name	Employee ID
Kurz, Robert	14611281-0838-3fd2-87a8-4524b558ea00
Forte, Bruno	1c33edef-5379-3123-8184-df240a7aec94
Rivera, Mario	49366098-2f3a-3e36-83ca-c669c12e0df2
Nelms, Jack	b2a5b42f-c7d0-3261-b564-b52ad6c6955f
Gonzalez, Cristian	b7a44430-bee7-3f6b-b47f-cffc481ab384</t>
  </si>
  <si>
    <t>September 2025</t>
  </si>
  <si>
    <t>433069</t>
  </si>
  <si>
    <t xml:space="preserve">We have received the demographic file dated 08/28/2025 with the new location "Northpointe".
Could you please update the new location in our system and confirm?</t>
  </si>
  <si>
    <t>Added the new location Northpointe</t>
  </si>
  <si>
    <t>Jeevan S</t>
  </si>
  <si>
    <t>Kiran</t>
  </si>
  <si>
    <t>431601</t>
  </si>
  <si>
    <t xml:space="preserve">Update the Basic Life plan setup so that Class 1 correctly reflects Executives (2x salary up to $400,000) and Class 2 reflects All Other FT Employees (1x salary up to $150,000). Move David Pritchard into Class 1 and remove the unused Class 3. 
David should remain in the Grandfathered Employee Class; so update the Class 1 plan to include his class.</t>
  </si>
  <si>
    <t>434177</t>
  </si>
  <si>
    <t>We received the demographic file dated 09/10/2025 with the new department "HUMAN RESOURCES".</t>
  </si>
  <si>
    <t>We have added the new Department Human Resources</t>
  </si>
  <si>
    <t>Vamsi</t>
  </si>
  <si>
    <t>433308</t>
  </si>
  <si>
    <t xml:space="preserve">The request is to update system setup values in WFJ to reflect the correct benefit premiums and coverage amounts. Specifically:
•	Update the Dental Buy-Up Employee Only premium to $48.78 (currently $48.48).
•	Update the Voluntary Life &amp; AD&amp;D Child rate to 0.200 per $1,000 (currently 0.249).
•	Update Michael Garrett’s Spouse coverage volume from $5,000 to $50,000.</t>
  </si>
  <si>
    <t>422029</t>
  </si>
  <si>
    <t xml:space="preserve">New Departments are added, eligibility matches with other departments - 
Care Coordination
Recovery Care Services
Returning Citizens Health Link</t>
  </si>
  <si>
    <t>433679</t>
  </si>
  <si>
    <t>Update the rule to Plan Anniversary for the MOO plans</t>
  </si>
  <si>
    <t xml:space="preserve">Update the rule to Plan Anniversary for Age band changes and Age reduction for the MOO plans. 
Basic Life and AD&amp;D - 50k – Age reduction setup from Birthday to Plan Anniversary.
Voluntary Short-Term Disability - Age band changes from Month following birthday to Plan anniversary.
Voluntary Life and AD&amp;D - Age band changes from Month following birthday to Plan Anniversary and Age reduction EE Birthday and SP Month following birthday to Plan Anniversary.
Voluntary Critical Illness – Add age reduction setup and update reduction rule to from Birthday to Plan Anniversary.</t>
  </si>
  <si>
    <t xml:space="preserve">Please create these classes and make them eligible for the associated benefits.  
Part-Time (20-30hrs) - M/D/V/401k 
Part-Time &lt;20hrs) - 401k 
Casual - No benefits</t>
  </si>
  <si>
    <t xml:space="preserve">Rename Part Time SAL to Part Time (20-30hrs) – Eligible for M/D/V/401k, Part-time 20-30hrs class should be eligible for the same medical plan as the Full-time hourly. (Blue Choice Options MIBCO2040) 
Kurz, Robert should be moved to Part Time (20-30hrs) 
Rename Part Time HR to Part Time (&lt;20hrs) – Eligible for 401k Only. 
Add new Class named Casual – Not eligible for any benefits as they are College Students.</t>
  </si>
  <si>
    <t>435336</t>
  </si>
  <si>
    <t>Remove accident plan from status change. Accident is not eligible for status changes.</t>
  </si>
  <si>
    <t>435939</t>
  </si>
  <si>
    <t>Requested to add new department "Generic"</t>
  </si>
  <si>
    <t>October 2025</t>
  </si>
  <si>
    <t>435183</t>
  </si>
  <si>
    <t xml:space="preserve">What is the request and why? 
Add a custom field called Cost Center for employees records which Flora Food will provide an 8-digit cost center code. The cost center data will be sourced from the demographic file feed.  
What problem is it trying to solve for? 
This change will allow Flora’s HR and accounting teams to allocate benefit costs accurately across internal entities. Currently, reconciliation reports do not distinguish which internal company or cost center an employee belongs to, making it difficult for the client to align payroll deductions and carrier billing with their internal accounting structure.</t>
  </si>
  <si>
    <t>Add a custom field called Cost Center for employees records which Flora Food will provide an 8-digit cost center code. The cost center data will be sourced from the demographic file feed.</t>
  </si>
  <si>
    <t>438264</t>
  </si>
  <si>
    <t xml:space="preserve">Currently system is set to employer does not contribute to HSA but they do contribute. We need to update change this in Benj.
From Client
Please update the system to reflect the following: Phillips May will contribute $200 initially plus $19.23 per pay period for a total of $1200 annually. Can we have this updated before tomorrow when Philip closes out payroll?
Update the setup in HSA plan Employer Contribution to “Yes”.</t>
  </si>
  <si>
    <t xml:space="preserve">Update the setup in HSA plan Employer Contribution to “Yes”.
Also, update the above message in plan info sections.
Also, identify the impacted employees enrolled in Medical HDHP. Enroll them in HSA with zero amount.
This should be captured in EDI as enrolled</t>
  </si>
  <si>
    <t>Odyssey Manufacturing Co</t>
  </si>
  <si>
    <t>438870</t>
  </si>
  <si>
    <t>Disable same sex spouse, same sex marriage</t>
  </si>
  <si>
    <t>Disable same sex spouse, same sex marriage in the set up.</t>
  </si>
  <si>
    <t>Invalid Date</t>
  </si>
  <si>
    <t>K2 Construction</t>
  </si>
  <si>
    <t>438743</t>
  </si>
  <si>
    <t xml:space="preserve">Update rehire rule to FOMF 60 days of rehire  
For individuals being rehired within the same Employer Identification Number (EIN), if the Lumber feeds identify them as a rehire, we should check if it falls within 91 days. If it does, they should be eligible right away</t>
  </si>
  <si>
    <t xml:space="preserve">Update the rehire policy to FOMF: 60 days of rehire, regardless of when they are rehired.  
Rehires within 91 days (Date of Rehire) should be handled manually. When such cases occur, we may have to involve SaaS to get the waiting period to be  the rehire date.</t>
  </si>
  <si>
    <t>435333</t>
  </si>
  <si>
    <t>Update class rule for all plans to first of the month following 60 day rule</t>
  </si>
  <si>
    <t>Update the class change rule to "First of the Month Following 60 Days from the Date of Class" for all plans.</t>
  </si>
  <si>
    <t>436074</t>
  </si>
  <si>
    <t xml:space="preserve">We need to update the medical plan setup based on the new Cigna structure and the broker’s direction. 
For the four employees in Ohio and Oklahoma currently enrolled in the $0 SimplePlan Tiered Mid-Plan, we’ll need to move them into the $1,000 PPO Buy-Up Plan effective 10/1/25. However, they should keep their current (mid-tier) employee contribution rates even though they’re moving to the Buy-Up plan. Once updated, these enrollments should flow through on the next Cigna file. 
Employees affected: 
Benhoff, Aubrie L (ID: 54) 
Tucker, Dawnelle R (ID: 82) 
Franklin, Justin (ID: 60) 
Scace, Casey Dawn (ID: 166) 
We also need to update the medical plan eligibility rules so the system uses the employee’s home state to determine which plans they can see. Right now, there’s no location-based eligibility in place. The goal is to make sure: 
Ohio and Oklahoma employees can only see the HDHP Base and the Buy-Up plan 
The $0 SimplePlan Tiered Mid-Plan is only available for TX, CO, and NM employees 
As part of this, we’ll need to add location groupings for Ohio, Oklahoma, and Other Locations in the plan eligibility setup.</t>
  </si>
  <si>
    <t xml:space="preserve">We need to add location groupings for Ohio, Oklahoma, and Other Locations in the plan eligibility setup. 
Rename: All Employees to Other Locations 
Add 2 new Locations: Ohio and Oklahoma and Ohio and Oklahoma Mid-Plan 
Ohio-Oklahoma - Employees can only see the HDHP Base and the Buy-Up plan 
Ohio-Oklahoma Mid-Plan – Location based rates, but we need to update $0 SimplePlan Tiered Mid-Plan contributions only for $1,000 PPO Buy-Up Plan. 
Other Locations -The $0 SimplePlan Tiered Mid-Plan is only available for TX, CO, and NM employees. We don't need to remove the "Other Locations" from the $1,000 PPO Buy-Up Plan (Spouse Surcharge)/ $6,000 HDHP Base Plan (Spouse Surcharge) as they are eligible for all plans. 
For the four employees in Ohio and Oklahoma currently enrolled in the $0 SimplePlan Tiered Mid-Plan, we’ll need to move them into the $1,000 PPO Buy-Up Plan effective 10/1/25. However, they should keep their current (mid-tier) employee contribution rates even though they’re moving to the Buy-Up plan. Once updated, these enrollments should flow through on the next Cigna file. 
Employees affected: 
Benhoff, Aubrie L (ID: 54) 
Tucker, Dawnelle R (ID: 82) 
Franklin, Justin (ID: 60) 
Scace, Casey Dawn (ID: 166) 
Important Notes:  
Setting up Zip code eligibility is not recommended. I see demographic uploads. Data Integrations need to assign Location based on Home State. We will have to create two locations. 
Oklahoma-Ohio: For new hires, the client should include this in the feed. We also have to update the location of all existing employees who are not in OK or Ohio, and the other 4, to this new location. 
Oklahoma-Ohio Mid-plan: Assign this to the 4 employees</t>
  </si>
  <si>
    <t>436723</t>
  </si>
  <si>
    <t>Update rule for Critical Illness -  calculate using initial age rate</t>
  </si>
  <si>
    <t xml:space="preserve">Update rule for Critical Illness - Calculate using initial age rate. 
Identify the impacted employees and send to Nitya for her to review and confirm if we need to correct them.</t>
  </si>
  <si>
    <t>Notification</t>
  </si>
  <si>
    <t xml:space="preserve">Please update the change eligibility notification message to better fit the employee situation so it’s less confusing. This language has been reviewed and approved by HR: 
Dear &lt;First Name&gt; &lt;Last Name&gt;, 
Your benefits eligibility status has recently changed. In some cases, this may require you to make new elections. In other cases—such as updates to employer-paid plans like Basic Life—no action is needed. 
Please log in to the Benefits Enrollment System to review your benefits: 
Benefits Enrollment System: &lt;Link&gt; 
Username: &lt;username&gt; 
If an enrollment is required, you’ll see a To-Do item or be guided through the enrollment steps after logging in. 
If no To-Do item appears, your record has already been updated automatically. You can view these changes under My Current Enrollment for confirmation.</t>
  </si>
  <si>
    <t>Update Eligibility for New plans email</t>
  </si>
  <si>
    <t>440157</t>
  </si>
  <si>
    <t>Please add a new division name 150 Supply Chain, eligibility should match the other divisions.</t>
  </si>
  <si>
    <t>We added a new division name 150 Supply Chain, eligibility should match the other divisions.</t>
  </si>
  <si>
    <t>November 2025</t>
  </si>
  <si>
    <t>440774</t>
  </si>
  <si>
    <t xml:space="preserve">The Newly Enrolled Dependents report has now been developed and is live. This gives us the ability to run a weekly report to track any newly added dependents for verification.
Because we now have this report, we no longer need to use the workaround of pending new hire enrollments for ICCSD in order to monitor dependent activity. With that in place, we can go ahead and disable the pending option for new hire enrollments for Iowa City Community School District.
Note: statue changes should continue to pend for approval.</t>
  </si>
  <si>
    <t>Disable the pending transactions option for new hire enrollments for Iowa City Community School District.</t>
  </si>
  <si>
    <t>Wagner Roofing Company</t>
  </si>
  <si>
    <t>440604</t>
  </si>
  <si>
    <t>Update rounding rule for STD to Rounding Down to $50</t>
  </si>
  <si>
    <t>Update rounding rule for STD to Rounding Down to $50 and update the employee (Donnell L Chambers) record volume for STD from $720 to $700.</t>
  </si>
  <si>
    <t xml:space="preserve">Update rules 
Critical illness - age reductions occur immediately following the member turning age 70. Change to month following birthday. 
Life Insurance – reduction become effective FOMF birthday. I think this is how it is but please check and let me know.</t>
  </si>
  <si>
    <t>For Mutual of Omaha plan Voluntary Critical Illness and Basic Life and AD&amp;D - 50k plan, We have updated the age reduction effective rule to “Month Following Birthday”</t>
  </si>
  <si>
    <t>443185</t>
  </si>
  <si>
    <t xml:space="preserve">Employees have been updating their names in the portal without
providing the required documentation to HR first. This has
created discrepancies with the carriers—for example, employee
#15178 (Tiger Torres / Katalina Torres) updated their name in
the portal before submitting supporting documents, which
resulted in an incorrect name being sent to Delta Dental.</t>
  </si>
  <si>
    <t xml:space="preserve">We have updated that employees won't be able to edit their first
name, last name, and middle name. These can only be updated by
the HR Admin directly</t>
  </si>
  <si>
    <t>443191</t>
  </si>
  <si>
    <t xml:space="preserve">Update the voluntary life rounding rules for Pak-Lite as follows:
•	Employee Voluntary Life: Round the elected amount up to the next highest $10,000 increment.
o	Example: $202,384 → $210,000.
•	Spouse Voluntary Life: Round the elected amount up to the next highest $5,000 increment</t>
  </si>
  <si>
    <t xml:space="preserve">Update the COVERAGE rounding rule for Voluntary Life plan for EE and SP as mentioned above.
Employee Voluntary Life: Round the elected amount up to the next highest $10,000 increment. 
Spouse Voluntary Life: Round the elected amount up to the next highest $5,000 increment</t>
  </si>
  <si>
    <t>December 2025</t>
  </si>
  <si>
    <t>Please update 60 - 100 with a monthly rate of $6.19/1000</t>
  </si>
  <si>
    <t>We have updated 60 - 100 with a monthly rate of $6.19/1000</t>
  </si>
  <si>
    <t>447100</t>
  </si>
  <si>
    <t xml:space="preserve">Update Voluntary Life waiting period rule to First of the Month Following or Coinciding with 0 day(s) from Date of Hire. Also, update Coinciding for rehire rule as well. 
This should match the existing configuration for Dental and Vision.</t>
  </si>
  <si>
    <t>We have updated the  Voluntary Life waiting period rule to First of the Month Following or Coinciding with 0 day(s) from Date of Hire. Also, updated the Coinciding for rehire rule as well.</t>
  </si>
  <si>
    <t>446752</t>
  </si>
  <si>
    <t>Changing HSA vendor to Empower effective 1/1/2026</t>
  </si>
  <si>
    <t>Changing HSA vendor to Empower effective 1/1/2026. As there is no impact in EDI change exiting carrier from Health Equity to Empower.</t>
  </si>
  <si>
    <t>Mangieri Electric</t>
  </si>
  <si>
    <t>447104</t>
  </si>
  <si>
    <t>Change the new hire/rehire waiting period from 90 to 91 days from date of hire for Principal carrier.</t>
  </si>
  <si>
    <t>Update the new hire/rehire waiting period from 90 to 91 days from date of hire for Principal carrier.</t>
  </si>
  <si>
    <t>447420</t>
  </si>
  <si>
    <t xml:space="preserve">Domestic Partner (DP) coverage is currently enabled for Medical only. DP coverage needs to be enabled across all plans for ATK Energy Group, including Dental, Vision, and Voluntary Life (Principal).
The broker has confirmed that Principal allows Domestic Partner coverage, and this should apply to all applicable benefit plans for the 2026 plan year.
Requested Changes
1.	Update plan configuration to enable Domestic Partner coverage across all plans (Medical, Dental, Vision, and Voluntary Life), effective 1/1/2026.</t>
  </si>
  <si>
    <t>Update plan configuration to enable Domestic Partner coverage across all plans (Medical, Dental, Vision, and Voluntary Life), effective 1/1/2026.</t>
  </si>
  <si>
    <t>446546</t>
  </si>
  <si>
    <t xml:space="preserve">Update rule for Critical Illness -  calculate using initial age rate 
12/124 update – it should be full amount at initial age.</t>
  </si>
  <si>
    <t xml:space="preserve">Update rule for Critical Illness - Calculate using initial age rate. 
Identify the impacted employees and send to Nitya for her to review and confirm if we need to correct them. 
12/124 update – Frozen rate setup, it should be full amount at initial age 
Do an audit to see if the premiums are correct for 2026 as well.</t>
  </si>
  <si>
    <t>Direct Traffic Control Inc</t>
  </si>
  <si>
    <t>447679</t>
  </si>
  <si>
    <t xml:space="preserve">Create a department named “Executives” – EE pays $0 for all tiers and all plans except Vol Life. EE pays full cost. 
Move these employees to this new department:  
Haley Norman 
Kim Murphy (no benefit elections) 
Timothy Murphy 
Chandler Miller 
Plans to update: 
Medical, Dental and Vision, Accident with department based rates with $0 EE pays for department “Executives”.  
Vol STD, Vol LTD - Create a new plan with ER pays make it eligible for only department “Executives” 
Note: Leave HSA and FSA HC and DC. 
Note: Leave Critical Illness as client will add reimbursement for this benefit.</t>
  </si>
  <si>
    <t xml:space="preserve">Added new department named “Executives” – EE pays $0 for all tiers and all plans except Vol Life. EE pays full cost. 
Move these employees to this new department:  
Haley Norman 
Kim Murphy (no benefit elections) 
Timothy Murphy 
Chandler Miller 
Plans to update: 
Medical, Dental and Vision, Accident with department based rates with $0 EE pays for department “Executives”.  
Vol STD, Vol LTD - Create a new plan with ER pays make it eligible for only department “Executives” 
Note: Leave HSA and FSA HC and DC. 
Note: Leave Critical Illness as client will add reimbursement for this benefit.</t>
  </si>
  <si>
    <t>Precision Group</t>
  </si>
  <si>
    <t>448761</t>
  </si>
  <si>
    <t>There are a group of people who are not eligible for HSAs - these include managers and non-managers.</t>
  </si>
  <si>
    <t xml:space="preserve">Reason: The below listed should not be offered the HSA plan because they are owners and family members of owners.
We needed to add 2 more benefits departments for Managers (non-HSA) and All Other Employees (non-HSA) to exclude the H.S.A option for the following employees:
Jason Shye -PEI - Managers (non-HSA)
Taylor Couch -PEI - Managers (non-HSA)
Jamie Gray -PEI - All Other Employees (non-HSA)
Todd Gray -PFC - Managers (non-HSA)
Bailey Civelli -PFC - Managers (non-HSA)
Deborah Gray -PFC All Other Employees (non-HSA)
Jacob Couch -PFC - All Other Employees (non-HSA)
Solution: 
Add 2 new departments
All Other Employees (Non-HSA)
Managers (Non-HSA)
Duplicate all the 3 Medical plans.
FHCP BNN HMO OI6/OF6 - No HSA
FL BLUE HMO 132/133 - No HSA
FL BLUE PPO 05194/05195 - No HSA
Do not make these plans eligible for HSA. Move the above listed employees effective 9/1/2025.</t>
  </si>
  <si>
    <t>449288</t>
  </si>
  <si>
    <t>Change new hire enrollment duration to 30 days</t>
  </si>
  <si>
    <t>448601</t>
  </si>
  <si>
    <t>New enrollments during OE require EOI: “If an employee is not enrolled at all, EOI is always required. Only those currently enrolled can elect 1 increment without EOI.”</t>
  </si>
  <si>
    <t>For Voluntary Life During OE If an employee is not enrolled at all, EOI is always required. Only those currently enrolled can elect 1 increment without EOI.”</t>
  </si>
  <si>
    <t>January 2024</t>
  </si>
  <si>
    <t>Lilium</t>
  </si>
  <si>
    <t>361516</t>
  </si>
  <si>
    <t xml:space="preserve">Need to add 2 departments 
FLOWTRANS Driver 
OPTIX Driver</t>
  </si>
  <si>
    <t xml:space="preserve">Added 2 departments 
FLOWTRANS Driver 
OPTIX Driver 
And moved the respective EE's into the new Department</t>
  </si>
  <si>
    <t>Kiranmai</t>
  </si>
  <si>
    <t>Juan Brito</t>
  </si>
  <si>
    <t>360708</t>
  </si>
  <si>
    <t>Please turn on “Require Proof” for QLE.   Client would like employees to be required to upload proof of QLE when doing a status change in Benefits Junction</t>
  </si>
  <si>
    <t>Require Proof for QLE for all plan types and all events.</t>
  </si>
  <si>
    <t>Janice Baez</t>
  </si>
  <si>
    <t>Deerfield Management</t>
  </si>
  <si>
    <t>Assured Partners</t>
  </si>
  <si>
    <t>361513</t>
  </si>
  <si>
    <t>Need to add a new division: Health Innovation Management LLCEligibility - plans should be the same as Deerfield Management divisionEDI files need to be updated</t>
  </si>
  <si>
    <t>Add a new division: Health Innovation Management LLCEligibility - plans should be the same as Deerfield Management division</t>
  </si>
  <si>
    <t>361759</t>
  </si>
  <si>
    <t>Basic Life, STD, LTD, Voluntary Life, Hospital Indemnity, Accident Plan, Critical Illness and FSA Dependent Care should terminate date of termination.</t>
  </si>
  <si>
    <t>Updated the termination rule for Basic Life, STD, LTD, Voluntary Life, Hospital Indemnity, Accident Plan, Critical Illness and FSA Dependent Care to terminate date of termination.</t>
  </si>
  <si>
    <t>361371</t>
  </si>
  <si>
    <t xml:space="preserve">Katie confirmed that the employee moved to Professional eff on 11/16/2023. The waiting period rule for the Department should match the class change rule. 
Please update the department waiting rule for all plans to the following: 
First of the Month Following 30 Day(s) from Date of Department</t>
  </si>
  <si>
    <t>The waiting period rule for the Department should match the class change rule. - First of the Month Following 30 Day(s) from Date of Department</t>
  </si>
  <si>
    <t>362091</t>
  </si>
  <si>
    <t>We received the demographic file dated 01/02/2024 with the new department "364". Please add the new department.</t>
  </si>
  <si>
    <t>Add new department "364" and the eligibility is same as all other departments.</t>
  </si>
  <si>
    <t>-</t>
  </si>
  <si>
    <t>To match the FSA deductions in the calendar year with UKG in the payroll system. We have to adjust the pay date to match the number deduction in the UKG system</t>
  </si>
  <si>
    <t>We need to replace pay date with paycycle end date. Also, the 1st pay date in the calendar year we use 1/1 to have 26 deductions.</t>
  </si>
  <si>
    <t>362349</t>
  </si>
  <si>
    <t>Rate Setup</t>
  </si>
  <si>
    <t>HDHP $3500 HDHP/HSA Plan Employee Single Non-Smoker plan employee only contribution is showing as $36.27 per pay and it needs to be $36.30 per pay. The monthly EMPLOYEE CONTRIBUTION should be reflected as $78.65 for the employee.</t>
  </si>
  <si>
    <t xml:space="preserve">Update the below medical plan Employee only contribution rate to $78.65.
HDHP $3500 HDHP/HSA Plan Employee Single Non-Smoker</t>
  </si>
  <si>
    <t>CEC</t>
  </si>
  <si>
    <t>362208</t>
  </si>
  <si>
    <t xml:space="preserve">Added new locations -
001 Cedar Rapids
002 Des Moines
003 Davenport
004 Waterloo
005 Dubuque
006 Madison
007 Green Bay
008 Milwaukee 
All locations are eligible for all plans
Moved employees into the given locations</t>
  </si>
  <si>
    <t>362379</t>
  </si>
  <si>
    <t>HMO plan is eligible for location “147283 – IL”. Remove other location from HMO plans.</t>
  </si>
  <si>
    <t>January 2023</t>
  </si>
  <si>
    <t>362162</t>
  </si>
  <si>
    <t xml:space="preserve">Need to add a new medical plan and employee grouping as Location – Illinois and Non-Illinois 
Medical plan details are provided in renewal wizard 
Effective date change rule is Date of Location 
New location is eligible for all plans 
Names can be distinguish as $1,000 Deductible Illinois and $1,000 Deductible Non-Illinois</t>
  </si>
  <si>
    <t xml:space="preserve">Added a new medical plan and employee grouping as Location – Illinois and Non-Illinois. 
New location - Non-Illinois is eligible for all plans.
Names of the Medical plans updated as $1,000 Deductible Illinois and $1,000 Deductible Non-Illinois</t>
  </si>
  <si>
    <t>363169</t>
  </si>
  <si>
    <t>While working through some January invoice discrepancies with Guardian regarding the LTD plan. Guardian came back stating the LTD rate is $0.486 per $100, but what was submitted for the renewal was $0.49 per $100. I confirmed with the broker that the rate is $0.486 per $100 eff. 1/1/2024. Please up the LTD plans.</t>
  </si>
  <si>
    <t>Brightmark LTD rate should be $0.486 per $100 eff. 1/1/2024</t>
  </si>
  <si>
    <t>354397</t>
  </si>
  <si>
    <t xml:space="preserve">Please update the Enrollment Waiting period to First of the Month Following or Coinciding with 61 Day(s) from Date of Hire 
This is for Basic Life &amp; AD&amp;D Plans, Voluntary Life and Short Term Disability.</t>
  </si>
  <si>
    <t xml:space="preserve">Updated the Enrollment Waiting period to First of the Month Following or Coinciding with 61 Day(s) from Date of Hire for the below plans -
 Basic Life &amp; AD&amp;D Plans, Voluntary Life and Short Term Disability.</t>
  </si>
  <si>
    <t>Involta LLC</t>
  </si>
  <si>
    <t>363096</t>
  </si>
  <si>
    <t xml:space="preserve">We received a new location in a recent demographic. Please add the location. Eligibility should match the other locations. 
New Location - "Green Bay"</t>
  </si>
  <si>
    <t xml:space="preserve">Please add the location. Eligibility should match the other locations. 
New Location - "Green Bay"</t>
  </si>
  <si>
    <t>EOS Fitness</t>
  </si>
  <si>
    <t>NFP</t>
  </si>
  <si>
    <t>363417</t>
  </si>
  <si>
    <t xml:space="preserve">We have received the following 1 new location in recent EOS Fitness Demographic file. Please add to BenJ.
Location - CAI1J
Description - CAI1J - Indio: Hwy 111/Jefferson</t>
  </si>
  <si>
    <t xml:space="preserve">Please add to BenJ. Eligibility is same as all other locations.
Location - CAI1J
Description - CAI1J - Indio: Hwy 111/Jefferson</t>
  </si>
  <si>
    <t>363627</t>
  </si>
  <si>
    <t>We received the demographic file dated 01/16/2024 with the new department "332". Please add the new department</t>
  </si>
  <si>
    <t>Please new department "332" and the eligibility is same as all plans</t>
  </si>
  <si>
    <t>Network Transport</t>
  </si>
  <si>
    <t>362516</t>
  </si>
  <si>
    <t xml:space="preserve">Need to update basic life rate
•	Life rate - $0.190 for each $1000
•	AD&amp;D rate - $0.039 for each $1000</t>
  </si>
  <si>
    <t xml:space="preserve">Update basic life rate effective 1/1/2024.
•	Life rate - $0.190 for each $1000
•	AD&amp;D rate - $0.039 for each $1000</t>
  </si>
  <si>
    <t>Hierl Insurance Inc</t>
  </si>
  <si>
    <t>361348</t>
  </si>
  <si>
    <t xml:space="preserve">Please create a Monthly Payroll option in the Pay cycle drop down menu. 
This is for one employee John Ahern lll. 
Please move him to this pay cycle effective 01/01/2024 once the pay cycle has been set up.</t>
  </si>
  <si>
    <t xml:space="preserve">Created a Monthly Payroll option in the Pay cycle drop down menu. 
This is for one employee John Ahern lll. 
Moved him to this pay cycle effective 01/01/2024 once the pay cycle has been set up.</t>
  </si>
  <si>
    <t>Johnson Real Estate Investors LLC</t>
  </si>
  <si>
    <t>EBS</t>
  </si>
  <si>
    <t>364294</t>
  </si>
  <si>
    <t>Employees were questioning if the tobacco surcharge applies if they waive the medical plan, and HR confirmed it only applies if they enroll in the medical plan. Please make the Tobacco User plan dependent on the medical plan enrollment and move the Tobacco User plan to show after the medical plan in the workflow</t>
  </si>
  <si>
    <t>We have made the Tobacco User plan dependent on the medical plan enrollment and moved the Tobacco User plan to show after the medical plan in the workflow</t>
  </si>
  <si>
    <t>363021</t>
  </si>
  <si>
    <t xml:space="preserve">Rename the current Voluntary Life and AD&amp;D - HS LLC into Voluntary Life and AD&amp;D. And move the enrollments from Voluntary Life and AD&amp;D - Dublin plan into the Voluntary Life and AD&amp;D.  34 employees are enrolled in the Voluntary Life and AD&amp;D - Dublin plan. 
Please update the system for anyone who has a CLASS Change.  The effective date of the class change should be First of the month following or coinciding Class change effective date. 
Are we able to combine the Voluntary STD plan HS and Dublin into one plan like the Vol Life &amp; AD&amp;D.  This will take care of the issues as the plan should just continue but moved to a new class?  If yes, please set this up as well.</t>
  </si>
  <si>
    <t>364837</t>
  </si>
  <si>
    <t xml:space="preserve">For the STD, late entrants need to pend for EOI approval, even at OE. Please update the Voluntary STD plans to require EOI if employees enroll after their new hire eligibility.  
Also, Jennifer provided a list of employees whose STD enrollment needs to be updated to reflect pending for EOI, eff 1/1/2024. Please update their enrollments.</t>
  </si>
  <si>
    <t>364449</t>
  </si>
  <si>
    <t xml:space="preserve">Fiore was able to negotiate Voluntary Life rates for spouse age over the age of 70. Please update the Voluntary Life plan for the following spouse ages:
Spouse Voluntary Life Rates w/ AD&amp;D: 
70-74: 4.795 
75+: $15.462</t>
  </si>
  <si>
    <t xml:space="preserve">Fiore was able to negotiate Voluntary Life rates for spouse age over the age of 70. Updated the Voluntary Life plan for the following spouse ages:
Spouse Voluntary Life Rates w/ AD&amp;D: 
70-74: 4.795 
75+: $15.462</t>
  </si>
  <si>
    <t>364829</t>
  </si>
  <si>
    <t xml:space="preserve">Through our audit of the carrier invoice, we found the rates are off by a few cents. Please update the vision rates for 2024. TrueNorth provided the following - 
EE 7.86
EE+SP 15.75
EE+CH 13.33
EE+FAM 21.99</t>
  </si>
  <si>
    <t>February 2024</t>
  </si>
  <si>
    <t>365082</t>
  </si>
  <si>
    <t>Need to update the Vol Life AD&amp;D spouse premium calculation to be based on Spouse’s Age for Bethany Lutheran</t>
  </si>
  <si>
    <t>Updated the Vol Life AD&amp;D spouse premium calculation to be based on Spouse’s Age for Bethany Lutheran</t>
  </si>
  <si>
    <t>362979</t>
  </si>
  <si>
    <t>Need to update the rounding rule for Vol life plan to "Next Highest $10,000".</t>
  </si>
  <si>
    <t>Updated the rounding rule for Vol life plan to "Next Highest $10,000".</t>
  </si>
  <si>
    <t>Jiffy Air Tool Inc</t>
  </si>
  <si>
    <t>Elevated Benefits</t>
  </si>
  <si>
    <t>365457</t>
  </si>
  <si>
    <t xml:space="preserve">Due to the high enrollment into the Accident Plan plan for Jiffy Air Tool, the carrier is giving a price reduction for the Accident Plan Employee only coverage.
Monthly premium is changing from 16.68 and the new amount is $13.69.</t>
  </si>
  <si>
    <t>Change Accident Plan Employee only coverage Monthly premium is changing from 16.68 and the new amount is $13.69.</t>
  </si>
  <si>
    <t>358560</t>
  </si>
  <si>
    <t xml:space="preserve">What is the request and why? What problem is it trying to solve for?During implementation the CI plan was listed as an increment Plan.  It should have been set up as Coverage Tier.  The spouse should be 50% of the employee's election and the child should 25% of the employees cost.
There are 3 employees that we are waiting for confirmation back if they want to keep their spouse enrolled.</t>
  </si>
  <si>
    <t>The spouse setup should be 50% of the employee’s elected Coverage amount upto $15000</t>
  </si>
  <si>
    <t>Gnanavelu</t>
  </si>
  <si>
    <t>365940</t>
  </si>
  <si>
    <t xml:space="preserve">Voluntary Life &amp; AD&amp;D have rider rates that should not be in the setup. 
Please remove the rider rates and use the rates below from Broker.</t>
  </si>
  <si>
    <t>For Voluntary Life plan - add the AD&amp;D rates and remove the Rider Cost</t>
  </si>
  <si>
    <t>366319</t>
  </si>
  <si>
    <t xml:space="preserve">What is the request and why? What problem is it trying to solve for?
This needs to be set up on the 5 HMO plans that are in BenJ
PCP for the HMO Plan needs to be set up with PCP Required.
We need to require the Dr. name and the PCP Number.
Please add the following instructions on the Popup page with the link to the Provider finder online.
Here is the link to the provider page: Home (providerfinderonline.com)
Instructions:
Enter your location in the upper right corner of the provider search page to narrow the list of results.
Already have a primary care provider. Search by their name for the quickest return.
If the provider is truly a recognized PCP, the PCP number will be listed under the provider’s name and provider category.
To prevent errors entering the name or PCP number, you can highlight, copy, and then paste into Benefits Junction.</t>
  </si>
  <si>
    <t>Setup PCP for HMO plans in Medical and make it required both PCP Name and PCP Code. Also add the above instructions in the General setup under PCP section.</t>
  </si>
  <si>
    <t>366325</t>
  </si>
  <si>
    <t>We need to update the rates highlighted in the attached document</t>
  </si>
  <si>
    <t>Update the rates to match the above table .</t>
  </si>
  <si>
    <t>366335</t>
  </si>
  <si>
    <t>The premiums for the medical plans need to be updated.  There is no change to the employee contribution the Employer will be paying the difference.  These rates should be effective 03/01/2024.</t>
  </si>
  <si>
    <t xml:space="preserve">First end the current period plan year with effective 2/29/2024 and then create new period plan year 3/1/2024 to 8/31/2099.
Then add the new premium. There is no changes in EE rates, so add the same rates for deductions.</t>
  </si>
  <si>
    <t>366316</t>
  </si>
  <si>
    <t xml:space="preserve">Setup all Bethany Lutheran plans new hire waiting period to First of the month following 63 days from Date of Hire. 
This rule applies to re-hire and class changes.</t>
  </si>
  <si>
    <t>366464</t>
  </si>
  <si>
    <t xml:space="preserve">Incorrect information was provided during implementation from the broker.
For all plans.
Employee terminates, changes to Part-time, QLE and employee, spouse or dependent losing coverage all plans should terminate on date of Termination.  Currently set to last day of the month following termination date and that is not correct</t>
  </si>
  <si>
    <t xml:space="preserve">All plan types.
1)	Status Termination rule “Date of Termination”
2)	Class Termination rule “Date of Termination”
3)	QLE and employee, spouse or dependent losing coverage all plans should terminate on date of Termination 
a.	Dependent loses Coverage
b.	Employee lost Coverage
c.	Divorce
d.	Death of Dependent
e.	Over-age Dependent</t>
  </si>
  <si>
    <t>366999</t>
  </si>
  <si>
    <t xml:space="preserve">The Medical Plans HDHP 3500 the single rate premiums needs to be changed from $868.56 to $868.66
Can you please update the rates tonight and confirm</t>
  </si>
  <si>
    <t>The Medical Plans HDHP 3500 the single rate premiums needs to be changed from $868.56 to $868.66. After updating verify ER cost to see if its adjusted.</t>
  </si>
  <si>
    <t>367328</t>
  </si>
  <si>
    <t>For the voluntary Life, please update the spouse's age reduction schedule to match the employee’s age reduction schedule.</t>
  </si>
  <si>
    <t>Updated the below age reduction schedule for Spouse. Also identify if any spouse records are impacted.</t>
  </si>
  <si>
    <t>366763</t>
  </si>
  <si>
    <t>We just found that the Voluntary STD plans have been set up incorrectly. Both plans should allow employees to elect a benefit amount; the minimum amount would be $100 up to $1050 (in $50 increments), without exceeding 60% of the weekly salary, rounded down to the next $50 increment. Jenn confirmed the rates are correct.</t>
  </si>
  <si>
    <t>367057</t>
  </si>
  <si>
    <t>When there is a class change from PTwBenefits to Full time or vice vera the deduction rates are not associated with the class change.  EDI needs this as the rates are different by class.</t>
  </si>
  <si>
    <t xml:space="preserve">In current Medical plans keep only Full Time in eligibility and rates.  
High Deductible Plan (HDHP) - $3,200 
CoPay Plan - $3,200 
Duplicate the Medical plans and keep only Part Time w/Benefits in eligibility and rates. 
High Deductible Plan (HDHP) - $3,200 – PT w/Benefits 
CoPay Plan - $3,200 - PT w/Benefits 
Before doing the setup change. Download the rates from BenJ. 
Class change Eligibility and Class change Termination rule remains same as now. 
Move enrollments from current plan to new plans for PT w/Benefits employees. There are 20 records in this class out of which only 8 are enrolled so we need to move only the 8 records. The effective date should be the same as their current enrollment effective date. 
After making all these changes, we need to remove PT w/Benefits class from current plans.</t>
  </si>
  <si>
    <t>367913</t>
  </si>
  <si>
    <t>We have learned that the BRMS rate effective 01/01/2024 in incorrect. Please have your team update the rate to $942.07 effective 1/1/2024</t>
  </si>
  <si>
    <t>Update the BRMS carrier plans rate to $942.07 effective 1/1/2024</t>
  </si>
  <si>
    <t>368194</t>
  </si>
  <si>
    <t xml:space="preserve">When there is an overage Dependent looks like there are different end dates for plans.
The accident plan is ending on the last day of the month following termination date.
Dependent Life &amp; Critical Illness need to terminate on the last day of the month following termination date of the dependent.
Can you please make sure all overage dependent rules terminate the dependent on the last day of the month in which they become overaged.</t>
  </si>
  <si>
    <t xml:space="preserve">Dependent Life &amp; Critical Illness update the overage dependent rule to “On the first day of the month following the 26 th birthday”.
Do an Audit impacted and also correct the employee records mentioned by Janice on the conversation</t>
  </si>
  <si>
    <t>Brookfield Enterprise</t>
  </si>
  <si>
    <t xml:space="preserve">For the following groups – Jiffy Air Tools, Brookfield &amp; Shaw Engineering
All Elevated client’s Part-Time employees are eligible for all benefits except for the Medical Plan.
Can you please set these 3 groups up</t>
  </si>
  <si>
    <t>Make the updates as per above.</t>
  </si>
  <si>
    <t>Shaw Engineering</t>
  </si>
  <si>
    <t>367249</t>
  </si>
  <si>
    <t xml:space="preserve">For the Vision Plan, we need to set up 5 tier premiums and contributions.  Renuka found the error when reconciling the invoices that were just received.   We will need to move the employee + children into the correct coverage tier. 
Employee &amp; 1 child	$21.52					$21.52</t>
  </si>
  <si>
    <t xml:space="preserve">For the Vision Plan, we set up 5 tier premiums and contributions. Below is the new tier that is added 
Employee &amp; 1 child	$21.52					$21.52</t>
  </si>
  <si>
    <t>Upfield US Inc.</t>
  </si>
  <si>
    <t>360 CBA</t>
  </si>
  <si>
    <t>367754</t>
  </si>
  <si>
    <t xml:space="preserve">Lincoln provided a new invoice template, and I noticed the rates for the basic life were different. Please update the basic life rate.
Basic Life Non-Union : increased from $.175 to $.264 per $1,000 
Basic Life Union 25K : increased from $.094 to $.142 per $1,000</t>
  </si>
  <si>
    <t xml:space="preserve">Updated the basic life rate.
Basic Life Non-Union : $.264 per $1,000 
Basic Life Union 25K : $.142 per $1,000</t>
  </si>
  <si>
    <t>March 2024</t>
  </si>
  <si>
    <t>365733</t>
  </si>
  <si>
    <t xml:space="preserve">UHC Basic Life Plan Age reduction rules -
Benefits will be reduced to 65% of original amount at age 65 and 50% of the original amount at age 70.
The reductions will be effective on the first day of the month following the month in which your birthday occurs.
doesn't appear there is a rounding rule but to error on the side of caution, I would round down:  Let us keep No Rounding</t>
  </si>
  <si>
    <t xml:space="preserve">UHC Basic Life Plan Age reduction rules -
Benefits will be reduced to 65% of original amount at age 65 and 50% of the original amount at age 70.
The reductions will be effective on the first day of the month following the EE DOB.</t>
  </si>
  <si>
    <t>Cha Ching dba. Great Clips</t>
  </si>
  <si>
    <t>368731</t>
  </si>
  <si>
    <t xml:space="preserve">The Broker has received the final premiums based on open Enrollment elections.
Please update both medical plans with and without P/Time employees.
Premiums for all 4 plans should be updated.
Freedom 5000 POS
EE only $626.97
EE + Sp $1,253.97
EE = Children $1,191.25
Family $2,006.32
EE + DP $$1,253.97
EE+DP+children $2,153.97
HMO 6000 Plan
EE only $577.20
EE + Sp $1,154.43
EE = Children $1,096.70
Family $1,847.07
EE + DP $1,154.43
EE+DP+children $1,847.07</t>
  </si>
  <si>
    <t>Update the premiums as per above.</t>
  </si>
  <si>
    <t>368965</t>
  </si>
  <si>
    <t xml:space="preserve">Please update CLDD end dates to the Last Day of the month following change date. 
For the following Plans: 
All Medical Plans, Dental Plan, Vision Plan and FSA Full Purpose FSA.</t>
  </si>
  <si>
    <t xml:space="preserve">Updated CLDD end dates to the Last Day of the month following change date. 
For the following Plans: 
All Medical Plans, Dental Plan, Vision Plan and FSA Full Purpose FSA.</t>
  </si>
  <si>
    <t>369490</t>
  </si>
  <si>
    <t>The broker noticed the number of enrolled in the Basic Life and EAP were not matching. I found two employees not enrolled in the EAP because they never logged in. It looks like we never set up an auto-enrollment for the EAP. Please update to match the auto-enrollment of the other plans.</t>
  </si>
  <si>
    <t>Set up an auto-enrollment for the EAP.</t>
  </si>
  <si>
    <t>366772</t>
  </si>
  <si>
    <t xml:space="preserve">Enertia provides an employer contribution towards the HSA. As a result, they no longer want to allow employees in the HDHP to enroll in FSA Healthcare. Please update BenJ to prevent enrollment in the HDHP and FSA HC.  
Also, there are three employees who should remain in the FSA HC and HDHP due to tax documents having been already produced. The following employees need to stay enrolled in the HDHP and FSA HC: EE# 12, 184, 192</t>
  </si>
  <si>
    <t>Enable employer contribution setup in HSA plan</t>
  </si>
  <si>
    <t>366857</t>
  </si>
  <si>
    <t>Change rates from Fully Insured to Self-Funded for Medical.</t>
  </si>
  <si>
    <t xml:space="preserve">Change rates from Fully Insured to Self-Funded for Medical. 
Refer ticket helpscout #366857 for the Self-Funded rates</t>
  </si>
  <si>
    <t>Barnum and Celillo Electric Inc</t>
  </si>
  <si>
    <t>368206</t>
  </si>
  <si>
    <t>add class-based deduction rates for the Medical and Dental plans. Hence when employee moves from one class to another there will not be any termination of benefits. There will be only change in rate.</t>
  </si>
  <si>
    <t xml:space="preserve">Setup changes steps are listed below:
1)	Move Management Class to Plan 1
2)	Add class based waiting period rules in Plan 1
3)	Add deduction rates for latest period plan based on class
4)	Move enrollments from Plan 2 to Plan 1
5)	End Plan 2 with 3/31/2024 and terminate effective 4/1/2024
6)	Remove Plan 2 from OE profile</t>
  </si>
  <si>
    <t>369613</t>
  </si>
  <si>
    <t>Their Basic Life benefit is 1 x annual salary to a max of $50,000 not a flat $50,000 benefit for Bethany Lutheran</t>
  </si>
  <si>
    <t xml:space="preserve">Update the basic life plan setup and identify the impacted employees. System should update the impacted if not we need to do a datafix.
Minimum of $ 10000, and 1 x annual salary to a max of $50,000</t>
  </si>
  <si>
    <t>371210</t>
  </si>
  <si>
    <t>We received the demographic file dated 03/25/2024 with the new department "65". Please add the new department.</t>
  </si>
  <si>
    <t>Added  the new department "65” and the eligibility is same as other departments.</t>
  </si>
  <si>
    <t>368585</t>
  </si>
  <si>
    <t>Voluntary Accident coverage cannot be enrolled by a Qualifying Life Event. Please remove.</t>
  </si>
  <si>
    <t>Remove Voluntary Accident plan from Status changes setup.</t>
  </si>
  <si>
    <t>370317</t>
  </si>
  <si>
    <t>Update rehire rule - use 1st of the month following rehire date as the rule for all plans for Field class.</t>
  </si>
  <si>
    <t>Updated rehire rule - use 1st of the month following rehire date as the rule for all plans for Field class.</t>
  </si>
  <si>
    <t>April 2024</t>
  </si>
  <si>
    <t>371985</t>
  </si>
  <si>
    <t>We received the demographic file dated 03/25/2024 with the new department "72". Please update the new department on our system.</t>
  </si>
  <si>
    <t>Add the new department and the eligibility is same as all departments.</t>
  </si>
  <si>
    <t>372187</t>
  </si>
  <si>
    <t>Due to service issues, Unum has agreed to reduce the Employer Paid Plan LTD rate from $.16 to $.15 per $100 CMP as of May 1, 2024. Please update the rate effective 5/1/2024.</t>
  </si>
  <si>
    <t>Update Employer Paid Plan LTD rate to $0.15 per $100 effective 5/1/2024.</t>
  </si>
  <si>
    <t>366058</t>
  </si>
  <si>
    <t xml:space="preserve">In file testing, some discrepancies were discovered based on how we reported employees' Mutual of Omaha Class IDs. Class IDs are A001 = Executives and supervisors and A002=All other employees. We were reporting this based on the department:  
A001 = Executives, and supervisors 
1-Executive Officers 
5.10-Shop - Supervisor 
6.40-Operations - Supervision 
9.10-Trucking - Supervisor 
A002= All other employees 
All other departments 
However, we found out from the client that multiple departments may have supervisors. So, we need a different way to identify these employees.  
We can manage it by adding this to the division. There are Exempt and Nonexempt divisions, and we can add the following to map to the respective class ID. 
Exempt Manager 
Non-Exempt Manager 
Exempt Non-Manager. 
Non-Exempt Non-Manager</t>
  </si>
  <si>
    <t xml:space="preserve">In file testing, some discrepancies were discovered based on how we reported employees' Mutual of Omaha Class IDs. Class IDs are A001 = Executives and supervisors and A002=All other employees. We were reporting this based on the department:  
A001 = Executives, and supervisors 
1-Executive Officers 
5.10-Shop - Supervisor 
6.40-Operations - Supervision 
9.10-Trucking - Supervisor 
A002= All other employees 
All other departments 
However, we found out from the client that multiple departments may have supervisors. So, we need a different way to identify these employees.  
We can manage it by adding this to the division. There are Exempt and Nonexempt divisions, and we added the following to map to the respective class ID. 
Exempt Manager 
Non-Exempt Manager 
Exempt Non-Manager
Non-Exempt Non-Manager</t>
  </si>
  <si>
    <t>Hydrafacial LLC</t>
  </si>
  <si>
    <t>Arthur J Gallagher EBS</t>
  </si>
  <si>
    <t>370380</t>
  </si>
  <si>
    <t>Company Setup</t>
  </si>
  <si>
    <t xml:space="preserve">EE ID - 11294 (Marisol, Lopez) – Gender is Undisclosed
EE ID - 11715 (James, Runyon) – Gender is Non-Binary</t>
  </si>
  <si>
    <t>Enable Gender – Nonbinary in General setup and update for the above employees and inform Data Integrations Team.</t>
  </si>
  <si>
    <t>372310</t>
  </si>
  <si>
    <t xml:space="preserve">We need to change the VSTD set up to 60% of Gross monthly salary from 67% of gross monthly salary. 
The set up should be Increments of 100 with a minimum of $400 and a maximum of 2500 not to exceed 60% of monthly salary.</t>
  </si>
  <si>
    <t xml:space="preserve">We changed the VSTD set up to 60% of Gross monthly salary from 67% of gross monthly salary. 
The setup is Increments of 100 with a minimum of $400 and a maximum of 2500 not to exceed 60% of monthly salary.</t>
  </si>
  <si>
    <t>372382</t>
  </si>
  <si>
    <t>Should be 60% of Monthly Salary to a maximum of $ 10,000.  The Maximum benefit is $6000.00 per month.</t>
  </si>
  <si>
    <t>LTD must be 60% of Monthly Salary to a maximum of $ 10,000.</t>
  </si>
  <si>
    <t>372799</t>
  </si>
  <si>
    <t xml:space="preserve">What is the request and why? What problem is it trying to solve for?
•	Duplicate the 3 medical plans – with the same premium and deductions. The only different is the group number. And need to add another group – “NorCal” and “SoCal”
•	Getting the details of which employees are in which group, but it’s based on zip codes.
NorCal Plans 
•	604102-000 Gold
•	604102 -001 Silver
•	604102-002 Bronze
SoCal Plans
•	234569-000 Gold
•	234569-001Silver
•	234569-002 Bronze</t>
  </si>
  <si>
    <t xml:space="preserve">1)	Add locations named as below:
NorCal – Rename existing “All Employees” to NorCal
SoCal
2)	Update the existing plan names to below: All other employees are in the NorCal subgroup (Group #604102).
NorCal Plans
•	604102-000 Gold
•	604102 -001 Silver
•	604102-002 Bronze
3)	Duplicate new plan to below:
SoCal Plans
•	234569-000 Gold
•	234569-001Silver
•	234569-002 Bronze
Move the below employees to new location and new plans.
The following employees are in the SoCal Group (Group # 234569)
First Name	Middle Initial	Last Name	Account Role	Date of Birth	Gender	Kaiser Plan
Hector	 	Maldonado	Subscriber	6/26/1976	Male	Kaiser HMO Gold Plan
Miguel	A	Sebastian	Subscriber	7/9/2000	Male	Kaiser HMO Gold Plan
Kevin	 	Aguirre	Subscriber	12/11/2003	Female	Kaiser HMO Gold Plan
Joel	 	Leon	Subscriber	8/16/1986	Male	Kaiser HMO Gold Plan
Oliver	 	Vasquez	Subscriber	7/4/1996	Male	Kaiser HMO Gold Plan
Mario	J	Ortez	Subscriber	8/8/1985	Male	Kaiser HMO Gold Plan
Nicollette	 	Redfearn	Domestic Partner	3/4/1994	Female	Kaiser HMO Gold Plan
Addyson	M	Ortez	Family Member	10/15/2014	Female	Kaiser HMO Gold Plan
Fernando	 	Segura-donato	Subscriber	7/7/2003	Male	Kaiser HMO Bronze Plan
Alex	 	Saavedra	Subscriber	7/5/2003	Male	Kaiser HMO Bronze Plan
Gerado	 	Reyes Martinez Jr	Subscriber	3/20/2000	Male	Kaiser HMO Silver Plan</t>
  </si>
  <si>
    <t>372906</t>
  </si>
  <si>
    <t xml:space="preserve">HR was expecting ER rates to come through the payroll file for the ER-Paid Hospital Indemnity plan for two employees, but it wasn’t reported because these employees had declined the plan.  
Employees enrolled in the HDHP are offered the ER-Paid Hospital Indemnity plan, and they should not be allowed to decline it. Please remove the decline option from the ER-Paid Hospital Indemnity plan. Also, the coverage level of the HDHP enrollment should match the coverage level enrollment for the ER-Paid Hospital Indemnity plan.</t>
  </si>
  <si>
    <t xml:space="preserve">Added a new plan type “Hospital Indemnity ER Paid” and moved the Hospital Indemnity Employer Paid plan into the new plan type and removed the decline option from it. After that ended the existing Hospital Indemnity Employer Paid plan. 
Since, we do not have plan bundling functionality in system, we cannot match the coverage level of the HDHP enrollment to the ER-Paid Hospital Indemnity plan. Hence, added a task on Teamwork to handle process check on a weekly basis.</t>
  </si>
  <si>
    <t>374138</t>
  </si>
  <si>
    <t>Update rehire rule for Class Field to "Within 90 Days of termination date, First of the Month Following 0 Day(s) from Date of Rehire Others, First of the Month Following 60 Day(s) from Date of Rehire."</t>
  </si>
  <si>
    <t xml:space="preserve">Update rehire rule for Class Field to "Within 90 Days of termination date, First of the Month Following 0 Day(s) from Date of Rehire Others, First of the Month Following 60 Day(s) from Date of Rehire."
For management class rehire rules remains same as "Within 0 Days of termination date, First of the Month Following 0 Day(s) from Date of Rehire Others, First of the Month Following 0 Day(s) from Date of Rehire".</t>
  </si>
  <si>
    <t>May 2024</t>
  </si>
  <si>
    <t>375136</t>
  </si>
  <si>
    <t xml:space="preserve">A new location was reported in the demographic file feed. Please add the following location: 
NVLRC - Las Vegas Rancho Dr</t>
  </si>
  <si>
    <t xml:space="preserve">Please add the following location: Eligibility is same as all locations
NVLRC - Las Vegas Rancho Dr</t>
  </si>
  <si>
    <t>374761</t>
  </si>
  <si>
    <t xml:space="preserve">Proposed solution to be presented to Requestor with justification of associated costs.
During a meeting with Truenorth and ABCM, the client clarified that Voluntary Life premium age bands are updated on the birthday, not the month following the birthday.
Please update the plan rules for the voluntary life to have age bands updated on the birthday.
Jenn pulled a report of all enrolled employees to identify anyone who is not in the correct rate per unit - and upcoming changes based on the updated rule.
“It's sorted by the date the change should occur; there are a few April birthdays. If the rule change is effective 04/01/2024 those employees will be adjusted, correct?
Then we should be clean going forward.”</t>
  </si>
  <si>
    <t xml:space="preserve">1)Please update the plan rules for the Voluntary Life premium age bands to “Birthday”
2) The rule change is effective 04/01/2024, the below employees need to be updated with reason “Age Band Change” with below effective date.
Employee Id	Employee Name	Date to Change
2052479	Gbeynie, Richard	4/5/2024
102684	Spencer, Michelle	4/11/2024
120240	Khorll, Lou	4/12/2024
1061035	Brown, Nicholas	4/19/2024</t>
  </si>
  <si>
    <t>374759</t>
  </si>
  <si>
    <t>To Do List Setup</t>
  </si>
  <si>
    <t>Reminders emails should go out weekly</t>
  </si>
  <si>
    <t>Reminders emails should go out weekly.</t>
  </si>
  <si>
    <t>375949</t>
  </si>
  <si>
    <t>Need to set up a Limited FSA plan for this client.</t>
  </si>
  <si>
    <t>We have added setup of Limited FSA plan for this client.</t>
  </si>
  <si>
    <t>369325</t>
  </si>
  <si>
    <t>When an employees has a class change from  FT or PT w/Benefits and changes to PRN or Temp/PT they should be offered COBRA.</t>
  </si>
  <si>
    <t xml:space="preserve">Added 2 classes PRN COBRA and Temp/Part Time COBRA. First employee will be moved to either PRN or Temp/Part Time. After sending information to COBRA. Employee will be moved to new classes PRN COBRA or Temp/Part Time. 
Removed the Division Part Time COBRA and moved the respective employees accordingly.</t>
  </si>
  <si>
    <t>376482</t>
  </si>
  <si>
    <t xml:space="preserve">New Hire Waiting Period for Benefits to be Effective.
Anyone hired on or after 06/01/2024 their benefits should be effective their date of hire.
We are currently running the invoice reports for the client.  The broker is in the process of gathering the billing details.
•	So far – VSP has confirmed - Hire date on or before 15th of the month - billing starts the month of hire
Hire date after 15th of the month - billing starts the month following the month of hire.
•	Aetna – TBD
•	United Concordia - TBD
•	MOO - TBD</t>
  </si>
  <si>
    <t xml:space="preserve">We have updated 1)	Add a new period plan year effective 6/1/2024 for Waiting Period rule change for all plan types and plans.
2)	Anyone hired on or after 06/01/2024 their benefits should be effective their Date of Hire. The same applies to Rehire rule as well.
3)	For VSP carrier update billing rule for Additions to “Full month premium if hired before 16th of month”. Do not change for Terminations.</t>
  </si>
  <si>
    <t>Janice</t>
  </si>
  <si>
    <t>377620</t>
  </si>
  <si>
    <t xml:space="preserve">The call center helped enroll an employee using the Employee gained other Coverage and sent the benefits enrollment statement to HR as confirmation. HR let us know that this specific status change should not have allowed the employee to elect new coverage. Per HR:  
“This Qualifying Life event only allows them to drop any existing coverage they currently have. It should not allow them to elect coverages that were previously offered but declined.” 
Please update this status change to only allow employees to decline coverage.</t>
  </si>
  <si>
    <t xml:space="preserve">Employee gained other Coverage – Unchecked the below option in all the Status Changes setup. 
New Enrollment 
Change Plans 
Change Coverage</t>
  </si>
  <si>
    <t>374620</t>
  </si>
  <si>
    <t>Internal</t>
  </si>
  <si>
    <t xml:space="preserve">Need to correct the EE + Child(ren) rate on BenJ for "Wellmark 4000 HMO - WNH" Plan
It is currently, $1,104.04 and it should get updated to $1,104.07.</t>
  </si>
  <si>
    <t xml:space="preserve">Correct the EE + Spouse rate on BenJ for "Wellmark 4000 HMO - WNH" Plan
It is currently $1,104.04 and it should get updated to $1,104.07.</t>
  </si>
  <si>
    <t>Dilip Kumar M L</t>
  </si>
  <si>
    <t>378819</t>
  </si>
  <si>
    <t xml:space="preserve">Employees are electing that they want the FSA then entering 0.
Please enter a minimum of $1.00 for both FSA Health &amp; Dependent Care
Also we were just informed by WEX that the FSA Health Care Maximum is prorated for a short plan year.  Can you please enter a maximum contribution by the employee to 1866.67.
I have already updated the two employees in Benj to this maximum
Minxian Zhang and ChuHsiung Ho.</t>
  </si>
  <si>
    <t xml:space="preserve">1)	Please enter a minimum of $1.00 for both FSA Health &amp; Dependent Care
2)	FSA Health Care Maximum is prorated for a short plan year.  Can you please enter a maximum contribution by the employee to 1866.67. Update this to Same Period plan year.</t>
  </si>
  <si>
    <t>377429</t>
  </si>
  <si>
    <t>Create Touchpoint class codes for R360 and POR employees. We’ll also need to update communication. Please make sure the documents and benefits are specific to the classes</t>
  </si>
  <si>
    <t>June 2024</t>
  </si>
  <si>
    <t>381035</t>
  </si>
  <si>
    <t>HR noticed the wrong employee deduction for the Grant Part-time class. I checked the rates provided for OE, and rates were not provided. Please update the medical plan rates for the Grant Part-Time class to the Grant .5 rate</t>
  </si>
  <si>
    <t>HR noticed the wrong employee deduction for the Grant Part-time class. I checked the rates provided for OE, and rates were not provided. Please update the medical plan rates for the Grant Part-Time class to the Grant .5 rate effetive 07/01/2024</t>
  </si>
  <si>
    <t>381022</t>
  </si>
  <si>
    <t xml:space="preserve">Through file testing we’ve discovered the Employer Paid STD and LTD should not have the “coinciding” rule. The new hire waiting period should match the basic life: 
First of the Month Following 60 Day(s) from Date of Hire
Please correct the Employer Paid STD and LTD. I’m confirming if the executive LTD should match this as well.
Please correct ID 1668 Employer Paid STD and LTD to be effective from 3/1/2024 instead of 2/1/2024</t>
  </si>
  <si>
    <t xml:space="preserve">Update the new hire waiting period rule for the below plans to First of the Month Following 60 Day(s) from Date of Hire. Remove coinciding.
LTD Employer Paid
STD Employer Paid
Executive LTD Employer Paid
Please correct ID 1668 Employer Paid STD and LTD to be effective from 3/1/2024 instead of 2/1/2024</t>
  </si>
  <si>
    <t>381309</t>
  </si>
  <si>
    <t xml:space="preserve">HR wants the following wording added to the current Acknowledgement. Can we require employees to go through this acknowledgment again on their next login? 
By confirming my benefits and by providing my electronic signature below, I authorize the Company to deduct the employee portion of the cost of my medical, dental, and/or vision insurance premiums from any wages or other monies owed to me (including salary, bonuses, commissions, sick time, vacation time, personal time, etc.).</t>
  </si>
  <si>
    <t xml:space="preserve">HR wants the following wording added to the current Acknowledgement. Require employees to go through this acknowledgment again on their next login. So, we need to end the existing one and create new one so that they all get new.
By confirming my benefits and by providing my electronic signature below, I authorize the Company to deduct the employee portion of the cost of my medical, dental, and/or vision insurance premiums from any wages or other monies owed to me (including salary, bonuses, commissions, sick time, vacation time, personal time, etc.).</t>
  </si>
  <si>
    <t>381426</t>
  </si>
  <si>
    <t xml:space="preserve">Company is acquiring 60 new employees on or around 06/24.
Benefits are effective FOM following Hire Date – 07/01/2024 is their goal to have effective
Benefits and contributions are the same as the other locations.  
We just need to add a new location for client internal tracking
Please add Location – 147283 Acquired IL
EDI Team has been notified on the ticket that they need to map this new location to the current 147283 IL location.</t>
  </si>
  <si>
    <t xml:space="preserve">Please add Location – 147283 - Acquired IL and the eligibility is same as current “147283 - IL”.
Refer to Grid: https://appriver3651007094.sharepoint.com/:x:/g/EZeR9B50DkJFtEbQ2Pxr1RkBK9dq8DEq_VzYIni6U43JOw?e=OFdAx8</t>
  </si>
  <si>
    <t>381358</t>
  </si>
  <si>
    <t xml:space="preserve">New Department - 64 add to the client
eligibility same as other departments</t>
  </si>
  <si>
    <t>New department 64 added to the client</t>
  </si>
  <si>
    <t>381467</t>
  </si>
  <si>
    <t xml:space="preserve">A new department has been received in the demographic file. Please add the new department. 
New Department - CAJP6 - Jurupa Valley: Pyrite St/CA-60</t>
  </si>
  <si>
    <t>Added the new department as per above and make the eligibility same as per all departments.</t>
  </si>
  <si>
    <t>363653</t>
  </si>
  <si>
    <t xml:space="preserve">Currently, the plan is set up so that employees do not have edit access in any of the workflows or the summary screen. However, the plan does appear in the summary screen without edit access.
When admin users click on the edit link in the admin screen, the plan appears for enrollment.
Currently, there are 7 employees enrolled in it. In order for us to show this plan to only these employees, we should:
- Create a new class "Bethany Lutheran LTD" and update the class for these 7 employees to that.
- The rest of the Bethany employees will remain in the Fulltime class.
- Update the eligibility for the LTD plan to be eligible for only the "Bethany Lutheran LTD" class.</t>
  </si>
  <si>
    <t xml:space="preserve">Create a new class "Bethany Lutheran LTD" and update the class for these 7 employees to that. 
The rest of the Bethany employees will remain in the Fulltime class. 
Update the eligibility for the LTD plan to be eligible for only the "Bethany Lutheran LTD" class</t>
  </si>
  <si>
    <t>381622</t>
  </si>
  <si>
    <t>Medical Silver Plan premium for EE + SP should be $1,487.62</t>
  </si>
  <si>
    <t>Medical Silver Plan premium for EE + SP should be $1,487.62. This is for invoice setup.</t>
  </si>
  <si>
    <t>382536</t>
  </si>
  <si>
    <t>Vol life and AD&amp;D child rate - update to $0.16 per $1,000</t>
  </si>
  <si>
    <t>Update Vol Life child rates for Location Bethany Luthern plan only. After rate update audit after scheduler runs.</t>
  </si>
  <si>
    <t>July 2024</t>
  </si>
  <si>
    <t>383359</t>
  </si>
  <si>
    <t>Updated medical status change waiting period rule to 31 days like the other plans</t>
  </si>
  <si>
    <t>Updated medical status change waiting period rule to 31 days like the other plans.</t>
  </si>
  <si>
    <t>384238</t>
  </si>
  <si>
    <t>Remove the twice per month option from drop down and update all employees to weekly. Effective 4/1/2024.</t>
  </si>
  <si>
    <t>383548</t>
  </si>
  <si>
    <t xml:space="preserve">1. EE VTL/VAD&amp;D minimum benefit amount changed from $20k to $10k 
2. DP (child) VTL/VAD&amp;D minimum benefit amount changed from $10k to $5k 
3. DP (child) VTL/VAD&amp;D increments changed from $10k to $5k 
4. Change class with Effective 6/1/2024 and move all enrollments. Before that change the class change rule to Date of change and then move enrollments. Put back class rule after uploads of enrollments. 
5. Robert Jacobs - EE VTL/VAD&amp;D changed from $93,800 to $94,000 (rounding up to the nearest $1k) - Update original volume as per BenJ.  
6. Chester Randall - EE VTL/VAD&amp;D enrolled from $26,800 to $27,000 (rounding up to the nearest $1k) - Update original volume as per BenJ. 
7. Update rounding rule for age reduction for EE to Nearest $1000</t>
  </si>
  <si>
    <t>384416</t>
  </si>
  <si>
    <t xml:space="preserve">GI rules for EE
65 years or under are $200,000  
65-69 years to $50,000 and  
70+ years to $10,000 
Any new hires with age 70, we need to monitor manually and update them to 10k.</t>
  </si>
  <si>
    <t>383619</t>
  </si>
  <si>
    <t>Update Status Termination and Work Country termination rule to “Last day of month following date of termination” for all the Medical plans with UHC.</t>
  </si>
  <si>
    <t>385105</t>
  </si>
  <si>
    <t xml:space="preserve">Long-Term Disability - 
The setup should be $0.231 per $100 of 100% of Monthly Salary.</t>
  </si>
  <si>
    <t xml:space="preserve">Long-Term Disability - 
The setup is changed to $0.231 per $100 of 100% of Monthly Salary.</t>
  </si>
  <si>
    <t>383034</t>
  </si>
  <si>
    <t>Please create this new location, and move Christina (10258) to this new location eff 7/1/2024, and enroll her in the medical plan with ee-only coverage and remove her from John’s (10334) medical plan with 7/1/2024.</t>
  </si>
  <si>
    <t>Added new location - Retiree OE Dist-Pay Couple, and moved Christina (10258) to this new location eff 7/1/2024, and enrolled her in the medical plan with ee-only coverage and removed her from John’s (10334) medical plan with 7/1/2024.</t>
  </si>
  <si>
    <t>383719</t>
  </si>
  <si>
    <t>Update Status Termination and Work Country termination rule to “date of termination ” for all the Medical plans with UHC.</t>
  </si>
  <si>
    <t>Updated Status Termination and Work Country termination rule to “date of termination ” for all the Medical plans with UHC.</t>
  </si>
  <si>
    <t>376600</t>
  </si>
  <si>
    <t>Update admin fees:</t>
  </si>
  <si>
    <t>Updated the rates for UMR medical plan with effective 7/1/2024. See how we updated last year and update the same this year.</t>
  </si>
  <si>
    <t>385371</t>
  </si>
  <si>
    <t xml:space="preserve">If we have the medical FSA removed, what happens to those funds?
The funds are only pulled from Ahern when there is a claim processed.
We are able to delete/remove the MFSA due to the error.
My understanding is that the $10/week that was originally set-up for the LFSA was instead “moved” to the FSA when the April enrollment error occurred.
Nothing was moved from the LFSA to MFSA they were completely separate elections in the system. Nothing has changed for the LFSA and no adjustments are needed in our system.</t>
  </si>
  <si>
    <t xml:space="preserve">We have enabled the "Employer Contribution" setup for the HSA plan and made the enrollment corrections for the EE# Hanson, Allen (EE# 32980). Employee is in Limited FSA with $10 Per Paycheck.
https://secure.helpscout.net/conversation/2655928345/385371#thread-7999771946</t>
  </si>
  <si>
    <t>385254</t>
  </si>
  <si>
    <t xml:space="preserve">Create a custom field in work info named “Vol Life EE Original Volume” and Vol Life SP Original Volume, it should be captured in reports. (see the setup in staging) 
Also, we need to audit for age reduced employees and then flag their original volume in this custom field.  
Create a process and add a task to do an audit on a yearly basis to identify newly age reduced employees and then update the original volume in the custom field. This can be done during OE.</t>
  </si>
  <si>
    <t xml:space="preserve">Created 2 custom field in work info named “Vol Life EE Original Volume” and Vol Life SP Original Volume, it should be captured in reports.
Also, we audited for age reduced employees and then updated their original volume in this custom field.</t>
  </si>
  <si>
    <t>381517</t>
  </si>
  <si>
    <t>JREI wants to start using the "Leave of Absence without Benefits" class to track employees on leave without terminating them. Please update the class eligibility, remove FSA eligibility, and configure the system to trigger COBRA for benefits termination when this class is applied.</t>
  </si>
  <si>
    <t xml:space="preserve">JREI wants to start using the "Leave of Absence without Benefits" class to track employees on leave without terminating them. 
Please remove FSA eligibility for this class. This Class should not be eligible for any benefits.</t>
  </si>
  <si>
    <t>August 2024</t>
  </si>
  <si>
    <t>385767</t>
  </si>
  <si>
    <t xml:space="preserve">WCI's employee Lydia Dudley (Employee ID: 2431) encountered an error indicating that her spouse's Voluntary Term Life/Voluntary AD&amp;D coverage could not be enrolled due to the spouse being 77 years old. 
The broker confirmed with Mutual of Omaha (MOO) that per policy, Spouse Voluntary Life/AD&amp;D coverage terminates when the employee reaches the age of 70, with termination effective 01/01/2025. 
Please update the Spouse Voluntary Life/AD&amp;D coverage to terminate at the end of the year when the employee turns 70 (1/1/2025),</t>
  </si>
  <si>
    <t>Updated the Spouse Voluntary Life/AD&amp;D rules for both the Vol Life plans coverage to terminate at the end of the year when the employee turns 70 (1/1/2025)</t>
  </si>
  <si>
    <t>386992</t>
  </si>
  <si>
    <t>Update rates for HMSA plan, this plan has a different renewal date than the others.</t>
  </si>
  <si>
    <t>Updated rates for HMSA plan, these new rates are starting from 7/1/2024</t>
  </si>
  <si>
    <t>386985</t>
  </si>
  <si>
    <t>We need to change the Division change rule to "Date of Division" for additions.</t>
  </si>
  <si>
    <t>We changed the Division change rule to "Date of Division" for additions for all plans</t>
  </si>
  <si>
    <t>386964</t>
  </si>
  <si>
    <t>We need to create a Part-Time class. There is an employee that is part-time and not yet eligible for benefits.</t>
  </si>
  <si>
    <t xml:space="preserve">1) Create a Part-Time class and it should not be eligible for any benefits
2) Class change eligibility remains “First of the Month Following 0 Day(s) from Date of Class”
3) Class change termination rule remains “Last day of month following date of termination”.</t>
  </si>
  <si>
    <t>Hammer Williams Company</t>
  </si>
  <si>
    <t>387374</t>
  </si>
  <si>
    <t>Transaction Approval Setup</t>
  </si>
  <si>
    <t>Please disable transaction approval for demographic changes. Delays in approvals during open enrollment led to delays: one employee was not reported to carriers due to missing address and gender, and another was reported with an outdated address. Disabling approval will prevent such issues in the future.</t>
  </si>
  <si>
    <t>We have disabled the Transaction Approval setup of Demographic changes for existing employees.</t>
  </si>
  <si>
    <t>386144</t>
  </si>
  <si>
    <t xml:space="preserve">HR is proposing a new process for employees who change positions or increase their Full-Time Equivalent (FTE) status, enabling them to submit a status change. Currently, there isn't an effective option for allowing employees in these situations to enroll or make changes to their benefits.
They have several employees transitioning from positions such as paraeducator to teacher or building substitute to teacher or grant-funded roles. These employees will experience a significant increase in pay and a change from hourly to salaried positions, but since the eligibility remains the same, they are not allowed to enroll through an enrollment workflow. 
To address this limitation, we need to enable the "Special Event" status for medical and dental. Transaction approval is required, and new enrollment, change plans, change coverage, and waiving should be allowed. The effective date would be the date of QE. 
When an employee’s class changes and are allowed to enroll in the plans, HR will send them an email to use the special event status which they will review and approve in the system.</t>
  </si>
  <si>
    <t>Enabled the "Special Event" status for medical and dental. Transaction approval is required, and new enrollment, change plans, change coverage, and waiving should be allowed. The effective date would be the date of QE.</t>
  </si>
  <si>
    <t>City of Clive</t>
  </si>
  <si>
    <t>387504</t>
  </si>
  <si>
    <t>During the implementation of the client, the "Dependent Loses Coverage for Initial Enrollment" checkbox was not checked in the implementation document. As a result, it was not added for the status change. Please update the Dependent Loses Coverage status</t>
  </si>
  <si>
    <t>Enable “Initial Enrollment” check box for FSA Health Care and Dependent Care.</t>
  </si>
  <si>
    <t>387825</t>
  </si>
  <si>
    <t>Sunlife states they have the age reduction set up in their system for Critical Illness. Please remove the age reduction setup for the Critical Illness plan from BenJ. We can report the original volumes.</t>
  </si>
  <si>
    <t xml:space="preserve">Removed Employee and Spouse age reduction setup for CI plan as carrier is taking care of it at their end. We need to send original volumes. 
Update the original volumes for impacted employees.</t>
  </si>
  <si>
    <t>387005</t>
  </si>
  <si>
    <t xml:space="preserve">Through file testing, we've found an error in the age reduction schedule. Please correct the Voluntary Life age reduction schedule to reflect a 50% reduction at age 70 for both the employee and spouse. 
8/14/2024 Edit – Per broker, the spouse’s age reduction is based on the spouse’s age.</t>
  </si>
  <si>
    <t xml:space="preserve">Voluntary Life age reduction schedule to reflect a 50% reduction at age 70 for both the Employee and Spouse. 
Spouse’s age reduction is based on the Spouse’s age.    
Updated Age Reduction Effective: Month following Birthday for both Employee and Spouse 
Corrected the existing employee/spouse above age 70 to 50% of original volume.</t>
  </si>
  <si>
    <t>387995</t>
  </si>
  <si>
    <t xml:space="preserve">Please create a new Division, "Comp Leave" and make it eligible for only Medical, Dental, and Vision plans.  
Please move the employee, EE# Collins, Lavell  to the new division effective 7/1/2024.</t>
  </si>
  <si>
    <t xml:space="preserve">Created a new Division, "Comp Leave" and made it eligible for only Medical, Dental, and Vision plans.  
Moved the employee, EE# Collins, Lavell  to the new division effective 7/1/2024.</t>
  </si>
  <si>
    <t>353809</t>
  </si>
  <si>
    <t xml:space="preserve">Need to update rounding rules:  
Company Paid Life and AD&amp;D - Update the Rounding Rule to "Next Highest $1,000" 
Short Term Disability - Update the Rounding rule to "No Rounding" 
Long Term Disability - Update the Rounding rule to "No Rounding"</t>
  </si>
  <si>
    <t xml:space="preserve">Updated rounding rules:  
Company Paid Life and AD&amp;D - Update the Rounding Rule to "Next Highest $1,000" 
Short Term Disability - Update the Rounding rule to "No Rounding" 
Long Term Disability - Update the Rounding rule to "No Rounding"</t>
  </si>
  <si>
    <t>Rate Corrections</t>
  </si>
  <si>
    <t>Please update the stop loss admin rate to $55.83</t>
  </si>
  <si>
    <t>Please update the stop loss admin rate to $55.83 for UMR Medical plan effective 9/1/2024.</t>
  </si>
  <si>
    <t>September 2024</t>
  </si>
  <si>
    <t>390246</t>
  </si>
  <si>
    <t>Requested from EDI Team to add New department "76".</t>
  </si>
  <si>
    <t>Updated New department "76" as per the request.</t>
  </si>
  <si>
    <t>389214</t>
  </si>
  <si>
    <t>Update Dental premiums – all tiers are $7.56</t>
  </si>
  <si>
    <t xml:space="preserve">Update Dental premiums – all tiers are $7.56 effective 4/1/2024.
Change the setup from Fully Insured to Self-Funded.
Update the above amount under Admin Fee and Update the Total cost in FIE.</t>
  </si>
  <si>
    <t>389347</t>
  </si>
  <si>
    <t>Change duration of status changes to 30 days.</t>
  </si>
  <si>
    <t>Change Status Change Duration from 180 Days to 30 days for Medical, Dental, Vision, FSA HealthCare and FSA Dependent Care plans</t>
  </si>
  <si>
    <t>391578</t>
  </si>
  <si>
    <t>Requested from EDI Team to add New department "81".</t>
  </si>
  <si>
    <t>Updated New department "81" as per the request.</t>
  </si>
  <si>
    <t>384448</t>
  </si>
  <si>
    <t xml:space="preserve">HR has informed us that employees are not correctly assigned to the appropriate billing units with the medical carrier. Currently, the custom field “Cost Center” is used to identify billing units. However, the data team has confirmed that we lack the functionality to update the “Cost Center” in our 834 EDI files. Instead, we were supposed to use the “Location” field, and the custom field was supposed to be removed. 
TrueNorth has now provided a revised account structure, and we need to add the new locations into our system. The data team has verified the account structure and highlighted the locations that need to be added. I will attach the list of new locations in the ticket for reference.
Once the new locations are added, we need to ensure that all employees’ “Location” fields match the values currently stored in the “Cost Center” custom field. After this is completed, please proceed with removing the custom field.</t>
  </si>
  <si>
    <t xml:space="preserve">Add new locations as per the attached provided by Muniraju. And the eligibility is same as all others plans.
After this is completed, please proceed with removing the custom field.</t>
  </si>
  <si>
    <t>392052</t>
  </si>
  <si>
    <t>Update the invoice rates for Base and Buy Up HDHP plan that is Total of EE and ER.</t>
  </si>
  <si>
    <t>Updated the invoice rates for Base and Buy Up HDHP plan that is Total of EE and ER.</t>
  </si>
  <si>
    <t>391180</t>
  </si>
  <si>
    <t>Change waiting period rules to 1st of the month following date of hire with DOH coinciding if the person is hired on at the 1st of the month and the same rule applies for new hires. Termination rules stay the same. This rule applies to all plans. This rule needs to be updated for the file feeds to go over correctly.</t>
  </si>
  <si>
    <t xml:space="preserve">Setup update:
1)	First of the Month Following or Coinciding with 0 Day(s) from Date of Hire. This is for all plan types. This is for New Hire and Rehire only.
2)	This rule change go into effect as of 10.1. So, no need to change past enrollments.
3)	Termination rules stay the same, no changes.</t>
  </si>
  <si>
    <t>388689</t>
  </si>
  <si>
    <t>Through file testing, a discrepancy came up for the STD. The STD Termination Rules should match the Basic Life and LTD. Please update the Class, Location, Division, and Department waiting period to date of termination.</t>
  </si>
  <si>
    <t>STD plan update CLDD termination rule from Last day of month following date of termination to Date of Termination.</t>
  </si>
  <si>
    <t>392587</t>
  </si>
  <si>
    <t xml:space="preserve">Removed the following departments  from FSA Healthcare and Dependnet access-
Part-Time Medical GF 
Part-Time 
Part-Time GF</t>
  </si>
  <si>
    <t>392603</t>
  </si>
  <si>
    <t xml:space="preserve">Please update the Welcome Email subject line to the following: 
Johnson Real Estate Investors - Important Benefit Information!</t>
  </si>
  <si>
    <t>Changed the subject line to read Johnson Real Estate Investors - Important Benefit Information!</t>
  </si>
  <si>
    <t>October 2024</t>
  </si>
  <si>
    <t>392441</t>
  </si>
  <si>
    <t xml:space="preserve">Update the HSA Midyear change rule to “First of the Month Following 0 Day(s) from Date of Election”. 
Also correct the employee “Brandon Wesolowski " HSA plan effective date to 10/1/2024 from 09/23/2024.</t>
  </si>
  <si>
    <t>Updated the HSA Midyear change rule to “First of the Month Following 0 Day(s) from Date of Election”.</t>
  </si>
  <si>
    <t>392543</t>
  </si>
  <si>
    <t xml:space="preserve">The current Division rule in ABCM is causing issues in the EDI files, leading to coverage gaps. For example, when an employee terminates on 8/31/2024 and transitions to COBRA effective 9/1/2024, the system is incorrectly setting the enrollment effective date to 10/1/2024, creating a gap from 9/1/2024 to 9/30/2024. 
To resolve this, please update the Division rule to the first of the month following or coinciding with 0 days from the date of Division for medical, dental, and vision.</t>
  </si>
  <si>
    <t>Please read the comments above mentioned by Juan and update the Division rule to the first of the month following or coinciding with 0 days from the date of Division for medical, dental, and vision</t>
  </si>
  <si>
    <t>393468</t>
  </si>
  <si>
    <t xml:space="preserve">Make the enrollment duration the same as the waiting period. 
So change eligibility enrollment duration to FOMF DOH for management class.
I don’t think we need to change for Field class.</t>
  </si>
  <si>
    <t xml:space="preserve">Refer to the notes above and make the enrollment duration the same as the waiting period. 
So change eligibility enrollment duration to FOMF DOH for management class.
No changes for the Field class.</t>
  </si>
  <si>
    <t>390941</t>
  </si>
  <si>
    <t>Rate corrections</t>
  </si>
  <si>
    <t>Update Allied Invoice rates to rates on sep/oct 2024 in table below effective 9/1/24:</t>
  </si>
  <si>
    <t>Update the rates as per above for the Medical MEC Green and MEC Blue plans.</t>
  </si>
  <si>
    <t>Change Voluntary Life &amp; AD&amp;D new hire age calculation to plan year/renewal date - "Age as on 01/01/2024"</t>
  </si>
  <si>
    <t xml:space="preserve">he Age calculation for the New Hire is not by Plan Effective date, it should be age as on the Plan year which is 01/01/2024 for 2024. 
Change the Voluntary Life &amp; AD&amp;D new hire age calculation to plan year/renewal date - "Age as on 01/01/2024</t>
  </si>
  <si>
    <t>394054</t>
  </si>
  <si>
    <t xml:space="preserve">The monthly premium rates for the Medical Buy- Up  plan are incorrect and need to be updated.
Employee only rate is $715.00
Emp + Spouse rate is $1490.00
Emp + Children rate is $1375.00
Family rate is $2165.00</t>
  </si>
  <si>
    <t xml:space="preserve">Updated the monthly premium rates for the Medical Buy- Up  plan..
Employee only rate is $715.00
Emp + Spouse rate is $1490.00
Emp + Children rate is $1375.00
Family rate is $2165.00</t>
  </si>
  <si>
    <t>No</t>
  </si>
  <si>
    <t>393907</t>
  </si>
  <si>
    <t>Add a “Union” division, they should be eligible for all benefits except Medical</t>
  </si>
  <si>
    <t xml:space="preserve">Add a “Union” division, and make it eligible for all benefits except for Medical
Rikki will move people into the appropriate division.</t>
  </si>
  <si>
    <t>Yes</t>
  </si>
  <si>
    <t>393909</t>
  </si>
  <si>
    <t xml:space="preserve">Change waiting period for all plans to 31 days following DOH 
So benefits should be effective on the 31st day</t>
  </si>
  <si>
    <t xml:space="preserve">Change the waiting period and the new Hire for all plans to 31 days following DOH. 
So benefits should be effective on the 31st day.</t>
  </si>
  <si>
    <t>393749</t>
  </si>
  <si>
    <t xml:space="preserve">Please update the division waiting period to "Date of Division" for ALL Plan Type to ensure COBRA enrollments align with eligibility requirements. 
Also, LaMunyon Drilling and Venture Enid 2013, Rename and add a prefix DO NOT USE.</t>
  </si>
  <si>
    <t xml:space="preserve">Updated the division waiting period to "Date of Division" for ALL Plan Type to ensure COBRA enrollments align with eligibility requirements. 
Also, LaMunyon Drilling and Venture Enid 2013, Rename and add a prefix DO NOT USE.</t>
  </si>
  <si>
    <t>394406</t>
  </si>
  <si>
    <t xml:space="preserve">Create a Class called “Owner” which is 100% EE paid for Medical. 
This Owners class is mapped for HCI Location Medical plans. Also, this class is eligible for all other plans same as full time. (it should match full-time except for the medical deductions)  
For HCI Location Medical plans update class based rates and update 100% EE paid for Medical, 
Owners: 100% EE paid 
All Other Classes: Same as current rates. 
UnitedHealthcare 2000 Choice Plus – HCI 
UnitedHealthcare 4000 Heritage Select Plus - HCI</t>
  </si>
  <si>
    <t xml:space="preserve">Created a Class called “Owner” which is 100% EE paid for Medical. 
This Owners class is mapped for HCI Location Medical plans. Also, this class is eligible for all other plans same as full time. (it matchs full-time except for the medical deductions)  
For HCI Location Medical plans update class based rates and update 100% EE paid for Medical, 
Owners: 100% EE paid 
All Other Classes: Same as current rates. 
UnitedHealthcare 2000 Choice Plus – HCI 
UnitedHealthcare 4000 Heritage Select Plus - HCI</t>
  </si>
  <si>
    <t xml:space="preserve">JREI wants to update the new hire duration period. Currently, it is sent to 90 days following the date of hire, and they want to change it to 30 days following the date of hire.  
They have already communicated the change to new hires currently in their new hire period of this change. 
Please update the new hire period.</t>
  </si>
  <si>
    <t>New Hire duration change it to 30 days following the date of hire for all plans.</t>
  </si>
  <si>
    <t>395295</t>
  </si>
  <si>
    <t>We have received a new Department "4-7599 BLOWN FILM" (4-7599) for 8 employees. Please 4-7599 as a department. Eligibility should match the other departments.</t>
  </si>
  <si>
    <t>Please 4-7599 as a department. Eligibility should match the other departments.</t>
  </si>
  <si>
    <t>November 2024</t>
  </si>
  <si>
    <t>396291</t>
  </si>
  <si>
    <t>TrueNorth confirmed domestic partnership is not allowed for the medical plans. Please update the plans to not domestic partnerships.</t>
  </si>
  <si>
    <t xml:space="preserve">Remove domestic partnerships for Medical UMR carrier. Setup from the below order:
1)	Rates, 
2)	Plan setup</t>
  </si>
  <si>
    <t>394937</t>
  </si>
  <si>
    <t xml:space="preserve">The client confirms they will start reporting a new division, Hugoton. Please add the division; we’ll need to create two:  
Hugoton 
Direct Bill – Hugoton 
The eligibility should match the other divisions.</t>
  </si>
  <si>
    <t xml:space="preserve">Added the division; 
Hugoton 
Direct Bill – Hugoton 
Renamed the Direct Bill (Do Not Use) to Direct Bill – Hugoton
The eligibility should match the other divisions.</t>
  </si>
  <si>
    <t>389759</t>
  </si>
  <si>
    <t xml:space="preserve">Allstate has informed us there is a regulatory requirements regarding Medicare Duplication Notices. This affects several of their product lines, including Accident, Cancer, Critical Illness, and Hospital Indemnity products. Since WCI is offering at least one of these products on its platform, we must display the Medicare Duplication Notice. 
Can we add the links under plan page resources section, and can we display it the per the employee state? If not, please post both links. 
o	Accident Form (Most States)
o	Accident Form (Louisiana)</t>
  </si>
  <si>
    <t>Add the above links on plan page and resources section of Allstate carrier.</t>
  </si>
  <si>
    <t>396772</t>
  </si>
  <si>
    <t>Term locations and employees in Aspen, Bavarian, Country Lane effective 11/30/2024</t>
  </si>
  <si>
    <t xml:space="preserve">1)	Terminate employees in Aspen, Bavarian, Country Lane effective 11/30/2024
2)	After terminating the employees, add suffix as "Termed 12012024" for the locations that is getting terminated.</t>
  </si>
  <si>
    <t>398171</t>
  </si>
  <si>
    <t xml:space="preserve">we need to change the eligibility rules for all of the plans. If an employees is rehired within 6 months of leaving, there is no waiting period and the plans pick up where they ended. If they are gone for over 6 months, there is a 90 day waiting period.
There is an employee Joseph Satterfield he was hired on 3/22/24 then termed on 9/11/24 and he was rehired on 10/22/24</t>
  </si>
  <si>
    <t>Update the Rehire rule as shown below for all the plan.</t>
  </si>
  <si>
    <t>398020</t>
  </si>
  <si>
    <t xml:space="preserve">The correct rate for the Plan 3 Non Wellness and Wellness - HSA MTBCP008H' Medical plan is $1550.48 not $1550.40. This is for Employee + Spouse and DP coverage.
Please update.</t>
  </si>
  <si>
    <t xml:space="preserve">Update rate for the Plan 3 Non Wellness and Wellness - HSA MTBCP008H' Medical plan is $1550.48 not $1550.40.
This is for Employee + Spouse and DP coverage.</t>
  </si>
  <si>
    <t>398627</t>
  </si>
  <si>
    <t>Disable employee edits for Personal Information for HCAM</t>
  </si>
  <si>
    <t xml:space="preserve">Disable employee EDIT Access for Personal Information for the below fields. 
First Name 
Middle Name 
Last Name 
SSN 
DOB 
Gender 
Address 1 
Address 2 
City 
State 
Zip 
Home Phone</t>
  </si>
  <si>
    <t>400299</t>
  </si>
  <si>
    <t>For eligibility – can we change the system from date of eligibility to 90 days following the eligibility change.</t>
  </si>
  <si>
    <t>Update class eligibility effective date to “90 Day(s) Following Date of Hire” for all the plans.</t>
  </si>
  <si>
    <t>December 2024</t>
  </si>
  <si>
    <t>398176</t>
  </si>
  <si>
    <t>Effective 12/1/2024 we need to terminate all the employees in the Palos Heights location as that location has been sold off. You will then be able to inactivate that location.</t>
  </si>
  <si>
    <t>Effective 12/1/2024 we terminated all the employees in the Palos Heights location as that location has been sold off. And renamed location to Palos Heights Rehabilitation LLC - Do Not Use</t>
  </si>
  <si>
    <t>398363</t>
  </si>
  <si>
    <t xml:space="preserve">We need to change the Location waiting period rule to be same as New hire rule - "First of the Month Following 1 Month(s) from Date of Hire".  Correct 
This needs to be updated for all Medical plans of all locations including Bethany Lutheran except for Meadowview &amp; Ridgeview and STL West and TCC which will stay as "First of the Month Following 0 Day(s) from Date of Location" Correct 
No location waiting period changes for Dental, Vision, Basic Life etc. because change in location will not have any effect on these plans. or maybe as a standard we can keep "First of the Month Following 1 Month(s) from Date of Hire".  For this, the waiting period should be the same as bullet 1 with the exception of bullet 2. Essentially, if an employee moves from Anamosa to Elkader, they are considered a New Hire and have to meet the New Hire Waiting Period. But if an employee moves from Meadowview to Ridgeview or from STL West to TCC they do not have to re-meet a waiting period for any of the benefits.</t>
  </si>
  <si>
    <t xml:space="preserve">We changed the Location waiting period rule to be same as New hire rule - "First of the Month Following 1 Month(s) from Date of Hire". 
This is updated for all Medical plans of all locations including Bethany Lutheran except for Meadowview &amp; Ridgeview and STL West and TCC which will stay as "First of the Month Following 0 Day(s) from Date of Location". 
All the remaining plans (Dental, Vision, Basic Life, etc) rule is "First of the Month Following 1 Month(s) from Date of Hire".</t>
  </si>
  <si>
    <t>401666</t>
  </si>
  <si>
    <t>Rates Corrections</t>
  </si>
  <si>
    <t>Current rates are incorrect, Terri has provided us with corrected rates. Can we please update.</t>
  </si>
  <si>
    <t>Correct the Sievert Medical Rates.  Use the sheet called "Medical correct (2)"</t>
  </si>
  <si>
    <t>394682</t>
  </si>
  <si>
    <t>“Reinstate” employees are allowed to enroll without a waiting period. Please create the new class with suffix "No Waiting Period." The existing classes will be considered for the "With Waiting Period" scenario.</t>
  </si>
  <si>
    <t xml:space="preserve">We have added new classes mentioned below - 
1. Hire date on or after 1/1/12 (Under 2 years) - NWP
2. Hired 3/1/03-12/31/11 - NWP
3. Hired 3/1/99 -2/28/03 - NWP
4. Hired before 3/1/99 - NWP
5. Hire date on or after 1/1/12 (2+ years) - NWP
And added Rehire waiting period rules based on Classes.
Reason - “Reinstate” employees are allowed to enroll without a waiting period.</t>
  </si>
  <si>
    <t>402722</t>
  </si>
  <si>
    <t xml:space="preserve">Term locations and employees in Aspen, Bavarian, Country Lane effective 12/31/2024 for all plans except Medical.
Term Medical plan effective 12/1/2024 and benefits should end 11/30/2024..</t>
  </si>
  <si>
    <t xml:space="preserve">Term Medical plan (Enhanced Blue 3000 PPO - CBA) effective 12/1/2024 and benefits will automatically end effective 11/30/2024.
We need to take action on 12/31/2024. Please keep a task to do this.
1)	Terminate employees in Aspen, Bavarian, Country Lane effective 12/31/2024 which should be not eligible from 1/1/2025.
2)	After terminating the employees, add suffix as "Termed 01012025" for the locations that is getting terminated.</t>
  </si>
  <si>
    <t>401524</t>
  </si>
  <si>
    <t xml:space="preserve">ICCSD has a retiree who has come back to work in a new capacity, and they would like to allow the employee to enroll in the medical and dental retiree plan, but also in FSA and basic life and AD&amp;D.  
Please create a new location "Retiree Rehired" and make it eligible for Retiree Medical, Retiree Dental, Vision, Voluntary Life, FSA HC, FSA DC and basic life. Please move the employee in this new location with the 8/16/2024  rehire date.</t>
  </si>
  <si>
    <t>Added a new location "Retiree Rehired" and make it eligible for Retiree Medical, Retiree Dental, Vision, Voluntary Life, FSA HC, FSA DC, Long-Term Disability and basic life. Moved the employee (Dominic Audia) in this new location with the 8/16/2024 date.</t>
  </si>
  <si>
    <t>OneSource Restoration LLC</t>
  </si>
  <si>
    <t>403145</t>
  </si>
  <si>
    <t xml:space="preserve">Allow Domestic Partner Coverage for Medical plan and accordingly update the rates in Invoice and deductions. 
This applies to all 3 plans.</t>
  </si>
  <si>
    <t xml:space="preserve">Domestic Partner Coverage is added for Medical plan and accordingly updated the rates in Invoice and deductions. 
This applies to all 3 Medical plans.</t>
  </si>
  <si>
    <t>403055</t>
  </si>
  <si>
    <t xml:space="preserve">Please add an informational page in Benj and create a section in Flimp, with the details in this link; https://www.aflacenrollment.com/VICTORYPOWERLINESERVICE/P2L685933906 
This is for All employees. OSR/ATK/Victory.</t>
  </si>
  <si>
    <t xml:space="preserve">Please create an informational page in Benj and create a section in Flimp, with the details in this link; https://www.aflacenrollment.com/VICTORYPOWERLINESERVICE/P2L685933906 
Name the plan type and Plan as “Aflac Information Only” with Carrier Aflac 
This is for All employees. OSR/ATK/Victory. 
This should also be added in New Hire Flow as well.</t>
  </si>
  <si>
    <t>373055</t>
  </si>
  <si>
    <t>Regarding the number of pay periods for certain classes. Specifically, making sure the start date entered for a new hire who is in an hourly position, such as the paraeducator class, is reflecting correctly for the per pay check cost. Currently, for those in an hourly position, we are manually calculating the employee premium costs when setting up their payroll deduction.</t>
  </si>
  <si>
    <t xml:space="preserve">Added the below mentioned fields under Department, and we will be renaming the current department "All Employee" into "19 Paycycle" -
17 Paycycle
15 Paycycle
13 Paycycle
11 Paycycle
9 Paycycle
7 Paycycle
5 Paycycle
3 Paycycle
1 Paycycle
Rates for Medical, Dental and VIsion plans are updated based on the above paycycle for the below mentioned 3 classes -
School Year Secretary
Paraeducator
Nutrition Service</t>
  </si>
  <si>
    <t>403338</t>
  </si>
  <si>
    <t>Add the department "Michigan"</t>
  </si>
  <si>
    <t xml:space="preserve">Add the department "Michigan. 
Instead of adding, rename “DO NOT USE Orlando” to “Michigan”.  Eligibility is same as “Marinette” department.</t>
  </si>
  <si>
    <t>August 2017</t>
  </si>
  <si>
    <t>Aricent</t>
  </si>
  <si>
    <t>HGS</t>
  </si>
  <si>
    <t>WFJ</t>
  </si>
  <si>
    <t>Notifications</t>
  </si>
  <si>
    <t>Font size in emails were inconsistent to system hardcoding messages</t>
  </si>
  <si>
    <t>Font size correction</t>
  </si>
  <si>
    <t>Suman Singh</t>
  </si>
  <si>
    <t>Noni</t>
  </si>
  <si>
    <t>To add revised verbiage on welcome email and to attach Annual legal notice</t>
  </si>
  <si>
    <t>Update wording and include Annual Legal notice as an attachment to the welcome email.</t>
  </si>
  <si>
    <t>System was calculating SP rate based on SP age.</t>
  </si>
  <si>
    <t>Change rates for Spouse Voluntary Life to be based on the Employees age effective today.</t>
  </si>
  <si>
    <t>Aspen Technology</t>
  </si>
  <si>
    <t>EBS Capstone</t>
  </si>
  <si>
    <t>Termination rule was updated as DOT on system.</t>
  </si>
  <si>
    <t>Change termination date for Basic Life, Voluntary Life and Voluntary AD&amp;D – Employee from end of month to date of termination</t>
  </si>
  <si>
    <t>Remya Nair</t>
  </si>
  <si>
    <t>Karen Fuller</t>
  </si>
  <si>
    <t>Avante Auto Group</t>
  </si>
  <si>
    <t>The termination rule for the Basic Life plan on our system is incorrect</t>
  </si>
  <si>
    <t>Please change the rule to “end of the calendar month”.</t>
  </si>
  <si>
    <t>New Hire rule needs to be updated.   If hired on the first of the month, benefits become effective immediately.</t>
  </si>
  <si>
    <t xml:space="preserve">Client would like to change waiting period. If hired on first of the month, benefits should be effective that day.
Hire date is 08/01/2017, benefits should be effective that day.</t>
  </si>
  <si>
    <t>CRM</t>
  </si>
  <si>
    <t>Cherry Creek</t>
  </si>
  <si>
    <t>Effective 7/1/17, Sun Life has a new EAP vendor that they have partnered with, GuidanceResources EAP Business Class.  We need to change the current EAP info. page on BP and upload all the docs</t>
  </si>
  <si>
    <t>To create new EAP plan with new vendor</t>
  </si>
  <si>
    <t>Christina Alosio</t>
  </si>
  <si>
    <t>Glo USA Inc.</t>
  </si>
  <si>
    <t>The Age band Anniversary premium rule is incorrect in BP</t>
  </si>
  <si>
    <t xml:space="preserve">Please change the rule for the Vol Life /AD&amp;D plan to reflect the following: 
Premium changes should only take place on the Policy’s Plan Anniversary Date 
It should be changed to “Plan Anniversary date” which is October 1st</t>
  </si>
  <si>
    <t>New Hire Waiting Period for Kelle’s needs to be change from FOM following 60 days to FOM following DOH effective 07/01/2017.</t>
  </si>
  <si>
    <t>Waiting period for ALL PLANS needs to be updated to FIRST OF THE MONTH FOLLOWING DATE OF HIRE.</t>
  </si>
  <si>
    <t>Termination Date for Dental Select Plan – should be end of the month following term date.  The rule is the same for QLE as well</t>
  </si>
  <si>
    <t>Please update termination date rule for the Dental Select Plan.</t>
  </si>
  <si>
    <t>LimoLink Inc</t>
  </si>
  <si>
    <t>LimoLink Employee Premium Incorrect for Medical Plan $2,500. The employee Deduction amount is currently updated as $241.00 monthly. This was communicated to us incorrectly. The correct EE contribution amount should be  $247.00/month</t>
  </si>
  <si>
    <t xml:space="preserve">Please change the employee only contribution for the Plan 1 $2500 PPO medical plan to $247.00/month
The correct per pay period contribution should be $114.00 ($247.00 per month).</t>
  </si>
  <si>
    <t>New Tech Global</t>
  </si>
  <si>
    <t>Kainos Partners</t>
  </si>
  <si>
    <t>Set up Termination Rules by Division</t>
  </si>
  <si>
    <t>Please make any needed updates to the termination dates based on Division.</t>
  </si>
  <si>
    <t>For Weekly pay cycle Employees, only 1 deduction a month is taken out for their employee benefits cost and the Biweekly employees have 26 pay periods with only 24 deductions. This was not communicated to us in the implementation time.</t>
  </si>
  <si>
    <t>Please set up the system to not take the deduction for the two pay periods highlighted on the biweekly schedule.</t>
  </si>
  <si>
    <t xml:space="preserve">The Location MUD needs to be replaced with OTA.
New Location OTA has EIN # 41-2202007 if needed.</t>
  </si>
  <si>
    <t>The Location MUD needs to be replaced with OTA.</t>
  </si>
  <si>
    <t xml:space="preserve">Corrections to the Grid and when plans should end.
Changes were mainly made to the NTGS staffing.</t>
  </si>
  <si>
    <t xml:space="preserve">Please remove the Department “Special”
There should only be 4 department.  I have moved the two people out of Special and moved to the correct Department.
Plan end dates need to be updated as well.</t>
  </si>
  <si>
    <t>Presbyterian School</t>
  </si>
  <si>
    <t>A change request was submitted to Principal to change the VTL for spouse – spouses age used to calculate spouse VTL cost and Benefit Age Reduction</t>
  </si>
  <si>
    <t>Please set up for the Voluntary Life Plan for spouse</t>
  </si>
  <si>
    <t>Yashwanth</t>
  </si>
  <si>
    <t>Technical Safety Services</t>
  </si>
  <si>
    <t>PBR Benefits</t>
  </si>
  <si>
    <t>“Change in Residence” status has been enabled. However when the plan eligibility is based on employees address, we should be setting up zip code eligibility. Change is residence status change will not work correctly for these scenarios and should never be enrolled for any client</t>
  </si>
  <si>
    <t>Disable “Change in Residence” status change for all of the below clients for all the plans.</t>
  </si>
  <si>
    <t>Trendsetter Engineering</t>
  </si>
  <si>
    <t xml:space="preserve">Trendsetter is adding a company paid Health Advocate Plan.
Carrier is Health Advocate</t>
  </si>
  <si>
    <t xml:space="preserve">Configuration Team – Please create a new Plan with the same plan rules as medical.
All employees should be auto enrolled into this plan if Benefits Eligible.</t>
  </si>
  <si>
    <t>UST Global</t>
  </si>
  <si>
    <t>Update Welcome email #2 - UST Global Medical Coverage for Temporary Employees</t>
  </si>
  <si>
    <t>Update wording only and keep current attachment that is in the system.</t>
  </si>
  <si>
    <t>Worldwide Equipment Enterprises</t>
  </si>
  <si>
    <t>Change the rule in our system for the Overage Dependent rule for Basic Life</t>
  </si>
  <si>
    <t>Dependent children are eligible for coverage to age 19 if they are not a full time student (age 25 if in school)</t>
  </si>
  <si>
    <t>September 2017</t>
  </si>
  <si>
    <t>Child AD&amp;D rate was not updated on system.</t>
  </si>
  <si>
    <t>Update Child Voluntary AD&amp;D Rates</t>
  </si>
  <si>
    <t>Community Health Alliance</t>
  </si>
  <si>
    <t>Benefit Resource Group</t>
  </si>
  <si>
    <t>The  “Employee gained other coverage” status change is currently not enabled in the system</t>
  </si>
  <si>
    <t>Turn on the employee gained other coverage status change in BenJ  Please set up the use the standard options for the changes that are allowed for this event</t>
  </si>
  <si>
    <t>Termination date for the Symetra carrier has 2 plans in our system. Both the plans have the termination rule setup as Date of termination, however carrier is requesting for month end termination rule.</t>
  </si>
  <si>
    <t xml:space="preserve">Please change termination date for the following two plans to end of the month following termination.
Select Benefits Plan 1
Select Benefits Plan 2</t>
  </si>
  <si>
    <t>National Litigation Law Group PLLC</t>
  </si>
  <si>
    <t>Please adjust the rounding rule for the LTD Benefit.</t>
  </si>
  <si>
    <t>Please change the rounding rule from “Round up to the next whole Dollar” to “NO ROUNDING”</t>
  </si>
  <si>
    <t>Riebes Auto Parts</t>
  </si>
  <si>
    <t>Correct the Kaiser Low Plan Tobacco-Free and Low Plan Tobacco-User rates retroactive to Jan 1, 2017</t>
  </si>
  <si>
    <t>ER rates to be updated on system for Kaiser Low medical plan</t>
  </si>
  <si>
    <t>When an employee switches from one location to another the benefits are terminating at the end of the month, but the effective date is Date of Location change (set this way for Life) so the employee is not being auto enrolled into the correct plan.</t>
  </si>
  <si>
    <t>Please set up the rule as end of month for Class, Location, Department, Division changes for all plans except LTD, FSA Health Care &amp; FSA Dependent CareTo change effective date rule for Class, Location, Division, Department to First of the month following change date.</t>
  </si>
  <si>
    <t>Please add Division “39 WeLease Home Office” and Department Number “39”</t>
  </si>
  <si>
    <t xml:space="preserve">Please add Division “39 WeLease Home Office” and Department Number “39”
All eligibility is the same as all other groups.</t>
  </si>
  <si>
    <t>Guardian has a new process to complete EOI. We need to update our system with the link that takes employees to complete the EOI online</t>
  </si>
  <si>
    <t>Please replace the current Guardian EOI form with the attached PDF</t>
  </si>
  <si>
    <t>Update the system to reflect the below rules. Currently the rules that is in the system now is not accurate and client was waiting for new release for this to be updated correctly.</t>
  </si>
  <si>
    <t>If EE rehired within 6 months of termination, then eligibility of  benefits are from 1st of the month following rehire. If they are rehired after 6 months they are subject to the new hire waiting period.</t>
  </si>
  <si>
    <t>Big D Companies</t>
  </si>
  <si>
    <t xml:space="preserve">Anyone who is hired within 90 days are eligible for benefits immediately. 
Anyone who is hired after 90 days  must wait 60 days before they are eligible for benefits.</t>
  </si>
  <si>
    <t>IBM India Pvt Ltd</t>
  </si>
  <si>
    <t>Lumileds LLC</t>
  </si>
  <si>
    <t>Aon Hewitt</t>
  </si>
  <si>
    <t>NHE period was updated as 40 days.</t>
  </si>
  <si>
    <t>To change NHE period from 40 to 30 days</t>
  </si>
  <si>
    <t>The effective date rules in our system needs to be changed as it was incorrect.</t>
  </si>
  <si>
    <t>Termination Rule for: Basic Life, STD and LTD benefits is DATE OF TERMINATION. For other benefits termination For Employment Termination, Qualifying Life Event, and change in Eligibility Fields (Class, location, Division, and Department) should be end of month</t>
  </si>
  <si>
    <t>RECON</t>
  </si>
  <si>
    <t>Age as of rule for LTD is age as of 05/01/2017.  This will need to be updated each year to be effective 05/01.  All employees regardless if hired after 05/01/2017, their age should be based on 05/01/2017 for the 05/01/2017 – 04/30/2018 plan year.</t>
  </si>
  <si>
    <t>Please update the age as of date for LTD.  Please set to 05/01/2017 this should be included for new hires as well. This will not change until 05/01/2018.</t>
  </si>
  <si>
    <t>Rates has changes that need to be updated in the system</t>
  </si>
  <si>
    <t xml:space="preserve">EE contributions have NOT changed- only Employer portion.
 A credit should not be given.
EE’s who are tobacco users need to have their contributions corrected</t>
  </si>
  <si>
    <t>October 2017</t>
  </si>
  <si>
    <t>Update billing to reflect codes for each subsidiary so UST can see the cost associated with each.</t>
  </si>
  <si>
    <t xml:space="preserve">Create new classes and rename the existing one   Ben J as follows:
-Moonraft
-Round Feather
-Media Services
-UST Global (instead of UST Expatriates)</t>
  </si>
  <si>
    <t>New functionality</t>
  </si>
  <si>
    <t>Update the New Hire Vol Life Rate Calculation</t>
  </si>
  <si>
    <t xml:space="preserve">When New Tech Global was implemented Voluntary Life &amp; AD&amp;D were given to us as a combined plan.
After going live and we started testing the Paylocity file, client noticed the Voluntary Life &amp; AD&amp;D contributions are being bundled.</t>
  </si>
  <si>
    <t>Added two new voluntary life plans</t>
  </si>
  <si>
    <t>OOCL (USA) Inc</t>
  </si>
  <si>
    <t>LBCT would like to add department numbers- all of these departments have the same eligibility as the LBCT department. – spreadsheet with mapping was provided.</t>
  </si>
  <si>
    <t>Added 6 new departments and moved 81 employees to new department</t>
  </si>
  <si>
    <t>User id was updated manually by client</t>
  </si>
  <si>
    <t>Change USER ID – to Work Email</t>
  </si>
  <si>
    <t>Waiting period change to “1st of the month following 60 days.”  See screen shot below item #6 for affected plans.</t>
  </si>
  <si>
    <t>Add new plans with waiting period change as stated below for LaMunyon Drilling division only.  Broker has approved change.</t>
  </si>
  <si>
    <t>Add a custom text advising employees that they will need to call the call center for any plan enrollments/changes for Legal Shield plan</t>
  </si>
  <si>
    <t>Request: to stop employees from making changes to their Legal Shield plan</t>
  </si>
  <si>
    <t xml:space="preserve">Change the set up to say if rehired within 90 days, eligible as of the rehire date
Change the set up to say if rehired after 90 days, then FOMF 59 days will be the effective date</t>
  </si>
  <si>
    <t>The rehire rule in our system is inaccurate</t>
  </si>
  <si>
    <t xml:space="preserve">1. Delete the Medical plans with HC in the plan names
2. Remove the zipcode Eligibility for the other Medical plans
3. Enroll all the employees form the HC plan to the corresponding medical plans
4. Inform EDI of this change to configure the mapping based on Zipcode</t>
  </si>
  <si>
    <t>We have to change the set ups in the system by removing the zip code eligibility at the plan level and start using at the EDI configuration set up.</t>
  </si>
  <si>
    <t xml:space="preserve">1. Delete the Dental plans with ‘out of Area ‘ in the plan names
2. Remove the zipcode Eligibility for the other Medical plans
3. Enroll all the employees form the ‘Out of Area’ plan to the corresponding medical plans
4. Inform EDI of this change to configure the mapping based on Zipcode</t>
  </si>
  <si>
    <t>Demographic Fields Setup</t>
  </si>
  <si>
    <t>Create a custom field “Working Spouse Form” with a drop down with “Yes” or “No” or a check box that HR can check when they receive the form.  Please make sure this field is captured when client runs a report “Employee Work Information”</t>
  </si>
  <si>
    <t>To add a custom field on the “Work” tab field</t>
  </si>
  <si>
    <t xml:space="preserve">Please add the number next to the text on the system.
KY - 1
Ohio - 3
South Carolina - 5       
TN - 2 
Virginia - 01
WV - 04</t>
  </si>
  <si>
    <t xml:space="preserve">Client is requesting that in Benefits Passport under the location tab we enter a number next to the text.
Here is what the broker has submitted.</t>
  </si>
  <si>
    <t>November 2017</t>
  </si>
  <si>
    <t>Create a new division “84 – Home Office”  and move Irvin Dotson Jr. to this division effective 11/01/2017</t>
  </si>
  <si>
    <t xml:space="preserve">Please add a new Division this division effective 11/01/2017
84 – Home Office</t>
  </si>
  <si>
    <t>To add a custom field under work information as QMSCO</t>
  </si>
  <si>
    <t>Please add on the “Work” tab a custom Field named “QMCSO” Please have drop down Yes/No</t>
  </si>
  <si>
    <t>The eligibility rule in the system for Principal is incorrect</t>
  </si>
  <si>
    <t>Update the eligibility rule to show 30 days instead of 29</t>
  </si>
  <si>
    <t>The current Legal plan rates in our system effective 10/01/2017 is wrong</t>
  </si>
  <si>
    <t>Change the Legal Shield rates in BP</t>
  </si>
  <si>
    <t>Ankle and Foot Centers of Georgia</t>
  </si>
  <si>
    <t>Two new departments added</t>
  </si>
  <si>
    <t>Add “WHSX” (Windy Hill Surgery Center) and “Complete PT” as new departments</t>
  </si>
  <si>
    <t>December 2017</t>
  </si>
  <si>
    <t>Set UST Media services up so they also have temporary workers with the same benefits as the current Temporary Workers.</t>
  </si>
  <si>
    <t>Create a new class titled UST Media Services - Temporary Workers.</t>
  </si>
  <si>
    <t>Custom-Pak</t>
  </si>
  <si>
    <t xml:space="preserve">Please add Part Time Class and the only benefit that should be allowed will be the 401k plan.
All other Benefits should term based on the rules in the system per plan.</t>
  </si>
  <si>
    <t>Please add “Part Time” Class to the system</t>
  </si>
  <si>
    <t>Crane Engineering</t>
  </si>
  <si>
    <t>Child Voluntary Life coverage rule change</t>
  </si>
  <si>
    <t>With new carrier (Hartford) child life is not linked to employee coverage.  Currently is limited to 10% of employee coverage.  Limit should increments of $2,000 to a maximum of $10,000.</t>
  </si>
  <si>
    <t>Broker is requesting that we add additional departments</t>
  </si>
  <si>
    <t>To add 10 new Departments</t>
  </si>
  <si>
    <t>Aetna requires divisions remain on the EDI file feed for COBRA participants.  “COBRA” and “COBRA Terminated” are also in the Division field.  Need to move non-COBRA divisions to Location field.</t>
  </si>
  <si>
    <t>Create 16 location by combining current locations with current divisions</t>
  </si>
  <si>
    <t>Creare</t>
  </si>
  <si>
    <t>Granite Group Benefits</t>
  </si>
  <si>
    <t>Peter Buchanan (EEID # PEB) involuntary termination 11/30/2017 with agreement that his medical and FSA plans will remain in force through 12/31/2017</t>
  </si>
  <si>
    <t>Add “Severance” Class to system and make it eligible for Medical and FSA plans. and assign to this employee</t>
  </si>
  <si>
    <t>The system needs to be updated to match what is on the carrier site.</t>
  </si>
  <si>
    <t>BCBS has a plan termination rule of 1st of the following month but on Benefits Junction, the rule is “date of qualifying event”.</t>
  </si>
  <si>
    <t>Employee (EEID 13896 Elisa Favero) is on LOA and not paying for coverage; client requested termination of current coverage for 2017 and 2018; COBRA was not offered</t>
  </si>
  <si>
    <t>Add “Leave of Absence without benefits” Class with no eligibility for any plans.</t>
  </si>
  <si>
    <t>Jamba Juice</t>
  </si>
  <si>
    <t>Woodruff Sawyer and Company</t>
  </si>
  <si>
    <t>Per the HR in CRM ticket 11512- Jambe Juice needs a new division created called 01595. This new division should mirror division 1523.</t>
  </si>
  <si>
    <t>Need to add a new division</t>
  </si>
  <si>
    <t>Employees should no longer be allowed to update their name in Benefits Junction. This will help to decrease ACA reporting discrepancies in future years.</t>
  </si>
  <si>
    <t>Disable employee access to update Employee name in Ben J.</t>
  </si>
  <si>
    <t>Mari Holcomb (EEDI #10285587) has a QLE effective 1/5/2018.  Her enrollment to be corrected</t>
  </si>
  <si>
    <t>Change effective date of change from First of the Month Following to “Date of Event”</t>
  </si>
  <si>
    <t>January 2018</t>
  </si>
  <si>
    <t>Silica Hardware Inc</t>
  </si>
  <si>
    <t>HR at Silica realized that the plan names from last open enrollment were not updated in BP.  The correct names are on the documents that the CRM submitted, but the actual plans that the employees select are wrong.</t>
  </si>
  <si>
    <t xml:space="preserve">Please make the following medical plan name changes:
Plan A should be renamed to:  Plan A $1500 Deductible Plan
Plan B should remain as is
Plan C should be renamed to:  Plan C $2600 HDHP</t>
  </si>
  <si>
    <t xml:space="preserve">Medical/Dental/Vision: coverage should end at the end of the month for which the child turns 26
Basic Life: coverage should end on the day the child turns 26</t>
  </si>
  <si>
    <t>Please update plan end date for child turning age 26</t>
  </si>
  <si>
    <t>Set status changes to allow enrollment/cancellation of plan during the plan year (should mimic the medical plan). Note that the effective date of the change should be the first of the month following or coinciding with the event date.</t>
  </si>
  <si>
    <t>Metlaw has confirmed that status changes apply during the plan year.</t>
  </si>
  <si>
    <t>Paul Johnson had incorrect effective date for Dental Plan</t>
  </si>
  <si>
    <t>Update the eligibility rule in the system for the dental plan to: First of the Month Following or Coinciding with 1 Month(s) from Date of Hire</t>
  </si>
  <si>
    <t xml:space="preserve">New Location - Augusta
New Division - 400 Augusta Direct and 450 Augusta Indirect</t>
  </si>
  <si>
    <t>Add new location and Division</t>
  </si>
  <si>
    <t xml:space="preserve">Rehire rule for Field employees should be FOMF if they are hired within 60 days. Outside of 60 days they are treated as New Hires and will need to wait 60 days.
Office staff is ALWAYS FOMF date of hire</t>
  </si>
  <si>
    <t>Update Rehire Rule to FOFDOH for Class "Field" employee if hired within 60 days of termination</t>
  </si>
  <si>
    <t>MidCentral Management Resources</t>
  </si>
  <si>
    <t>To correct Dental plan rate for EE+Fam coverage.</t>
  </si>
  <si>
    <t>Update the dental family rate in BP</t>
  </si>
  <si>
    <t>Effective date of change is incorrect</t>
  </si>
  <si>
    <t>Change Medical, Dental plans’ effective date of change to “Event date” including birth of a child</t>
  </si>
  <si>
    <t>To turn on the Beneficiary Reminder to remind employees daily until they have completed the task.</t>
  </si>
  <si>
    <t>Please turn on the Beneficiary Reminder. The client would like it set up to remind employees daily until they have completed the task.  This should be for Basic Life &amp; Voluntary Life.</t>
  </si>
  <si>
    <t>Welcome Back Email needs to be generic language due to the different classes. We will remove some wording from the current Welcome Back Email and put it into the Disclaimer Acknowledgment page.</t>
  </si>
  <si>
    <t xml:space="preserve">Create two disclaimer acknowledgment pages.
1)	For all except temporary Employees – wording attached
2)	For temporary employees only – wording attached
Update Welcome Back Email (same wording ok for all UST employees).
1)	Wording attached</t>
  </si>
  <si>
    <t>Welcome email wording should be updated to show consistency across all systems accessed by ee’s.</t>
  </si>
  <si>
    <t>Welcome email wording has been updated to show consistency across all systems accessed by ee’s.</t>
  </si>
  <si>
    <t xml:space="preserve">Jennifer from UST Global has requested a change in the Deduction Retro Rules for UST Global, with respect to Medical, Dental and Vision Plans from 01/01/2018. 
Currently employees are getting daily Pro-Rated deductions if they enroll or waive or make changes to the plan in the middle of a paycycle.</t>
  </si>
  <si>
    <t xml:space="preserve">Employee Retro Rules for Deduction Setup to be changed for Medical, Dental and Vision Plans as follows:
Addition Rules: Full cycle deduction
Termination Rules: Full cycle deduction</t>
  </si>
  <si>
    <t>The rule in the system for Vol Life is incorrect.</t>
  </si>
  <si>
    <t>Update the rule in the system for the Vol Life plan to show “no rounding”</t>
  </si>
  <si>
    <t>Add a new class titled “Owners”</t>
  </si>
  <si>
    <t xml:space="preserve">1. Add a new class “Owners” and make the class only eligible for $1500 Standard plan and the $3,000 CDHP plan
2. In the plan set up, change the set up to have deductions rate based on Class and add 0 cost to employees for this class
3. Please add this new class to all other set up screens
4. Please inform EDI</t>
  </si>
  <si>
    <t xml:space="preserve">RECON asked why the “Update Social Security Number” still displays after it’s checked.  Other “to do” items don’t display once completed.
This was set up incorrectly to show the to do list for 30 days.</t>
  </si>
  <si>
    <t>Change SSN to do list setup  – Select option "Remove from status page after completion".</t>
  </si>
  <si>
    <t>February 2018</t>
  </si>
  <si>
    <t>To add a new location named "ER paid STD - Not Eligible"</t>
  </si>
  <si>
    <t xml:space="preserve">Two physicians do not participate in employer paid STD plan due to their unique pay structure.  Their enrollment should be terminated back to their hire dates as if never enrolled.  
1.Add a new Location ER paid STD- Not Eligible 
2.Make this class Not eligible for Company paid STD plans
3.Add this new class to all other plans as eligible and screens
4.Change the classes for the following two employees effective their hire date
EE id: 102-74-4540
EE Name: Sidharth Vumenthala Reddy
EE id: 434-55-6949
EE Name: Shamir Bhikha</t>
  </si>
  <si>
    <t>Eltek Inc</t>
  </si>
  <si>
    <t>Request: Change vision rate for EE+ Children – the rate for the vision plan that was given to us during OE was incorrect.</t>
  </si>
  <si>
    <t xml:space="preserve">The vision rate for EE + Children needs to be corrected in BP to the below:
Current rate in BP: $14.48
Rate to be updated in BP: $14.84</t>
  </si>
  <si>
    <t>update the effective date rule in BP for QLE. The status Change “Employee gained coverage Status change was not enabled for OOCL. It has now been enabled and we have to update the waiting period rules correctly.</t>
  </si>
  <si>
    <t xml:space="preserve">Employee Lost Coverage (and now needs Coverage with OOCL): Effective date is First of the following month
Employee gained other Coverage (meaning EE no longer needs Coverage with OOCL): Effective date is date of QE.</t>
  </si>
  <si>
    <t>Status changes for medical, dental and vision plans should be date of qualifying event.  Medical and dental plans are set up correctly.  Vision plan is incorrect as “First of the Month Following 0 Day(s) from Date of QE.”</t>
  </si>
  <si>
    <t>Update Benefits Change Date to “Date of QE” for Vision plan</t>
  </si>
  <si>
    <t>Hammer Williams would like to add a new department called 109 for this client.</t>
  </si>
  <si>
    <t>Change in User ID Logic</t>
  </si>
  <si>
    <t>Update the User ID for all Hammer Williams employees from SSN to initial+last name+last 4 of SSN</t>
  </si>
  <si>
    <t>The waiting period is FOMF 30 for all benefits including medical which currently shows 29 days.</t>
  </si>
  <si>
    <t>Update eligibility rule for Medical Plan</t>
  </si>
  <si>
    <t>Update our system so that Jillian Streeper is alerted for any pending transactions.</t>
  </si>
  <si>
    <t>Update Email ID</t>
  </si>
  <si>
    <t>Harper Brothers and Texas Wall Landscape</t>
  </si>
  <si>
    <t>To arrive at rounded value</t>
  </si>
  <si>
    <t>Medical Plan rates changes</t>
  </si>
  <si>
    <t>In reconciling the January Prudential invoices the team discovered discrepancies in the rates for the LTD Buy Up and Voluntary Child life plans.</t>
  </si>
  <si>
    <t xml:space="preserve">LTD Buy Up Plan – rate should be $0.233
Voluntary Child Life Plan – rate should be $0.10</t>
  </si>
  <si>
    <t>Per Kristen Daigle at Creare, Life, LTD and STD plans terminate the end of the month.</t>
  </si>
  <si>
    <t>Change termination rule to last day of month following date of termination</t>
  </si>
  <si>
    <t xml:space="preserve">Request: Kelle’s has a new DBA and this needs to be updated on all applicable systems and forms.
Solution: Update the Company name for Kelle’s Transport Services to Soar Transportation.</t>
  </si>
  <si>
    <t>Update the name on BP and anywhere the name Kelle’s is listed and replace it with Soar Transportation.</t>
  </si>
  <si>
    <t>Remove the Questions and answer set up. Set up the Plan Dependency such a way that the Basic Life &amp;ADD plan will come up only if employee Enrolled for Ternian Medical Plan.</t>
  </si>
  <si>
    <t xml:space="preserve">Update the current set up using new set up that will handle plan dependency.
All employee who are enrolled in the Ternian Medical Plan should be enrolled in the Basic Life &amp; AD&amp;D Plan.  Coverage Tier &amp; Dependents for Medical should be the same for Basic Life &amp; AD&amp;D</t>
  </si>
  <si>
    <t>The language for Voluntary Life plan is incorrect. It was still showing language from OE time. It needs to be updated.</t>
  </si>
  <si>
    <t>Language in the information box and EOI screen should be updated as follows. (Message given in screenshot)</t>
  </si>
  <si>
    <t>All Plan Renewal Dates for all plans for Custom Pak should be changed to 1/1.  Ancillary Plans are showing with 3/1.  Per email below from Jennifer Carroll, please change all to 1/1.  There is no action needed for 3/1/2018.</t>
  </si>
  <si>
    <t>Please change Renewal Date for each plan to be 1/1 where it is currently showing 3/1.</t>
  </si>
  <si>
    <t>Jennifer Carroll notified me that she provide incorrect rates for the AD&amp;D Plans</t>
  </si>
  <si>
    <t>Update rates according to update rate sheet and provide Excel Grid to calculate monthly 1k rate into what we enter in the system when client has 26 pay periods with 24 deductions.</t>
  </si>
  <si>
    <t>Jennifer Carroll provided incorrect rates.</t>
  </si>
  <si>
    <t>Correct Voluntary Life Child Rate.</t>
  </si>
  <si>
    <t>GI for employees between age 65 - 69 was not updated</t>
  </si>
  <si>
    <t>Update Age Based GI for employee.</t>
  </si>
  <si>
    <t>March 2018</t>
  </si>
  <si>
    <t>CVE Technology Group Inc.</t>
  </si>
  <si>
    <t>BAAS team advising that they requested a LIVE Demographic file from Paylocity and will need to turn off employee edit access to the mentioned fields in CRF. All changes to these fields will need to be completed in Paylocity's system and then the change will flow to us in the weekly feed</t>
  </si>
  <si>
    <t>Update the system to make the fields non-editable</t>
  </si>
  <si>
    <t xml:space="preserve">Change the number of days updated on system for OAD notification alerts. Currently notification alerts will be sent to employees before 5 days of the plan termination. 
This is not giving employees enough time to take action.</t>
  </si>
  <si>
    <t>Notification alerts should be sent 31 days before the Plan termination date</t>
  </si>
  <si>
    <t xml:space="preserve">1. On the Employee “Work” Page please create a custom field where HR can track employees that have court ordered medical support orders.  HR would like the Field name “NMSN”.  You can set up a check box or yes/no.  As long as the field is captured when running reports.
2. On the Status Change set up pages
a. Medical Page – Please change child birth from First of the month following event date to “Date of Birth”
b. Medical Page - Overage Dependent – Benefits Change date should be last day of the month following birthdate
c. Medical, Dental, Vision Pages – please select the Event Employee Lost Coverage.  Please check the following boxes.  Transaction Approval Required, New Enrollment, Change Plans &amp; Change Coverages only.</t>
  </si>
  <si>
    <t>ADD A NEW DEPARTMENT</t>
  </si>
  <si>
    <t>Received an email from Ebony requesting that we add a dew department. The department should be 324 and should mirror the setup of department 352.</t>
  </si>
  <si>
    <t xml:space="preserve">Recon would like to be notified of anyone making a change that is outside of a life event/new hire enrollment period.  Currently Joy is notified by the pending transaction notification.
Since Recon allows employees to make changes to Voluntary Life, Critical Illness, Cancer, Accident &amp; Legal Shield without having a life event, Joy would like to be notified of these changes since they will not appear on the pending transaction notification. Please enable the “Enrollment Changes” notification under “Employee Alerts”.  The employee does not need to receive this notification on the employer.  Please check the “Other” box and enter Joy.gossett@reconservices.com in the email address.
Please confirm that Enrollment Changes that are not done as a life event will still trigger this notification.</t>
  </si>
  <si>
    <t xml:space="preserve">Please set up the “Enrollment Changes” email so that the email is send only to the email id populated in the “Other” field
The Subject and the body of the email is given below
Subj: Non-Life Event Enrollment Change 
Body: This is to notify you that an employee has made a non-life event required change to their benefits. Please "approve" or "Reject" this transaction.</t>
  </si>
  <si>
    <t>LifeMoves</t>
  </si>
  <si>
    <t>update the contact in BP for all notifications</t>
  </si>
  <si>
    <t>Guri Mehta is requesting that we update our system so that Michelle Guzman is alerted for any pending transactions.</t>
  </si>
  <si>
    <t>All Clients</t>
  </si>
  <si>
    <t>Internal Revenue Service (IRS) announced that it has reduced the maximum permitted annual HSA contribution for family coverage to $6,850 for 2018.</t>
  </si>
  <si>
    <t>Please update the HSA maximum for Family coverage to $6850 instead of $6990</t>
  </si>
  <si>
    <t>Department 29 needs to be added to Benefits Passport.  They are sending employees on the demographic import assigned to Department 29</t>
  </si>
  <si>
    <t>Add Department 29 and provide all benefits eligible as all other Departments</t>
  </si>
  <si>
    <t>please update the Overage Dependent rule for all plans.</t>
  </si>
  <si>
    <t>Please update the notification that is sent to employees for their dependents.</t>
  </si>
  <si>
    <t>Please remove the suffix “family” from the plan names and keep the plan name as**Basic Life and AD&amp;D.</t>
  </si>
  <si>
    <t>The Center for Cancer and Blood Disorders</t>
  </si>
  <si>
    <t>Updates to these fields can be made only in Paylocity and sent to HGS to update Benefits Passport.</t>
  </si>
  <si>
    <t>Provided data fields to be turned off</t>
  </si>
  <si>
    <t>Incorrect rates were provided</t>
  </si>
  <si>
    <t>Voluntary AD/D child rate correction</t>
  </si>
  <si>
    <t>Maritime Delivery Services</t>
  </si>
  <si>
    <t>Swiss Re Stop Loss rate changes 4/1 of the plan year</t>
  </si>
  <si>
    <t>To change Stop Loss rate</t>
  </si>
  <si>
    <t>Mid-year changes effective date for the HSA plan is incorrect.</t>
  </si>
  <si>
    <t>The effective date for mid-year changes for the UST HSA plan should be 1st of the month following date of election.</t>
  </si>
  <si>
    <t>Alsum Farms and Produce Inc</t>
  </si>
  <si>
    <t>Lincoln is a new carrier effective 3/1/2018.  This information was not provided during OE set up.</t>
  </si>
  <si>
    <t>Change the effective date for “class change “to be the “date of class” instead of “FOM 59 days..” for all the 3 Basic Life plans.</t>
  </si>
  <si>
    <t>Crane has a new employee located in Minnesota.  Auxiant has added a new network (America’s PPO) to accommodate this employee.</t>
  </si>
  <si>
    <t>A new location needs to be added:  Americas PPO.  This location is eligible for all plans.</t>
  </si>
  <si>
    <t>Discrepancy Report that the Qualifying Event for a Voluntary Plan – which the Dental Plan for this group is Voluntary, the effective date is First of the month following the QLE Date.</t>
  </si>
  <si>
    <t>Please update the Status Change Effective Date on Dental Plan changed from “Date of Event” to “First of the Month following Event Date</t>
  </si>
  <si>
    <t>Most employees for this client do not have email addresses, so the client is requesting that we remove the New Hire welcome email that is sent to EE’s as this is causing confusion. Client will make sure that EE’s are aware of their enrollment period.</t>
  </si>
  <si>
    <t>Please make the welcome messages only for employees in the Test class.</t>
  </si>
  <si>
    <t xml:space="preserve">The commuter benefit must calculated based on 24 pay cycles not 26. 
Do not advises deductions on pay date 6/29/2018 and 11/30/2018.</t>
  </si>
  <si>
    <t>The monthly commuter benefits amount must be reported to BRI based on 24 pay cycles instead of 26. Do not advises deductions on pay date 6/29/2018 and 11/30/2018.</t>
  </si>
  <si>
    <t>Hartford Voluntary AD&amp;D rates for employee and spouse and voluntary life and AD&amp;D child rates were not provided at open enrollment.</t>
  </si>
  <si>
    <t>Please update the rates for the below mentioned plans effective 1/1/2018</t>
  </si>
  <si>
    <t>Bellavance Trucking Inc</t>
  </si>
  <si>
    <t>The Richards Group</t>
  </si>
  <si>
    <t>Voluntary STD rates did not change at open enrollment.  Client noticed change in rates when reconciling February invoice.  UNUM stated rates for this plan changed 2/1/2018.  Broker has confirmed we may use 1/1/2018 effective date</t>
  </si>
  <si>
    <t>Please update the given rates effective 1/1/2018</t>
  </si>
  <si>
    <t>Ahern has quarterly HSA enrollment periods.</t>
  </si>
  <si>
    <t>To enable "Anytime editable" option for HSA</t>
  </si>
  <si>
    <t>April 2018</t>
  </si>
  <si>
    <t>As per broker the dental rates that were initially provided for the 3/1/18 renewal need to be adjusted.</t>
  </si>
  <si>
    <t>To change Dental Plan rates</t>
  </si>
  <si>
    <t>ACME counts date of hire as part of the 60 days waiting period.</t>
  </si>
  <si>
    <t>To change eligibility rule for Non - Class 4 employee. New rule is First of the month following or coinciding with 59 days.</t>
  </si>
  <si>
    <t>Change in new hire eligibility rule</t>
  </si>
  <si>
    <t>New rule for new hires is First of the month following or coinciding with 59 days.</t>
  </si>
  <si>
    <t>Update the Stop Loss rate for the plan year starting 3/1/2018</t>
  </si>
  <si>
    <t>April 2018 WPS medical invoice reconciliation has a change in stop loss rates with retroactive adjustments for enrolled employees.  These rates were not provided for the 3/1/2018 open enrollment</t>
  </si>
  <si>
    <t>Client found out that vision doesn’t end at the end of month for overage terminations. The coverage ends on the date the dep turns 26.</t>
  </si>
  <si>
    <t>The vision terminates on the day the dep turns 26. We need to update the overage vision settings and message</t>
  </si>
  <si>
    <t>The broker sent us the rate contribution sheet in October which had a rate typo on it which needs to be corrected.</t>
  </si>
  <si>
    <t>The only change is that the Blue Shield PPO, Employee + Spouse Employee Contribution should be $386.66, instead of $396.66. That also changes the employer contribution from $1465.86 to $1475.86.</t>
  </si>
  <si>
    <t>Current Entrust medical plan effective date in system is first of the month following 59 days after hire. Entrust has informed BAAS team their rule is first of the month coinciding with 60 days of employment. If the 60th day is not the first of the month, the effective date is first of the next month.</t>
  </si>
  <si>
    <t>Change the eligibility rule to "following or coinciding with 60 days from date of hire" for all Entrust plans</t>
  </si>
  <si>
    <t xml:space="preserve">Client wants to populate Benefits Junction with the 
• Cost Center
• Workday ID
• Business Area
 This is mainly for reporting purposes. When we send the billing supporting documents they want us to include these data point so that they can do cost allocations correctly. Going forward all the new hires will be reported with these fields.</t>
  </si>
  <si>
    <t xml:space="preserve">Create the 3 custom fields in the work info screen as Text input fields
• Cost Center
• Workday ID
• Business Area</t>
  </si>
  <si>
    <t>Brio Benefit Consulting</t>
  </si>
  <si>
    <t>EDI reported Principal overage dependent rule is 26th birthdate; Benefits Passport is set up as end of month after 26th birth date.</t>
  </si>
  <si>
    <t>Principal confirmed termination is 26th birthdate.  This affects the dental, voluntary life and vision plans. Please update the rule to say the benefits end on the 26th birthday.</t>
  </si>
  <si>
    <t>Change the department change rule to date of event instead of first of the following month.</t>
  </si>
  <si>
    <t>Change the "effective Date rule for Department” to “Date of event”.</t>
  </si>
  <si>
    <t>We recommend setting the second age bracket to age 65 – 99 with GI at $0. New hires aged 65+ would elect the coverage they wish and the entire amount will be pended. Silica HR will go to “Pending EOI” and enter the total amount approved by Principal which will include the age-reduced volume.</t>
  </si>
  <si>
    <t>Change the GI rule to say 60Kif employees age is 64 or under and 0 otherwise</t>
  </si>
  <si>
    <t>May 2018</t>
  </si>
  <si>
    <t>Department changes rule needs to be updated to first of the month following 60 days similar to the new hire rule.</t>
  </si>
  <si>
    <t>Go ahead and change the rule for Department change</t>
  </si>
  <si>
    <t>HBC/TWL wants to move from Teladoc to MyTelemedicine effective 6/1/2018.  Current Teledoc participants should rollover to MyTelemedicine. The new plan should match exactly as what is in place with Teleadoc in terms of plan eligibility. There’s no cost to employees so keeping the current rates in the system is fine.</t>
  </si>
  <si>
    <t>Create a new plan and move all the enrollments. DO this in Teamwork project. New EDI need to be set up</t>
  </si>
  <si>
    <t>Rates given during OE was not correct for HDHP medical plan</t>
  </si>
  <si>
    <t>CORRECT THE RATE FOR THE HDHP PLAN EFFECTIVE 05/01/2018. THERE IS A MISMATCH FOR EE AND EE +SP COVERAGE. BELOW IS THE RATES THAT SHOULD BE UPDATED (NEW RATES)</t>
  </si>
  <si>
    <t>THE STD RATES NEED TO BE CHANGED IN OUR SYSTEM EFFECTIVE 05/01/2018 TO THE FOLLOWING AS WHAT WAS PROVIDED TO US DURING OPEN ENROLLMENT IS INCORRECT.</t>
  </si>
  <si>
    <t>STD BASE PLAN AGE BAND RATES (100% EMPLOYER PAID) NEEDS TO BE CHANGED TO THE BELOW: The rates below are the age banded rates per $10 of weekly benefit.</t>
  </si>
  <si>
    <t>HSA annual maximum change effective 1/1/2018</t>
  </si>
  <si>
    <t xml:space="preserve">HSA High Option Employee Only 	   2950	3200
HSA Low Option  Employee + Family  5900	6400</t>
  </si>
  <si>
    <t>MOO termination rule was incorrect on system</t>
  </si>
  <si>
    <t>CHANGE THE TERMINATION RULE FOR THE VOL LIFE PLAN TO “DAY OF TERMINATION” All lines of MOO coverage end as of the date of termination or loss of eligibility.</t>
  </si>
  <si>
    <t>To add new division 20000 on system</t>
  </si>
  <si>
    <t>ADD A NEW DIVISION NAMED “20000” per client this division is for FT employees and should mimic the divisions of 7000 and 8000</t>
  </si>
  <si>
    <t>During implementation the rule was setup correctly and it was changed to date of termination as per Jennifer Carrols email on May 11th 2017. Now broker(Val) confirmed that the rule must be end of the month for this plan.</t>
  </si>
  <si>
    <t>Change the termination rule to "Last day of month following Date of Termination" for Delta Dental plan.</t>
  </si>
  <si>
    <t>To change eligibility rule for Lamunyon Drilling division</t>
  </si>
  <si>
    <t>CHANGE THE WAITING PERIOD RULE TO FOMF 30 DAYS FOR ANY NEW HIRES/Rehires FOR LUMYOUNG DRILLING EMPLOYEES. CURRENTLY IT IS  FOMF 60 DAYS FROM DATE OF HIRE.</t>
  </si>
  <si>
    <t>THE OVERAGE DEPENDANT TERMINATION RULE FOR PRINCIPAL IS END OF THE MONTH- CURRENT RULE IN BP IS DATE OF 26 BIRTHDAY WHICH IS NOT CORRECT PER CARRIER AND CLIENT.</t>
  </si>
  <si>
    <t>To change the OAD rule for Principal carrier to "End of the month following 26th Birthday.</t>
  </si>
  <si>
    <t xml:space="preserve">Rate reduction for Total stop loss.  Client received a rate reduction for stop loss.
Stop Loss Rate needs to be adjusted in Benefits Passport.</t>
  </si>
  <si>
    <t>The rates which needs to get updated on Benefits Junction is the total of all the amounts stated in the Stop Loss Break-Up</t>
  </si>
  <si>
    <t>To correct the LTD premium rate for age bracket  45-49</t>
  </si>
  <si>
    <t xml:space="preserve">Premium rate for "Long Term Disability - Class 3" for the age bracket 45-49 should be $0.42.
It is set up as $0.45 in Passport.</t>
  </si>
  <si>
    <t>The rates that were provided to us during Open Enrollment is not the same rates that we are being asked to change the rates to.</t>
  </si>
  <si>
    <t>The Voluntary STD rates needs to be changed in our system.</t>
  </si>
  <si>
    <t>Incorrect timing was updated</t>
  </si>
  <si>
    <t>Change Call Center hours</t>
  </si>
  <si>
    <t>update the rules for Medical plan to “FIRST OF THE MONTH FOLLOWING OR COINCIDING 60 DAYS FROM THE DATE OF HIRE”</t>
  </si>
  <si>
    <t xml:space="preserve">UPDATE THE ELIGIBILITY RULE ON OUR SYSTEM FOR JUST THE MEDICAL PLAN TO “FIRST OF THE MONTH FOLLOWING OR COINCIDING 60 DAYS FROM THE DATE OF HIRE” 
THE CURRENT RULE IN THE SYSTEM IS FOMF DATE OF HIRE.</t>
  </si>
  <si>
    <t>Enable "Waive" option to allow employees to decline the plan when have QE “Employee Gained coverage”</t>
  </si>
  <si>
    <t>Enable waive option for “Employee Gained coverage” qualifying event.</t>
  </si>
  <si>
    <t>Aspen Tech wants to offer an employee the Basic Life benefit only up to 50K.</t>
  </si>
  <si>
    <t xml:space="preserve">Create a new department:- 50Kbasic Life
Create a new Basic Life plan:- 50K Basic Life
Make the new department eligible for this plan.
The rate for the flat $50K basic life benefit would be the same as the current rate for Basic / company paid group term life Insurance. Which is $.03 / $1,000.</t>
  </si>
  <si>
    <t>Set up plan dependency for HDHP plan and FSA HC. Employees will not be eligible for FSAHC, if enrolled in HDHP plan.</t>
  </si>
  <si>
    <t>Plan dependency to be set up to allow enrollment in FSA HC only if employee enrolled /declined in non HDHP plan.</t>
  </si>
  <si>
    <t xml:space="preserve">Please turn off the email notification Under Employee Alerts – Eligibility For New Plans
Please remove the check next to employee.  The Broker &amp; Client do not want this activated.</t>
  </si>
  <si>
    <t>Please delete the “Eligibility for New plans” message for this client.</t>
  </si>
  <si>
    <t>PLEASE UPDATE THE ELIGIBILITY RULE ON OUR SYSTEM FOR JUST THE MEDICAL PLAN TO “First of the month following or coinciding with 0 days from Date of Hire" /</t>
  </si>
  <si>
    <t>Please update the rules for Medical plan to “FIRST OF THE MONTH FOLLOWING OR COINCIDING 0 DAYS FROM THE DATE OF HIRE”</t>
  </si>
  <si>
    <t>Please correct the QLE effective dates for 2 of the reasons on our system to “date of Qualifying event” Below is a snapshot of what the current rule is and what it needs to be changed to:</t>
  </si>
  <si>
    <t>Please update the wording to the parking and transit plans</t>
  </si>
  <si>
    <t>Please update the text in the word document in the Information section for both Parking and Transit plan in the system</t>
  </si>
  <si>
    <t>Termination rule change to “DATE OF TERMINATION” for all plans on system.</t>
  </si>
  <si>
    <t>Change the employment termination rule to " Date of Termination" for all plans.</t>
  </si>
  <si>
    <t>June 2018</t>
  </si>
  <si>
    <t>Client would like to make the Cell phone field on the Personal Information tab required.  All employees must enter a cell phone number in this field.</t>
  </si>
  <si>
    <t>Mobile Phone field has been made mandatory under Personal Info</t>
  </si>
  <si>
    <t>Mallikarjun</t>
  </si>
  <si>
    <t>BAAS team received employees in department 45 &amp; 46 in demographic feeds</t>
  </si>
  <si>
    <t>To add new Department 45 &amp; 46, eligible for all plans</t>
  </si>
  <si>
    <t>Incorrect termination rule for Vision Plan</t>
  </si>
  <si>
    <t>Change the termination rule to "Last day of month following Date of Termination" for Vision plan.</t>
  </si>
  <si>
    <t>New divisions</t>
  </si>
  <si>
    <t xml:space="preserve">To add new division and made eligible for all benefits. 
102 - Corp Supply Chain/Indirect
106 - Product Dev
107 - HR
108 - Sales
110 - IT</t>
  </si>
  <si>
    <t>Requirement was not informed during client implementation</t>
  </si>
  <si>
    <t>Set up plan dependency for HDHP plan and FSA HC. Employees will not be eligible for FSA HC, if enrolled in HDHP plan (Aetna High Plan 1 or Aetna Low Plan 1)</t>
  </si>
  <si>
    <t>Setup was updated as Plan Anniversary as functionality was not available during plan creation</t>
  </si>
  <si>
    <t>For Critical Illness, Age-Band Anniversary (Premium)* setup needs to be changed to rates never change</t>
  </si>
  <si>
    <t>New Division</t>
  </si>
  <si>
    <t>To add new Division "34 WE Ford Sales", eligible for all plans</t>
  </si>
  <si>
    <t>New department</t>
  </si>
  <si>
    <t>Add the department "61" on system. This department matches the same eligibility, deduction calculations and benefit offering rules as all other departments.</t>
  </si>
  <si>
    <t>Client wants to remove the 403b information from the workflow.  However, documents regarding this plan should remain on the Touchpoint site &amp; under Resources on Benefits Passport</t>
  </si>
  <si>
    <t>Delete 403b plan from the workflow.</t>
  </si>
  <si>
    <t xml:space="preserve">To identify if an Employee has a spouse that works for the ICCSD District.
To track if an Employee &amp; Spouse who both work for the district and one spouse waives coverage and the other spouse enrolls family coverage for medical and/or dental</t>
  </si>
  <si>
    <t xml:space="preserve">Create 2 custom fields on the Work tab
1.	 Spouse Works for ICCSD School District
2.	EE has District Spouse enrolled in their benefits</t>
  </si>
  <si>
    <t>To add Verbiage in the HSA plan information section.</t>
  </si>
  <si>
    <t>Update the Verbiage in the HSA plan information section.</t>
  </si>
  <si>
    <t>To change the benefits eligibility rule</t>
  </si>
  <si>
    <t xml:space="preserve">Benefit start needs to be updated for all plans: 
New Hire: FOMF 29 Day(s) from DOH.
Rehire: If rehired within 91 days, there is no waiting period, the effective date is the first day they return. After 91 days, the waiting period applies (1st of the month following 29 days from date of hire).
Class, Location, Department and Division: Date of change.</t>
  </si>
  <si>
    <t>Add the department 355 to the list of departments. This department matches the same eligibility, deduction calculations and benefit offering rules as all other departments.</t>
  </si>
  <si>
    <t>The plan configuration guide completed during implementation had this incorrectly marked as rounding to the next highest $1,000</t>
  </si>
  <si>
    <t>Update the system to show the rounding rule as "Nearest $1,000" for Basic Life plan</t>
  </si>
  <si>
    <t>Invoice Termination rule was incorrect on system</t>
  </si>
  <si>
    <t>Update the Invoice Set up Termination  rule for Kaiser HMO to "Full Month Premium" in BenJ.</t>
  </si>
  <si>
    <t>Effective 01/01/2018 the Basic Life rate ($0.085) and the EAP ($0.011) rate needs to be combined under the Basic Life.</t>
  </si>
  <si>
    <t>Update Basic Life rate to $0.096 and EAP plan to $0.00</t>
  </si>
  <si>
    <t>July 2018</t>
  </si>
  <si>
    <t>Basic life rule for SP and CH was incorrect.</t>
  </si>
  <si>
    <t>Change the set up for Basic Life to have $2000 for Spouse coverage and $1000 for child coverage.</t>
  </si>
  <si>
    <t>Update the TP portal</t>
  </si>
  <si>
    <t>Touchpoints Portal Updates</t>
  </si>
  <si>
    <t>Update the invoice set up rules for Aetna plans</t>
  </si>
  <si>
    <t xml:space="preserve">Aetna invoice rule should be setup with 
Addition - No Premium for first month unless it is 1st
Termination - Full month premium and the retro cap should be 2 for both.</t>
  </si>
  <si>
    <t>To update multiple changes on eligibility setup</t>
  </si>
  <si>
    <t xml:space="preserve">All benefit plans, effective July 1, 2018 for all New Hire and Rehires:
• Benefits start date needs to be updated to 1st of the month following or coinciding with Date of Hire
• Benefits needs to term end of month following or coinciding with Termination Date.
UPDATE: Disability Plans need terminated on the last day worked. 
Change NH enrollment period from 30 days from date of hire to 14 days from date of hire.
•All supplemental plans should be available for election at any time throughout the plan year, effective 1st of the month following election.</t>
  </si>
  <si>
    <t>FM Financials</t>
  </si>
  <si>
    <t>To change the text on the Acknowledgement e-sign page</t>
  </si>
  <si>
    <t>To change the text on the Acknowledgement e-sign page.</t>
  </si>
  <si>
    <t>System is currently setup to 14 days. Correct out system to reflect 30 days from Date of Hire for all plans.</t>
  </si>
  <si>
    <t>Update the new hire window to 30 days from Date of Hire for all plans</t>
  </si>
  <si>
    <t>The City of Hermosa Beach</t>
  </si>
  <si>
    <t>Maniaci Insurance</t>
  </si>
  <si>
    <t>Waiting periods should be First of the month following date of hire for the BCBS plan.</t>
  </si>
  <si>
    <t>Update the rules in the system for BCBS plan</t>
  </si>
  <si>
    <t>New Class</t>
  </si>
  <si>
    <t>Add new class 'Off Schedule - 5 Hour' with same eligibility as 'Paraeducator - 5 Hours'</t>
  </si>
  <si>
    <t>New Plan</t>
  </si>
  <si>
    <t>Add new EAP Plan - Information only plan with auto enrollment setup</t>
  </si>
  <si>
    <t>The client want the new hire period changed to 45 days for all plans.</t>
  </si>
  <si>
    <t>Update the new hire window to 45 days</t>
  </si>
  <si>
    <t>Auto Enrollment</t>
  </si>
  <si>
    <t>New functionality to do auto enrollment setup for custom plans.</t>
  </si>
  <si>
    <t>To do auto enrollment setup for custom plan types</t>
  </si>
  <si>
    <t>Change in rates</t>
  </si>
  <si>
    <t>To change medical plans rate effective 7/1/2018</t>
  </si>
  <si>
    <t>Change the rounding rule for STD &amp; LTD plan set up to Conventional Rounding</t>
  </si>
  <si>
    <t>update the rounding rule to “Conventional rounding to the whole dollar” for STD and LTD plans</t>
  </si>
  <si>
    <t>Under Basic life plan rate setup, we have updated rate as Dependent for both SP and CH together. Because of this setup, child volumes are not capturing correctly in reports.</t>
  </si>
  <si>
    <t>Update the Basic life dependent rate setup separately for Spouse and Child.</t>
  </si>
  <si>
    <t>To update changes on system</t>
  </si>
  <si>
    <t xml:space="preserve">1. Update rates for Medical, Dental and Vision.
2. Change new hire waiting period to FOM following 30 days/Coinciding effective 6/1/2018.
3. Change coverage effective dates per new rule for impacted employees.
4. Disable ER&amp;Total cost for employees.</t>
  </si>
  <si>
    <t>To change verbiage on activation email</t>
  </si>
  <si>
    <t>For few clients, Personal info fields are non-editable on system. In the activation email verbiage it is notified to employees that they can do changes to their personal information fields.</t>
  </si>
  <si>
    <t>Earlier it was plan effective date (Default Setup).</t>
  </si>
  <si>
    <t>Change the setup to calculate base age for new hires as of plan anniversary.</t>
  </si>
  <si>
    <t>To create a new acknowledgement page</t>
  </si>
  <si>
    <t xml:space="preserve">Create a new Acknowledgment screen with the name Kaiser Foundation Health Plan Arbitration Agreement
Enable it for Employee First Time Login.</t>
  </si>
  <si>
    <t>To update EOI link on EOI pop up page</t>
  </si>
  <si>
    <t>Update EOI link on EOI pop up page. This link will allow employees to complete their EOI statement online directly in the Lincoln site.</t>
  </si>
  <si>
    <t>remove Virginia / Paul / Caitlin from the transaction approval distribution list and send notifications to Darlene.</t>
  </si>
  <si>
    <t>Update the HR contact for Transaction approval</t>
  </si>
  <si>
    <t>To add new division on system</t>
  </si>
  <si>
    <t xml:space="preserve">ADD 2 NEW DIVISIONS: 
82700 
82600 
These are full time positions and are eligible for all benefits.</t>
  </si>
  <si>
    <t>Lifemoves</t>
  </si>
  <si>
    <t>The client want the new hire period changed to 30 days for all plans.</t>
  </si>
  <si>
    <t>Update the new hire window to 30 days</t>
  </si>
  <si>
    <t>August 2018</t>
  </si>
  <si>
    <t>To change the OAD rule</t>
  </si>
  <si>
    <t>Update the overage dependent rule for Medical, Dental and Vision to terminate at the end of the month following 26th birthday.</t>
  </si>
  <si>
    <t>Age reduction should happen only based on plan anniversary.</t>
  </si>
  <si>
    <t>Remove the age reduction from the system for Basic Life and Voluntary Life. Identify the employees for whom the age should have reduced and update the volumes from the back end for the first of the year.</t>
  </si>
  <si>
    <t>Incorrect rate was provided during OE</t>
  </si>
  <si>
    <t>Update Dental DC rate for Family coverage for Physical Plant Full Time employees.</t>
  </si>
  <si>
    <t>To add a new class and to change CLDD rule on system</t>
  </si>
  <si>
    <t xml:space="preserve">Create a new "Part-time" class not eligible for any benefits. 
Effective 7/1/2018, Class, Location, Division, Department - First of the Month Following or coinciding with 0 Day(s) from Date of change. 
Before 7/1/2018, Class, Location, Division, Department – Date of change.</t>
  </si>
  <si>
    <t>COBRA needs to be sent first of the month following for the ex-spouse</t>
  </si>
  <si>
    <t>Update Divorce QE rule for Med/Den/Vis to First of the month following</t>
  </si>
  <si>
    <t>Mathew Augustine</t>
  </si>
  <si>
    <t>To ensure that these employees become not eligible for plans effective Date of Change</t>
  </si>
  <si>
    <t>To add new class "Class 4 NE Driver" and to change class termination rule to Date of Change</t>
  </si>
  <si>
    <t>Class eligibility rule change</t>
  </si>
  <si>
    <t>Change the effective date rule for class change to DATE OF CHANGE</t>
  </si>
  <si>
    <t>Add new Division "01606" and make it eligible for all the benefits</t>
  </si>
  <si>
    <t>To correct the status change rule from "FOMF"</t>
  </si>
  <si>
    <t>Change the effective date of rule for “dependent loses coverage” to “Date of Event”</t>
  </si>
  <si>
    <t>Addition to existing verbiage</t>
  </si>
  <si>
    <t>To add verbiage under FSA Health Care information page</t>
  </si>
  <si>
    <t>FSA plan termination rule provided during implementation was incorrect "Date of Termination"</t>
  </si>
  <si>
    <t>To change plan termination rule for FSA plans. Now updated to Last Day of the Month</t>
  </si>
  <si>
    <t>To ensure there is no lapse in coverage when there is a class change</t>
  </si>
  <si>
    <t>Changed Class elgibility rule to Date of Event</t>
  </si>
  <si>
    <t>September 2018</t>
  </si>
  <si>
    <t>Change the New Hire eleigibilty rule to "the day following the election date"</t>
  </si>
  <si>
    <t>To correct the volumes of employees who have elected more than 60% of their weekly salary.</t>
  </si>
  <si>
    <t xml:space="preserve">1)	Change the cap to 0.011538
2)	Change the rounding rule to nearest $50
3)	Correct the volumes for the employees who have elected above 60% of weekly salary</t>
  </si>
  <si>
    <t>Jambe Juice needs a new division created called 1598.</t>
  </si>
  <si>
    <t>No separate rehire rule, all employees will have waiting period of first of the month following 60 days of active employment”.</t>
  </si>
  <si>
    <t>CHANGE THE ENROLLMENT WINDOW FOR EMPLOYEES TO ENROLL IN THEIR BENEFITS FROM 31 DAYS TO 60 DAYS</t>
  </si>
  <si>
    <t>Change the new hire window period for all the plans</t>
  </si>
  <si>
    <t>October 2018</t>
  </si>
  <si>
    <t>New Department to be called BP and matches all eligibility rules as the rest of the departments (including rates)</t>
  </si>
  <si>
    <t>Need to add new department for 12 new employees that have been brought on as part of an acquisition.</t>
  </si>
  <si>
    <t>Mithun</t>
  </si>
  <si>
    <t>Age band anniversary rule was updated as Birthday.</t>
  </si>
  <si>
    <t>Update the Age band anniversary to “Plan Anniversary" for Vol Life and ADD and plan.</t>
  </si>
  <si>
    <t>Epic</t>
  </si>
  <si>
    <t>To add new department ORL and to be mapped the exact same way as department MPE</t>
  </si>
  <si>
    <t>Add new department ORL.</t>
  </si>
  <si>
    <t>To add 2 new departments 450 and 451 and should mimic same as of 103 and 105.</t>
  </si>
  <si>
    <t>Add 2 new departments 450 and 451.</t>
  </si>
  <si>
    <t>To add new division and make employee eligible for the benefits effective first of the month following the division change date</t>
  </si>
  <si>
    <t>Create a new Division – “Eligible for Mini Med”</t>
  </si>
  <si>
    <t>The base age for rate calculation for new hires needs to be corrected to “Plan Effective Date”. Current rule updated on system is Age as of 5/1/2018.</t>
  </si>
  <si>
    <t>Update base age for rate calculation for new hire rule to “Plan Effective Date “for Critical Illness Plan. If anyone enrolled on plan should have the age considered as of coverage effective date.</t>
  </si>
  <si>
    <t>Woodstock Furniture Outlet LLC</t>
  </si>
  <si>
    <t>Age reduction in the setup is for age 70 it is 50%, this was provided incorrectly during implementation</t>
  </si>
  <si>
    <t>Voluntary Life and Basic Life age reduction setup to update for the age 70 to have 85% of reduction.</t>
  </si>
  <si>
    <t>Plan is in 10k increments. Hence, rounding rule  needs to be updated to the next 10k.</t>
  </si>
  <si>
    <t>Update the rounding rule to next highest 10K.</t>
  </si>
  <si>
    <t>November 2018</t>
  </si>
  <si>
    <t>Vernon Homes</t>
  </si>
  <si>
    <t>Basic life rule was incorrect</t>
  </si>
  <si>
    <t>Update Basic Life plan Effective date rule for new hire/rehire  toFirst of the Month Following 60 Day(s) from Date of Hire</t>
  </si>
  <si>
    <t>Stellar Industries Inc</t>
  </si>
  <si>
    <t>New configuration for EDI</t>
  </si>
  <si>
    <t>Add an Affirmative election plan with the name FSA Health Care and Dependent Care Auto Reimbursement</t>
  </si>
  <si>
    <t>A new terminal has been added to Acme Truck Line Inc. It is the St. Martinville terminal and it is identified by #82</t>
  </si>
  <si>
    <t>Add the new department 82 to the system</t>
  </si>
  <si>
    <t>Email id required</t>
  </si>
  <si>
    <t>Please make the personal email field required for all employees</t>
  </si>
  <si>
    <t>Rate table needs to be corrected.  One age band is missing</t>
  </si>
  <si>
    <t>The rate for &lt;30 is .20 and the rate for 30-34 is .35.</t>
  </si>
  <si>
    <t>Added 2 New Locations</t>
  </si>
  <si>
    <t>Added 2 New Locations  (81630 - Canton, 81631 - Cartersville)</t>
  </si>
  <si>
    <t>December 2018</t>
  </si>
  <si>
    <t>Per client if employee is rehired within 90 days of termination, they do not have to go through the new hire waiting period again.  Please update the rules and adjust the two employees records per the request form the client on ticket number 158829</t>
  </si>
  <si>
    <t>Update the rehire rules for all the plans with no waiting period if rehired within 90 days</t>
  </si>
  <si>
    <t>Turn on Medical waiver tracking. Currently, only dental and vision is tracking the waivers.</t>
  </si>
  <si>
    <t>Turn on waiver reason required for medical plans.</t>
  </si>
  <si>
    <t>PLEASE CHANGE THE WAITING PERIOD RULE TO FIRST OF THE MONTH FOLLOWING 2 MONTHS FROM DATE OF HIRE INSTEAD OF 60 DAYS AS IT CURRENTLY SHOWS FOR THE Dental BASIC LIFE AND MEDICAL PLAN (BCBS).</t>
  </si>
  <si>
    <t>Update the waiting period to First of the month following 2 months from DOH for Medical, Dental and Life plans.</t>
  </si>
  <si>
    <t xml:space="preserve">THIS IS FOR THE LEGAL SHIELD PLAN; INITIALLY WHEN THIS PLAN WAS SETUP IT WAS DONE TO INCLUDE INDIVIDUAL AND FAMILY PLAN.
THIS HAS BEEN UPDATED TO ONLY OFFER ONE LEGAL PLAN AND THE RATE IS $18.95
BELOW ARE THE RATES THAT NEED TO BE UPDATED IN THE SYSTEM:</t>
  </si>
  <si>
    <t>Updated Legal shild Plans Rates for all Plans and coverages</t>
  </si>
  <si>
    <t>Per the request from the client, please update Division Change only to: 30 days from the date of the “Division” change date.</t>
  </si>
  <si>
    <t>Updated Division Eligibility rule to 30 Days of Date of Division</t>
  </si>
  <si>
    <t>Delta Electronics (USA) Inc.</t>
  </si>
  <si>
    <t>To update verbiage.</t>
  </si>
  <si>
    <t>To updated quetionnaire setup</t>
  </si>
  <si>
    <t>Incorrect rates were provided during OE</t>
  </si>
  <si>
    <t>To update Medical invoice rates</t>
  </si>
  <si>
    <t>Required for Dependent verification process</t>
  </si>
  <si>
    <t>To update pending transaction approval email</t>
  </si>
  <si>
    <t>For all status changes, the effective date needs to be changed to first of the following month for all plans except for Childbirth which remains effective date of the event.</t>
  </si>
  <si>
    <t>To update status change effective date from Date of QE to First of the following month</t>
  </si>
  <si>
    <t>PLEASE CREATE A NEW DEPARTMENT TITLED “ITLYNK”.  THIS DEPARTMENT IS ELIGIBLE FOR ALL PLANS.</t>
  </si>
  <si>
    <t>Added new Department -ITLYNK</t>
  </si>
  <si>
    <t>System setup was incorrect</t>
  </si>
  <si>
    <t>HSA Eligibility rule change</t>
  </si>
  <si>
    <t>Change in rate for Mutual of Omaha carrier</t>
  </si>
  <si>
    <t>To change Employer Paid STD plan rate</t>
  </si>
  <si>
    <t>Xpress Wellness and Williams Medical Divisions are no longer with Hammer Willimas company</t>
  </si>
  <si>
    <t>To update the Dental plan rates</t>
  </si>
  <si>
    <t>Employees were geting OE workflow, after OE end date since employees were added during OE period</t>
  </si>
  <si>
    <t>The New hire window period has been changed to 30 days from upload date</t>
  </si>
  <si>
    <t>January 2019</t>
  </si>
  <si>
    <t>Employee hired within cut off date (medical - 13 weeks and Accident and Critical Illness - 31), will not have waiting period</t>
  </si>
  <si>
    <t>Rehire rule change for Medical/Accident and Critical Illness Plan</t>
  </si>
  <si>
    <t>Physician class doen't pay for Buy Up medical and Dental Base plan</t>
  </si>
  <si>
    <t>Conversation #163221. To updated rates fro Buy up Medical and Dental base plan</t>
  </si>
  <si>
    <t>Employees were being added after 30 days of their hire date hence the employees were not able to make the enrollments.</t>
  </si>
  <si>
    <t>The New hire window period rule has been changed from 31 days of Eligibility to 31 days from Later of Eligibility/Upload date</t>
  </si>
  <si>
    <t>Error came in UHC discrepancy file</t>
  </si>
  <si>
    <t>New Hire/Rehire/ CLDD eligibility rule change from First of the month following or coinciding 30 days from DOH to First of the month following 30 days from DOH</t>
  </si>
  <si>
    <t>Age reduction setup was incorrect in configuration document</t>
  </si>
  <si>
    <t>Change Age reduction rule for age 70 to 55% for Voluntary Life</t>
  </si>
  <si>
    <t>Few dependents were not enrolled in plan</t>
  </si>
  <si>
    <t>To setup auto enrollment for Telemedicine plan</t>
  </si>
  <si>
    <t>New Department. And change should only be updated when demographic file is uploaded</t>
  </si>
  <si>
    <t>To add new department "179 Chassis Prep". And to remove Admin acces for personal info edit</t>
  </si>
  <si>
    <t>New Location</t>
  </si>
  <si>
    <t>To add new Location "Views Of Marion", "Aspen Heights" and "Bavarian Meadwos"</t>
  </si>
  <si>
    <t>Physician class is not eligible for Base Medical Plan</t>
  </si>
  <si>
    <t>Physician class should be removed from Base Medical Plan</t>
  </si>
  <si>
    <t>Incorrect rates were provide during OE</t>
  </si>
  <si>
    <t>The rates for the $2,500 Deductible Plan for Lamunyon Drilling to be updated to match $2,500 Deductible Plan 1</t>
  </si>
  <si>
    <t>QE rules preovided during implementation was incorrect</t>
  </si>
  <si>
    <t>Change QE rules to Date of QE</t>
  </si>
  <si>
    <t>To add new Division "Leave of Absence". LOA employees are not eligible for any plans on system</t>
  </si>
  <si>
    <t>To receive pending transaction emails</t>
  </si>
  <si>
    <t>To add client ID in pending transactions alert</t>
  </si>
  <si>
    <t>TP login code updated</t>
  </si>
  <si>
    <t>To update TP login code in Activation email</t>
  </si>
  <si>
    <t>Incorrect QE rule</t>
  </si>
  <si>
    <t>To update QE Rule to First of the Month Following or Coinciding with 0 Day(s) from Date of QE except Child Birth</t>
  </si>
  <si>
    <t>New logo</t>
  </si>
  <si>
    <t>To update logo</t>
  </si>
  <si>
    <t>Change in benefit rule effective 10/1/2018</t>
  </si>
  <si>
    <t>To updated Basic Life benefit max as $500K from $250K</t>
  </si>
  <si>
    <t>February 2019</t>
  </si>
  <si>
    <t>Not all employees have Home Phone Number</t>
  </si>
  <si>
    <t>Emergency Contact to add Mobile Numer field</t>
  </si>
  <si>
    <t>Shrikant</t>
  </si>
  <si>
    <t>LOA to All Employees</t>
  </si>
  <si>
    <t>Changing Division rule to"First of the Following 0 Days from Date of Division"  and terminate at end of the month</t>
  </si>
  <si>
    <t>Securematics</t>
  </si>
  <si>
    <t>ICMS</t>
  </si>
  <si>
    <t>Change Child Birth QE rules to Date of QE</t>
  </si>
  <si>
    <t>Change all the qualifying event rules to Date of QE for all the plans</t>
  </si>
  <si>
    <t>Addition of video link</t>
  </si>
  <si>
    <t>Addition of video link on both Benefits junction and TP portal</t>
  </si>
  <si>
    <t>To get correct count of employees enrolled in ER STD plan</t>
  </si>
  <si>
    <t>To add separate Buy Up STD plan</t>
  </si>
  <si>
    <t>Client doesn't want coinciding rule</t>
  </si>
  <si>
    <t>To change eligibility rule to First of the month following 60 days from First of the month following or coinciding 60 days</t>
  </si>
  <si>
    <t>New Division and Department</t>
  </si>
  <si>
    <t>To add new Division - HBT and Department - HBT01</t>
  </si>
  <si>
    <t>March 2019</t>
  </si>
  <si>
    <t>Termination rule was not matching with carrier system</t>
  </si>
  <si>
    <t>Vision: Update termination rule to be date of termination – Update as of 3/1/2019</t>
  </si>
  <si>
    <t>Client doesn't want the Voluntary AD&amp;D plan effective 03/01/2019 for new hires</t>
  </si>
  <si>
    <t>Voluntary AD&amp;D - Effective 03/01/2019 the Voluntary AD&amp;D plan is not available to new hires and the enrollments for the currently enrolled employees remain same.</t>
  </si>
  <si>
    <t>To add new Division - HBFF and Department - HBFF01 and Census Uploads</t>
  </si>
  <si>
    <t>The voluntary life rate was given to us without $0.02 for the AD&amp;D. We need to add $0.02 to the voluntary life rate.</t>
  </si>
  <si>
    <t>Voluntary Life Rates Changes and added Ad&amp;D Rate</t>
  </si>
  <si>
    <t>Client added new Location to the company</t>
  </si>
  <si>
    <t>To add new Location  87712</t>
  </si>
  <si>
    <t>The voluntary life plans should allow elections upto GI for Child Birth/Adoption and Marriage</t>
  </si>
  <si>
    <t xml:space="preserve">Child birth/Adoption: Child eligible for voluntary benefit of $10,000 = This coverage is only available if the employee has voluntary life coverage.
Marriage: Voluntary life benefit available to spouse newly eligible if the employee has coverage under this plan. The benefit is $10,000 increments, guarantee issue is capped at $50,000 and up to 100% of the employee’s benefit. The maximum benefit is capped at $250,000 and up to 100% of the employee’s benefit.
Qualifying events do not allow any benefit changes to existing amounts without EOI and approval from Mutual of Omaha.</t>
  </si>
  <si>
    <t>To match paylocity system</t>
  </si>
  <si>
    <t xml:space="preserve">Rename the existing department with the name “BP” to Business Innovation Services
Create a new Department “Involta One” with eligibility similar to “Regular FT”</t>
  </si>
  <si>
    <t>April 2019</t>
  </si>
  <si>
    <t>Client added new Departments to the company</t>
  </si>
  <si>
    <t>To add a two new Departments "110" and "114"</t>
  </si>
  <si>
    <t>To add a new location "58512"</t>
  </si>
  <si>
    <t>Benefits Passport URL Disabled</t>
  </si>
  <si>
    <t xml:space="preserve">Replace all links in the system from www.benefitspassport.com with www.benefitsjunction.com. 
Also, we need to update the email domains in the system: 
•	support@workforcejunction.com 
•	enrollmentsupport@workforcejunction.com
•	ibm.benefits@workforcejunction.com</t>
  </si>
  <si>
    <t>Broker is requesting to add a custom field</t>
  </si>
  <si>
    <t>To add a custom field on the “Work” tab field named "Paylocity Company Code"</t>
  </si>
  <si>
    <t>For the twice per month the payout date and the pay cycle end date are the same and need not be changed</t>
  </si>
  <si>
    <t>To change the Paycycle end date as the Payout Date for Bi-weekly paycycle</t>
  </si>
  <si>
    <t>Client added new Division to the company</t>
  </si>
  <si>
    <t xml:space="preserve">Change current Division name ALL Employees to – 0001 Deerfield Management Company
Create new Division – 0002 Deerfield Discovery &amp; Development, LLC</t>
  </si>
  <si>
    <t>kiranmai</t>
  </si>
  <si>
    <t>Rate in Carrier System and Benefits Junction is Not matching Hence BaaS Team Raised the CRF</t>
  </si>
  <si>
    <t>Rate for group / employer paid LTD needs to be changed from $0.19 to $0.20 per $100 of monthly covered payroll. This is a rate guarantee through 10/01/2019</t>
  </si>
  <si>
    <t>Rounding rule was not matching with carrier system</t>
  </si>
  <si>
    <t>Update the rounding rule to round down 10K for the vol Life plan for the benefit and for the GI.</t>
  </si>
  <si>
    <t xml:space="preserve">Met with the Ahern Team to review their CLDD.  They asked for the following changes to be made.
Under Division – Please add DO NOT USE next to – COBRA, COBRA OTHERS &amp; COBRA Terminated
Under Department – Please add DO NOT USE or INACTIVATE THE FOLLOWING DEPARTMENTS
Hill/Ahern, Marquette, Frank PRK, Orlando, Rockford</t>
  </si>
  <si>
    <t xml:space="preserve">Change the names for the following department by adding “DO NOT USE” to the existing names
Hill/Ahern, Marquette, Frank PRK, Orlando, Rockford
Change the name for the Following Division by adding “DO NOT USE” to the existing names
COBRA, COBRA OTHERS &amp; COBRA Terminated</t>
  </si>
  <si>
    <t>No Minimum Age Dependent Rule and Notification is updated on our system.</t>
  </si>
  <si>
    <t>Set up a “Minimum age Dependent rule and Notification” for Dental plan</t>
  </si>
  <si>
    <t xml:space="preserve">For the Identity Theft plan, updated the employee contribution for the EE only tier for “Combined” plan to $25.90
Updated the Legal plan EE tier rate to $16.95</t>
  </si>
  <si>
    <t>If a new hire elects HDHP, the workflow should not show the FSA healthcare in the workflow. We also to find a way to prevent employee from electing the HDHP at OE if they are already enrolled in FSA healthcare.</t>
  </si>
  <si>
    <t>Change the set up to have plan dependency between HDHP and FSA HC.  IF enrolled in HDHP, then they do not see FSA HC.</t>
  </si>
  <si>
    <t>May 2019</t>
  </si>
  <si>
    <t>It was originally set to 90 days then changed to 30 days.  It should have remained at 90 days for Critical Illness, but I looked at the wrong plan.</t>
  </si>
  <si>
    <t>Change the Rehire window period from 31 days to 90 days for Critical Illness plan</t>
  </si>
  <si>
    <t>The Subject for transaction Approval /Rejection email is incorrect</t>
  </si>
  <si>
    <t>Change the Subject line to read  "Pending Transaction Approved"  and  "Pending Transaction Rejected"</t>
  </si>
  <si>
    <t>Rehire Rule is not Matching with Client</t>
  </si>
  <si>
    <t>Change the Rehire window period to 90 days for all the staff and Professional plans</t>
  </si>
  <si>
    <t>Client added new Department to the company</t>
  </si>
  <si>
    <t>Added the new Department 9911 to all the plans and all the screens.</t>
  </si>
  <si>
    <t>For employee and dependent SSN field please add the following to the inline help: "ITIN NUMBERS NOT ALLOWED"</t>
  </si>
  <si>
    <t>Fiore requires SSN for all employees and dependents but some employees have entered their ITIN number in place of their SSN. So HR wants to add an inline note indicating ITIN numbers are not allowed.</t>
  </si>
  <si>
    <t>Added the 2 new Departments 112 and 119 to all the plans and all the screens.</t>
  </si>
  <si>
    <t>Rounding rule in Carrier System and Benefits Junction is Not matching Hence Jennifer (Broker) Raised the CRF to Change it as per carrier</t>
  </si>
  <si>
    <t>Updated rounding rule to "round up 10K" for benefits amounts and the GI.</t>
  </si>
  <si>
    <t>Effective 7/1/2019, the basic life age reduction schedule is being replaced. The new schedule: At age 75+, benefit reduces to 50%.</t>
  </si>
  <si>
    <t>Employees who are hired in May month were not getting the mentioned Kaiser plans because of the effective date becoming greater than newly added UHC plans.</t>
  </si>
  <si>
    <t>Kaiser Colorado, Kaiser NW Oregon, Kaiser HMO WA - The benefit effect date rule for new hires should be First of the Month Following 30 Day(s) from Date of Hire for Period Plan Year Jan 2000 - May 2019.</t>
  </si>
  <si>
    <t>June 2019</t>
  </si>
  <si>
    <t>Import files are received from vendor</t>
  </si>
  <si>
    <t>All fields on the Personal tab should be locked and not allowed to be edited by the employee.  Employee should only be allowed to update the following fields - Personal Email, Home Phone, Cell Phone, Marital Status and Martial Status Effective Date</t>
  </si>
  <si>
    <t>All fields  on the personal tab should be locked and not allwed to be edited by the empoyee. Employee should only be allowed to update the following fields - Personal email, home phone, cell phone, marital status and marital status effective date.</t>
  </si>
  <si>
    <t>Creative Management Technology Inc</t>
  </si>
  <si>
    <t>Please set up the waiting period for all  plans as FOMF or coinciding DOH.</t>
  </si>
  <si>
    <t>Waiting period for all  plans as FOMF or coinciding DOH.</t>
  </si>
  <si>
    <t>Client added 2 new Classes to the company</t>
  </si>
  <si>
    <t>Added the 2 new Classes  ProfessionaL 0.85 and Staff 0.85 to all the plans and all the screens.</t>
  </si>
  <si>
    <t>Client added 4 new departments</t>
  </si>
  <si>
    <t xml:space="preserve">Add new departments
105, 123. 122, 460
All the departments are eligible for all the benefits.</t>
  </si>
  <si>
    <t>We have removed the age reduction setup because client wants reduction to be happen on Plan Anniversary (1/1)and not on Birthday. Since we do not have this functionality on our system</t>
  </si>
  <si>
    <t xml:space="preserve">We have removed the age reduction setup because client wants reduction to be happen on Plan Anniversary (1/1)and not on Birthday. Since we do not have this functionality on our system we need to do this manually before the OE is started. (Passive Upload for the impacted records with reduced amounts OE effective date)
Employee: At age 65 - 35%, 70 - 55% and 75 - 75%
Spouse: At age 65 - 35% and 70 - 100%</t>
  </si>
  <si>
    <t>181352</t>
  </si>
  <si>
    <t>For billing purposes the client wants to breakout employees by department.</t>
  </si>
  <si>
    <t xml:space="preserve">Add following departments which should be eligible for all plans :
TSS
Triangle
Evergreen
EOC</t>
  </si>
  <si>
    <t>181373</t>
  </si>
  <si>
    <t>Client has changed the plan order for work flow</t>
  </si>
  <si>
    <t>Changed the plan order for work flow as per client request and removed Teledoc plan effective 06/01/2019</t>
  </si>
  <si>
    <t>July 2019</t>
  </si>
  <si>
    <t>180619</t>
  </si>
  <si>
    <t>EE’s in Employee class are not eligible for the ER LTD plan but there is an EE in this class that require the ER LTD plan due to their contract with the employer. Therefore, a new class needs to be created.</t>
  </si>
  <si>
    <t xml:space="preserve">Create a new class name ‘Employee ER LTD Eligible’. This class should match the Employee class except for  ER LTD needs to be add instead of the voluntary LTD.
Then, move Mary, ID 377607194, to the new class effective 1/1/2019. Enroll her in the same benefits and add the ER LTD plan.</t>
  </si>
  <si>
    <t>179522</t>
  </si>
  <si>
    <t>Due to the current set up in Benefits junction when an employee completes a QLE on the system selecting Divorce, it does not pend for HR approval.  This has caused an issue for HR as an employee’s divorce was not final and should not have been approved.  HR was not aware of the change as the transaction does not require HR approval and remove the spouse from all plans</t>
  </si>
  <si>
    <t>Remove “Divorce” in the drop down for employees to complete a QLE Divorce in the system.  Employees will need to contact HR or the WFJ Benefits Desk to complete a Divorce QLE</t>
  </si>
  <si>
    <t>181961</t>
  </si>
  <si>
    <t>There are rate changes that the Broker was not aware of back to 12/01/2018. They were discovered when the broker and carrier saw a discrepancy of what was being submitted.</t>
  </si>
  <si>
    <t xml:space="preserve">STD plans - Company Paid STD Plan 1 and Company Paid STD Plan 2 rate changed to .53 per $10.00 of coverage from 12/1/2018 to 11/30/2019.
Voluntary Life plans - Voluntary Life and AD&amp;D Plan 1 and Voluntary Life and AD&amp;D Plan 2 Child rate has been updated to 0.197 for the Dec 2018 to Nov 2019 period.</t>
  </si>
  <si>
    <t>181065</t>
  </si>
  <si>
    <t>Part of the ACA rules are that if an employee is currently enrolled in a medical plan and transition from FT to PT the employer must offer the employee medical coverage for 90 days.  If the employee works more than 30 hours in one week they must extend the medical plan for an additional amount of time.  This will be manually handled by the client.</t>
  </si>
  <si>
    <t>Create a new Division named – “FT to PT Transition”  When an employee is moved to this division all benefits except Medical, PTO Buy UP and Identity Guard benefits should terminate on the date of event.  If employee was enrolled in Dental or Vision this would be an event that would be sent to the COBRA carrier.  After the extended medical plan benefit ends HR at Ahern will then move the employee to Part Time Office Emp Division.  When the employee is moved to this division medical will be termed and will be eligible for Cobra.   In this division the employee will only be eligible for PTO Buy up and ID Theft.  Please see attached Grid.  Please note the client does not want any notifications sent to the employee when they are moved from one division to another.</t>
  </si>
  <si>
    <t>Workforce Junction</t>
  </si>
  <si>
    <t>180862</t>
  </si>
  <si>
    <t>Old pending EOI causing issues in data during OE for employees and HR</t>
  </si>
  <si>
    <t xml:space="preserve">We should delete/remove al the pending EOIs older than 90 days and then after OE, do an audit on multiple EOIs and remove the older EOIs and keep the latest. 
Remove the EOI's older than 90 days can be a system functionality. Add this to the backlog. Audit after Oe will be a task as part OE finalization</t>
  </si>
  <si>
    <t>Creative Hospice Care Inc. dba Homestead Hospice</t>
  </si>
  <si>
    <t>180752</t>
  </si>
  <si>
    <t>client needs 401(k) plan as affirmative plan</t>
  </si>
  <si>
    <t>Added new 401(k) Affirmative plan and terminated  old 401(k) information only plan.</t>
  </si>
  <si>
    <t>181915</t>
  </si>
  <si>
    <t>Create a Location named "41X Philly Tri-Plex" and made it eligible for all the plans</t>
  </si>
  <si>
    <t>181593</t>
  </si>
  <si>
    <t>Add new Location – "89922" to the system. This location is made available for all plans. Invoice setups for respective plans are also updated</t>
  </si>
  <si>
    <t>181692</t>
  </si>
  <si>
    <t xml:space="preserve">Added the new Location " The Views Holding".This new location is the exactly the same as Meadowview with the same rates and contribution schedule.
We have removed - 1) "Wellmark CompleteBlue Silver 2800 HMO and Wellmark CompleteBlue Silver 2800 PPO" for the location Jersey ridge.
2)  "Wellmark CompleteBlue Silver 4000 HMO, Wellmark SimplyBlue Bronze 5500 HMO and Wellmark Complete Blue 4000 Silver PPO" for the locations Aspen Heights &amp; Bavarian Meadows.
3) "Wellmark SimplyBlue Bronze 5500 HMO" for the location Blair house and Rosebush and added ""Wellmark SimplyBlue Bronze 5500 PPO".</t>
  </si>
  <si>
    <t>183472</t>
  </si>
  <si>
    <t>Client Renamed Location name on their system</t>
  </si>
  <si>
    <t>Renamed Location Blair House to Oakview of Burlington</t>
  </si>
  <si>
    <t>183967</t>
  </si>
  <si>
    <t>Clover Ridge Location has been terminated effective 07/31/2019</t>
  </si>
  <si>
    <t>Effective 07/31/2019 Clover Ridge Location is no longer part of HealthCare of Iowa.  Employees in this Location have been terminated. The name of the location renamed to  ‘Clover Ridge Location Termed 07312019’</t>
  </si>
  <si>
    <t>Gallanghar</t>
  </si>
  <si>
    <t>184093</t>
  </si>
  <si>
    <t>When the employee is logged in and clicks on “Contact Us” this needs to be changed from TrueNorth to Enrollment Support.   Phone Number should be listed as 877-745-6305.  The email address should be enrollmentsupport@workforcejunction.com</t>
  </si>
  <si>
    <t>New Location to be added 93192 Goldfine.</t>
  </si>
  <si>
    <t>August 2019</t>
  </si>
  <si>
    <t>185319</t>
  </si>
  <si>
    <t>Client Renamed Division name on their system</t>
  </si>
  <si>
    <t>Renamed Divisions  "700 - Customer Direct" To "700 - AIC Operations" and "750 - Customer Indirect" to "750 - AIC Indirect".</t>
  </si>
  <si>
    <t>CBIZ</t>
  </si>
  <si>
    <t>185311</t>
  </si>
  <si>
    <t>Ashley Osborne is no longer the Account Manager at the broker for this account. Please change all from emails or messaging to sandy.porter@cbiz.com.  See page 3 with screenshot</t>
  </si>
  <si>
    <t>Custom Emails from needs to be updated to Sandy.porter</t>
  </si>
  <si>
    <t>184172</t>
  </si>
  <si>
    <t>Employee changed their PCP in our system but noticed this didn’t get updated with the carrier. Found out that while the PCP feature is on for dental, we are not sending PCP to the carrier. This is causing a confusion and needs to be corrected.</t>
  </si>
  <si>
    <t>Turn off the PCP feature from the Dental DMHO TX plan and update the DMHO TX plan page and update Touchpoints. See Recon Dental PCD word doc for plan/touchpoints changes</t>
  </si>
  <si>
    <t>186384 &amp; 185550</t>
  </si>
  <si>
    <t>Carrier confirmed the termination rule as last day of the month following term date. Our system was setup as date of termination. Reached out to broker and confirmed the carrier is correct</t>
  </si>
  <si>
    <t>Please update the dental termination rule for status termination to reflect last day of month following date of termination</t>
  </si>
  <si>
    <t>186069</t>
  </si>
  <si>
    <t>HR came across an EE that added his DP details in the system without providing supporting documentation. HR confirmed the system should require documentation for all status changes.</t>
  </si>
  <si>
    <t>Turn on documentation requirement for all status change</t>
  </si>
  <si>
    <t>186015</t>
  </si>
  <si>
    <t>Two Locations – Penn Place &amp; The Garden have a medical open enrollment effective 09/01/2019.  We need to change the plans being offered and enter the new rates into the Rate Calculator the BAAS Team uses to create the carrier invoices.</t>
  </si>
  <si>
    <t>183501</t>
  </si>
  <si>
    <t>HR was helping an ee enter their Divorce in the system and instead of date of event, HR confirmed benefits should run till the end of the month. HR confirmed we should update the effective date rule for the divorce status change.</t>
  </si>
  <si>
    <t>Please update the effective date rule for Divorce to be effective first of the month following date of event</t>
  </si>
  <si>
    <t>183262</t>
  </si>
  <si>
    <t xml:space="preserve">Add new departments
127,134,340,449
All the departments are eligible for all the benefits.</t>
  </si>
  <si>
    <t>186421</t>
  </si>
  <si>
    <t>Client mentioned the rehire rule period should be 90 days. If employees are re-hired within 90 days then rule should be FOMF Date of Rehire.</t>
  </si>
  <si>
    <t>Change the Rehire window periond from 60 days to 90 Days for all plans for Class - Field employees only.</t>
  </si>
  <si>
    <t>Western Precooling Systems Inc</t>
  </si>
  <si>
    <t>186983</t>
  </si>
  <si>
    <t>Overage Dependent termination rules need to be the same for Medical and Dental Coverage. Medical plan is set up correctly as On the first day of the month following the 26th birthday. Dental Plan is set to When Dependent Turns age 26. This is causing an error on the Discovery Benefits File.</t>
  </si>
  <si>
    <t>Change Dental plan's overage rule to "First of the Month following the 26th Birthday"</t>
  </si>
  <si>
    <t>Srikanth Aradhya</t>
  </si>
  <si>
    <t>September 2019</t>
  </si>
  <si>
    <t>185201</t>
  </si>
  <si>
    <t xml:space="preserve">Iowa City Community School District (ICCSD) has adopted a new payroll system (eFinance, from
PowerSchool.) Some changes have been requested by the client to align the benefits administration
system, data and processes with the new payroll system.</t>
  </si>
  <si>
    <t xml:space="preserve">1.	Change the plan set up to make these classes not eligible for summer checks
2.	Change the plan set up for m/d/v  to make the rates based on class and update the new 19 based rate for employees in these classes
3.	Create another plan year for DC and update the DC numbers based on 19 pay period
4.	FSA- There are 25 employees enrolled in HC and 2 in Dep care. These employees will see incorrect per paycheck. All the new hires no issues because the remaining pay period are only 19 starting 9/1
5.	Vol Life update the information section to show the formula to calculate the premium
6.	Change the pay cycle for all the employees in this class to twice per month
7.	Add the new hires</t>
  </si>
  <si>
    <t>187906</t>
  </si>
  <si>
    <t>Remove Wellmark Complete Blue Silver 2800 HMO Plan for the Evans Group (location). They should only have the 2 UHC options assigned on the grid.</t>
  </si>
  <si>
    <t>Removed the Location - 'Evans' from the eligibility setup of Medical - Wellmark Complete Blue Silver 2800 HMO plan.</t>
  </si>
  <si>
    <t>Chriemberina Sloeio</t>
  </si>
  <si>
    <t>188006</t>
  </si>
  <si>
    <t>Currently all plans except Medical are set up based on 26 pay periods 24 deductions. Please use the same payroll schedule that is being used for the non Medical plans and apply to the Medical Plan. Medical Plan employee and employer rates are being entered into Benefis Junction by TrueNorth. They are entering the monthly cost. The system is taking the monthly and dividing by 26 pay periods. Please update to 24 pay periods. The amount should be half of what is being entered in BenJ per pay period.</t>
  </si>
  <si>
    <t>We created custom paycycle for the Medical plan   ( Custom plan) to show 24 pay periods like the other plans</t>
  </si>
  <si>
    <t>186031</t>
  </si>
  <si>
    <t>Updated the EOI Message to all the Sunlife plans as per the client request</t>
  </si>
  <si>
    <t>ALL PLANS SHOULD BE SET TO 24 DEDUCTION WITH 26 PAY PERIODS.</t>
  </si>
  <si>
    <t>Voluntary Accident, Cancer, Critical Illness, Supp Health Insur, Hospital Indemnity &amp; Voluntary STD are now updated with 24 deductions out of 26 payperiods</t>
  </si>
  <si>
    <t>188145</t>
  </si>
  <si>
    <t xml:space="preserve">TSS acquired two additional business entities earlier this year, named Evergreen, and EOC One,
with approximately 50 and 40 employees respectively. The employees of Evergreen and EOC One
will be offered the employee benefit program of TSS effective October 1, 2019. TSS would like to
have these employees also use Benefits Junction for enrollment, starting with the ‘Open
Enrollment’ of these employees into the TSS benefit program.</t>
  </si>
  <si>
    <t>We need to set up an open enrollment for Evergreen and EOC One. OE dates September 10th – 17th with benefits effective 10/1/2019. These employee don’t know that TSS bought them, so we need to remove all TSS branding.</t>
  </si>
  <si>
    <t>CRF not approved</t>
  </si>
  <si>
    <t>188954</t>
  </si>
  <si>
    <t>Please change the New Hire Enrollment window to 60 days from Date of Hire to make new hire elections.</t>
  </si>
  <si>
    <t>188783</t>
  </si>
  <si>
    <t>Client Added 2 New Department</t>
  </si>
  <si>
    <t>Added 2 New Department "135, and "142" and Eligible for all the plans</t>
  </si>
  <si>
    <t>189291</t>
  </si>
  <si>
    <t>Two Locations – Mill Valley &amp; Summit House have a medical open enrollment effective 10/01/2019.  We need to change the plans being offered and enter the new rates into the Rate Calculator the BAAS Team uses to create the carrier invoices.</t>
  </si>
  <si>
    <t>189634</t>
  </si>
  <si>
    <t>The EOI messages needs to be updated. Replace “NEW GROUP” with BHSG</t>
  </si>
  <si>
    <t>Employee questioned the client group number to fill out his EOI with SunLife. Voluntary Life is with Mutual Of Omaha. The EOI link text was correct but it was still linked to SunLIfe. Denna corrected the link but we still need to update client ID in the EOI message.</t>
  </si>
  <si>
    <t>190110</t>
  </si>
  <si>
    <t>Per Kelsea at Ahern all employees should receive the Welcome Letter.  All employees receive Legal Shield and will get the buy up option for PTO during open enrollment.   Once this has been set up can you please trigger the welcome letter to be sent to Josh Eveland.  He has not received the Welcome Letter only reminders.</t>
  </si>
  <si>
    <t>Per Kelsea at Ahern all employees should receive the Welcome Letter.  All employees receive Legal Shield and will get the buy up option for PTO during open enrollment.   Once this has been set up can you please trigger the welcome letter to be sent to Josh Eveland.  He has not received the Welcome Letter only reminders</t>
  </si>
  <si>
    <t>190027</t>
  </si>
  <si>
    <t>Broker changed from TrueNorth to Holmes Murphy.</t>
  </si>
  <si>
    <t>Please change the support email address to support@workforcejunction.com . Change the contact number to 877-582-8165. Also, any reference to TrueNorth in the system and touchpoint should be changed to Holmes Murphy.</t>
  </si>
  <si>
    <t>Srikanth</t>
  </si>
  <si>
    <t>October 2019</t>
  </si>
  <si>
    <t>190304</t>
  </si>
  <si>
    <t>The client has an employee that moved to part-time and no longer eligible for benefits. The EE enrolled in COBRA and HRPro who handles the COBRA in our system is not able to enroll the employee in COBRA in our system.</t>
  </si>
  <si>
    <t>To create a new class, Part Time COBRA, and make it eligible for Medical, Dental, Vision, and FSA HC. The ee is not termed and need to be enrolled in COBRA.</t>
  </si>
  <si>
    <t>190715</t>
  </si>
  <si>
    <t>The following Locations are having plan and rate changes effective 11/01/2019.  New Hampton, New Homestead/Winslow, Elkader/Great River, Edgewood, STL Care Centers.</t>
  </si>
  <si>
    <t>189097</t>
  </si>
  <si>
    <t>Guardian found a rate discrepancy during their annual reconciliation review performed in June 2019.</t>
  </si>
  <si>
    <t>This is correction to the current year rate for Employee only. Update the rates as indicated in the table below. The retro adjustment process has benen communicated to the decutions team in the ticket #189097</t>
  </si>
  <si>
    <t>191006</t>
  </si>
  <si>
    <t>Client required notifications on Pending Transaction</t>
  </si>
  <si>
    <t>To add Pending Transaction Alerts</t>
  </si>
  <si>
    <t>191124</t>
  </si>
  <si>
    <t xml:space="preserve">On the enrollment screen for Voluntary Short-Term Disability please add this language as an alert:
Your Voluntary Disability benefit through Mutual of Omaha will be off-set by any other Disability plan you may have outside of Acme.</t>
  </si>
  <si>
    <t>191259</t>
  </si>
  <si>
    <t>Update the voluntary life rates and update the summary in the system. Spouse will not purchase Voluntary Life/AD&amp;D once they have attained age 70.</t>
  </si>
  <si>
    <t>Removed 70 plus age rates for the Spouse in the system for Voluntary Life plan.</t>
  </si>
  <si>
    <t>190848</t>
  </si>
  <si>
    <t>To New-hire enrolment window period to 60 Days from upload date</t>
  </si>
  <si>
    <t>The client would like the enrollment window to be FOM following 60 days but allow employee to enter until their effective date.   I let them know this will be in a future release so for now they want 60 dyas from the date they enroll the employee.</t>
  </si>
  <si>
    <t>190508</t>
  </si>
  <si>
    <t>HR has employees that live in location that are underliverable by USPS or use temporary address and because of this they receive a lot of returned ID cards. Most employees are entering their home address, not their mailing address.</t>
  </si>
  <si>
    <t>Please enter “Enter Mailing Address” within the text field and a help message on the side that says “Enter the Address where you receive mail.” See the screenshot below</t>
  </si>
  <si>
    <t>192556</t>
  </si>
  <si>
    <t>Client wanted to be notified whenever there was Pending Transaction in the system</t>
  </si>
  <si>
    <t xml:space="preserve">Created a pending transaction alert with the following: 
Alexandra Flick – aflick@stellarindustries.com
Pam Jones – pjones@stellarindustries.com
Subject: New Pending Item to Review!
Body: Dear Admin,
You have a new pending item to review. Please login into the system to approve or reject this pending transaction.</t>
  </si>
  <si>
    <t>192354</t>
  </si>
  <si>
    <t>Client wanted to be add language under new Paragraph in Electronic Signature and in Confirm Elections page in the system</t>
  </si>
  <si>
    <t>Added the following to the Electronic Signature page as a new paragraph and added it to the confirm election page: I understand that by confirming my selections of benefits I electronically authorize Fiore and Sons, Inc. to deduct from my wages any premiums for benefits selected under their 125 Plan.</t>
  </si>
  <si>
    <t>193522</t>
  </si>
  <si>
    <t>Partner mentioned that Bellavance Trucking had some rate changes go into effect 9/1/2019</t>
  </si>
  <si>
    <t>Updated the STD and LTD rates effective 9/1/2019 and re-run the Sept. Oct and Nov billing statements. Rates: https://appriver3651007094-my.sharepoint.com/:b:/g/personal/juan_brito_workforcejunction_com/EXyM7fuZ8JNFnHulbSeiuagB8uo_E7iBwoKRo27RxjWPxw?e=ebHPbh</t>
  </si>
  <si>
    <t>192388</t>
  </si>
  <si>
    <t>BAAS team noticed billing discrepancies regarding retro rule which required carrier confirmation.</t>
  </si>
  <si>
    <t>Carrier confirmed, for additions, no premium for the first month unless hired on the 1st and same is updated</t>
  </si>
  <si>
    <t>193613</t>
  </si>
  <si>
    <t>Client Added New Department "152"</t>
  </si>
  <si>
    <t>Added New Department "152" and made it eligible for all the plans</t>
  </si>
  <si>
    <t>192930</t>
  </si>
  <si>
    <t>HR asked to correct an employee’s effective date. While reviewing the employee’s record we found that the EE was in the wrong division and class combination. Config team found that when we implemented the Mini Med plan, the “Eligible” division plan included the mini med plan. Later, a new division was created called “Eligible for Mini Med” for the Mini Med plan and employees in the Class 4 NE Driver but the Mini Med was not unchecked from the “Eligible” division.</t>
  </si>
  <si>
    <t>Unchecked the Mini Med plan from the “Eligible” division and corrected employees under the Class 4 NE Driver to the correct division .</t>
  </si>
  <si>
    <t>November 2019</t>
  </si>
  <si>
    <t>Some employees didn’t sign the Electronic Signature because this was implemented in May 2018 and this was turned on only for first time logins. HR now wants this on for every employee login.</t>
  </si>
  <si>
    <t>Turned on the Electronic Signature so employee’s are presented with the message everytime they log in.</t>
  </si>
  <si>
    <t>194163</t>
  </si>
  <si>
    <t>2 Locations names are changed</t>
  </si>
  <si>
    <t>changed names for the location "Rosebush" to "Ridgeview of Burlington" and "STL East" to "Transitional Care Center".</t>
  </si>
  <si>
    <t>191615</t>
  </si>
  <si>
    <t>The 3 officers in the company should not receive STD plan.  Please create an officer class and provide all benefits except the STD Plan.  See attached Grid</t>
  </si>
  <si>
    <t xml:space="preserve">Create the new class Officers set up the benefits as indicated above.
Change the class for the 3  employees to Officers effective 10/1/2019</t>
  </si>
  <si>
    <t>193047</t>
  </si>
  <si>
    <t>Voluntary Life for children should only have 1 option for 10k.</t>
  </si>
  <si>
    <t>Updated the Voluntary Life two plans for child coverage to have only 1 option for 10k. The  employee Polly Golliher who has 5k we remove the 5k option for Voluntary Life and enrolled child in 10K volume with effective 9/1/2019</t>
  </si>
  <si>
    <t>193272</t>
  </si>
  <si>
    <t>Broker noticed some employees were still receiving the Basic Life capped at $100K but employees hired after 1/1/2019 should be capped at $50K. New classes were created for this but we found out the client was not sending the new classes.</t>
  </si>
  <si>
    <t>For employees hired on or after 1/1/2019, we moved these employees to the correct class - RFT Full Time - Effective 1/1/2019 with “hire date". And enrolled them with latest effective date into Basic Life - Basic Life &amp; AD&amp;D $50K plan</t>
  </si>
  <si>
    <t>194442</t>
  </si>
  <si>
    <t>Deerfield has a new benefit advisor that wants to receive transaction alerts from the system.</t>
  </si>
  <si>
    <t>Added new admin alert for pending transacions to go to melissa.dobkin@assuredpartners.com.</t>
  </si>
  <si>
    <t>193764</t>
  </si>
  <si>
    <t>Lincoln was confirming an employee’s work location and HR/Broker found out the home locations was reported instead of the work locations. We’ve ask Upfield to start sending us the work location for Location (cldd) in our system but we need to correct the current work locations in the system.</t>
  </si>
  <si>
    <t>Correct the Location (CLDD) in our system for the employees mentioned in the conversation</t>
  </si>
  <si>
    <t>195072</t>
  </si>
  <si>
    <t>4 Groups have Medical Plan changes for the month of December 2019.  Per the attached Grid please make the updates.  Rikki will be providing the age banded rate sheets shortly and I will provide to Renuka to update the Billing Tool.</t>
  </si>
  <si>
    <t>4 Groups have Medical Plan changes for the month of December 2019.  Per the attached Grid please make the updates</t>
  </si>
  <si>
    <t>195010</t>
  </si>
  <si>
    <t>Please add a new class “PRN” If class is PRN they should not be offered any benefits. If someone moves from a current class to PRN benefits should terminate at the end of the month following being moved to PRN. Russ was on the call with me and he confirmed this will take care of the Paylocity issue that is currently happening with PRN’s coming over on the file.</t>
  </si>
  <si>
    <t>Create the new class”PRN and make it not eligible for any benefit. Also update all other screens with the new class</t>
  </si>
  <si>
    <t>193514</t>
  </si>
  <si>
    <t>TrueNorth requested that we have no cap rule for MetLife.</t>
  </si>
  <si>
    <t>Retro rules for Metlife plans of HCI should be changed from "Retro Cap of 2" to "0" (no retro cap)</t>
  </si>
  <si>
    <t>196166</t>
  </si>
  <si>
    <t xml:space="preserve">Per carrier Principal we need to send over the full Volume and not the reduced volume for Principal Plans.
Please remove all Principal Plans that have age reduction set up.</t>
  </si>
  <si>
    <t>Please remove the age reduction set up from all the Principal plans. This is required for EDI to pick up the full coverage amount. Carrier will manage the age reduction. Janice is checking with Principal regarding the ee deductions</t>
  </si>
  <si>
    <t>196155</t>
  </si>
  <si>
    <t>TrueNorth requested that we have no cap rule for all carries and all plans</t>
  </si>
  <si>
    <t>Retro rules for all carries and  plans of HCI should be changed from "Retro Cap of 2" to "0" (no retro cap)</t>
  </si>
  <si>
    <t>December 2019</t>
  </si>
  <si>
    <t>196174</t>
  </si>
  <si>
    <t>"Employee Gained other Coverage" Status Change event Was not available when this client was implemented</t>
  </si>
  <si>
    <t>"Employee Gained other Coverage" Status Change event is now enabled for all the plans</t>
  </si>
  <si>
    <t>198556</t>
  </si>
  <si>
    <t>Submiting the EOI requires the policy number.</t>
  </si>
  <si>
    <t>Added the policy number to the Voluntary Life EOI message. Policy number GVTL-0AYPT.</t>
  </si>
  <si>
    <t>198239</t>
  </si>
  <si>
    <t xml:space="preserve">The following Locations are having plan and rate changes effective 01/01/2020.
HCI/ ALP/Diversacre /Wellington Place/Ridgeview/Evans/Meadoview/The views of Marion.
Added 4 new medical plans effective 1/1/2020 and eligibility updated as per the grid and 2 plans are getting termed effective 1/1/2020.
Location "Wellington place" No change in plan and have rate changes.</t>
  </si>
  <si>
    <t xml:space="preserve">The following Locations are having plan and rate changes effective 01/01/2020.
HCI/ ALP/Diversacre /Wellington Place/Ridgeview/Evans/Meadoview/The views of Marion.</t>
  </si>
  <si>
    <t>196050</t>
  </si>
  <si>
    <t>Discrepancies were observed in invoice reconciliation activity for Voluntary Life plan. Premium calculations on BenJ differ from Principal. BenJ uses Plan effective date and Principal uses Plan Anniversary date for new hires. Reached out to principal and they confirmed plan anniversary date.</t>
  </si>
  <si>
    <t>Changed the base rate for calculating the rate for new hires to Plan Anniversary</t>
  </si>
  <si>
    <t>192953</t>
  </si>
  <si>
    <t>Voluntary Life - System to reflect the benefit reduction of 35% at age 65 for the spouse and then termination at age 70.</t>
  </si>
  <si>
    <t>Voluntary Life - Updated age reduction of 35% at age 65 for the spouse and then termination at age 70</t>
  </si>
  <si>
    <t>199428</t>
  </si>
  <si>
    <t>Client wants to present deductions based on salary bands.</t>
  </si>
  <si>
    <t>Added 3 New class "$12 less than $15", $15 less than $18, "Regular" and made it eligible for all plans . Made Medical Decution rates based on class and updated the rates</t>
  </si>
  <si>
    <t>198236</t>
  </si>
  <si>
    <t>Client wants to create a retiree subgroup – with one person in it now (Kaplan, Jeffrey). This group is eligible for medical and dental coverage only.</t>
  </si>
  <si>
    <t>Added a new class called Retiree effective renewal date, eligible for Medical and Dental benefits only. Added the one person (Kaplan, Jeffery) to this class.</t>
  </si>
  <si>
    <t>January 2020</t>
  </si>
  <si>
    <t>201149</t>
  </si>
  <si>
    <t>Added New department "9" and Eligible for all plans</t>
  </si>
  <si>
    <t>BAAS Team found a mismatch in premium for the Basic Life/AD&amp;D. Jennifer confirmed the rates have changed effective 10/1/19.</t>
  </si>
  <si>
    <t>Effective 10/1/2019, please update both basic life plan rates to $0.19 per $1000 and AD&amp;D rate to $0.03 per $1000</t>
  </si>
  <si>
    <t>202229</t>
  </si>
  <si>
    <t>To Match the STD rates with payroll system rates</t>
  </si>
  <si>
    <t>Update STD rates effective 1/1/2020 to match with payroll rates</t>
  </si>
  <si>
    <t>197208</t>
  </si>
  <si>
    <t>Basic Life termination date needs to be changed from Date of Termination to end of the month following termination date. On the EDI file we need to pass last day of the month plus 1</t>
  </si>
  <si>
    <t>Basic Life termination rule needs to be changed from Date of Termination to end of the month following termination date. On the EDI file we need to pass last day of the month plus 1 day. Example – if employee terminates on 01/09/2019 the termination date in the system would show 01/31/2020 on the EDI file the date of termination should be 02/01/2020.</t>
  </si>
  <si>
    <t>202110</t>
  </si>
  <si>
    <t>Rikki said Vol life rates need to be updated for HCI</t>
  </si>
  <si>
    <t>Create another plan year to start from 1/1/2020 and update the rates for vol life plans</t>
  </si>
  <si>
    <t>200322</t>
  </si>
  <si>
    <t>Client it terminating at the end of this month. FSA and HSA is no longer handled in our system for 2020.</t>
  </si>
  <si>
    <t>We have ended the HSA period plan year to 12/31/2019 and removed the HDHP plan from HSA Plan Setups for 2020.</t>
  </si>
  <si>
    <t>203160</t>
  </si>
  <si>
    <t>Division 80 Columbus OH needs to be changed to Division 80 Conway SC</t>
  </si>
  <si>
    <t>203259</t>
  </si>
  <si>
    <t>New hire enrollment was changed to 14 days at OE per broker’s request. HR is now requesting EE should be allowed to have 30 days to enroll from hire date.</t>
  </si>
  <si>
    <t>Update the NHE rules for all the plans</t>
  </si>
  <si>
    <t>203321</t>
  </si>
  <si>
    <t>Spouse voluntary AD&amp;D rate updated from $0.049 to $0.020 effective 01/01/2020 for both Salary and Hourly. The employee voluntary AD&amp;D rate stays the same.</t>
  </si>
  <si>
    <t>202114</t>
  </si>
  <si>
    <t>AR found a mismatch in rates while doing the recon for the Cigna medical bill. Broker confirmed the HDHP includes an admin fee of $4.95 for the HSA</t>
  </si>
  <si>
    <t>Updated the Medical Rate with  Ben admin fee as $4.95.</t>
  </si>
  <si>
    <t>199566</t>
  </si>
  <si>
    <t>Due to billing discrepancies we found out the employees cannot make changes at any time to CI plan. They can make changes only through status change or OE. Critical Illness is currently set up as editable at any time.</t>
  </si>
  <si>
    <t>Please update the Critical Illness to allows changes only through a status change or at OE. Similar setup as the Accident and GHI.</t>
  </si>
  <si>
    <t>202785</t>
  </si>
  <si>
    <t>Demographic file came over with new departments. Confirmed with EDI team this will not affect the current files.</t>
  </si>
  <si>
    <t xml:space="preserve">Please create new departments which should be eligible for all plans:
Network Operations
PolyOne
DC Network</t>
  </si>
  <si>
    <t>202966</t>
  </si>
  <si>
    <t>Broker provided the COBRA equivalent rates during open enrollment and not the self insured rates that included stop loss and admin fees. Since we do the billing we need to have the rates updated in Benefits Junction</t>
  </si>
  <si>
    <t>We should update the flat amount of $776.01 for all tiers for both the BRMS plans under the EE premium column in the invoice rate structure. Our current rate structure do not have all the components that they have indicated. Because of this, we are unable to save the rate in the structure provided. However, what matters is the total premium for each employee. Just updating the total amount in the EE premium column will be sufficient.</t>
  </si>
  <si>
    <t>203470</t>
  </si>
  <si>
    <t>Added New Department "540 Product Management" and Made it Eligible for All plans</t>
  </si>
  <si>
    <t>203595</t>
  </si>
  <si>
    <t>HR found out from the carrier that changes in class should be effective date of change instead of first of the following month</t>
  </si>
  <si>
    <t>For the Executive LTD and the Executive LTD Grandfathered plan, change the class rule to Date of Class and Termination rule to Date of Termination for class change. Please update the class rule for both plans.</t>
  </si>
  <si>
    <t>203324</t>
  </si>
  <si>
    <t>In review of FSA discrepancies, we found out from the client that when EEs move to LOA w/o benefits class, they keep the FSA active unless the employee request to terminate the benefit.</t>
  </si>
  <si>
    <t>Creating a new class will affect EDI. Instead, please make both the FSA plans eligible for the Class: Leave of Absence without benefits. CRM will let the client know going forward moving ee’s to this class will not terminate the FSA. They will need to let us know if the employee wants to terminate the FSA which we’ll update manually .</t>
  </si>
  <si>
    <t>February 2020</t>
  </si>
  <si>
    <t>203720</t>
  </si>
  <si>
    <t>Lincoln confirmed how the Dep Life for Basic Life should be processed but we missed it. The broker caught this and had us reconcile the dep life back to 1/1/19. Instead of billing per dep, we should be billing per family unit. So if the EE has 1, 2, or 3 deps, it’s only 1 family unit that we should be billing.</t>
  </si>
  <si>
    <t xml:space="preserve">For Basic Life and AD&amp;D - $25k, instead of billing per dependent we should be billing per family unit. So the number of deps doesn’t matter. If the ee has 1 dep or 4 deps, we should be billing per family unit of $1.58.
Update the invoice set up to have $1.58 for dependents. Instead of spouse and per child. Changes you make is Delete the entry for spoue and Per child add $1.58 and choose Dependents</t>
  </si>
  <si>
    <t>A new department has been sent over on the demographic file. Currently, this will not affect the EDIs.</t>
  </si>
  <si>
    <t>Please create a new department - Internal IT with effective 1/1/2020. This dept should be eligible for all plans similar to the other depts.</t>
  </si>
  <si>
    <t>204753</t>
  </si>
  <si>
    <t>16 New Departments has been sent over on the demographic file. Currently, this will not affect the EDIs.</t>
  </si>
  <si>
    <t>Please add the following departments: FP&amp;A, Finance, Private Cloud Services, Kent, Public Cloud Services, Architecture &amp; Orchestration, NOC, SOC, Legal, Strategic Accounts, Human Resources, Vendor Management, Consulting &amp; Hybrid Services, Strategic Verticals, Strategic Consulting, and Accounting</t>
  </si>
  <si>
    <t>205346</t>
  </si>
  <si>
    <t>Reviewing the CDS, I notice we did not have a pending transaction notification set up for Acme even tho the CDS confirms a pending transaction notification is sent to HR</t>
  </si>
  <si>
    <t xml:space="preserve">Please create a pending transation notification for benefits@acmetruck.com. 
Subject: New Pending Item to Review!
Email: Dear Admin,
You have a new pending item to review. Please login into the system to approve or reject this pending transaction.</t>
  </si>
  <si>
    <t>205205</t>
  </si>
  <si>
    <t>Received updated rates for Jersey Ridge renewal – effective 3/1/2020</t>
  </si>
  <si>
    <t>Rates are provided in the conversation. 1 CSO will be sent for this and convo #205205</t>
  </si>
  <si>
    <t>204999</t>
  </si>
  <si>
    <t>The broker asked if the electronic consent is currently enabled but I confirmed the consent was live only during the OE.</t>
  </si>
  <si>
    <t xml:space="preserve">Please enable the electronic consent going forward for new hires.
We have added a new Electronic disclosure for 1/1/2020 for New hire and registered employees on the first login.</t>
  </si>
  <si>
    <t>205206</t>
  </si>
  <si>
    <t xml:space="preserve">New Locations to be added – Fort Madison and Montrose.  Same medical plans but different rates.  
Plans - Basic Life $10,000 Plan, Voluntary Dental, Voluntary Vision, Voluntary Life, Voluntary STD, Flex, Allstate Plans, Medical. Please see linked Grid for details</t>
  </si>
  <si>
    <t>New locations, new medical plan, new rates</t>
  </si>
  <si>
    <t>204184</t>
  </si>
  <si>
    <t>Client is using a new HRIS system and we need to add new departments in our system.</t>
  </si>
  <si>
    <t xml:space="preserve">New departments to be added in the system: 
Facilities
Manufacturing
Sales
HR
IT
R&amp;D</t>
  </si>
  <si>
    <t>205985</t>
  </si>
  <si>
    <t>AR team received a demographic file with a new department</t>
  </si>
  <si>
    <t>Added New Department 24 and made it eligible for all plans</t>
  </si>
  <si>
    <t>205802</t>
  </si>
  <si>
    <t>Please create a new Class – “FT Limited Benefits” This Class should only receive the Medical, Dental &amp; Vision option. If they elect HDHP they should have the HSA option. No other benefits should be offered for this class. Rates are the same as other FT employees.</t>
  </si>
  <si>
    <t>Please create a new Class – “FT Limited Benefits” This Class should only receive the Medical, Dental &amp; Vision option. If they elect HDHP they should have the HSA option. No other benefits should be offered for this class. Rates are the same as other FT employees. This does not affect EDI files, but they need to be aware of it so they can include the new class on the files.</t>
  </si>
  <si>
    <t>205699</t>
  </si>
  <si>
    <t>HR wants to collect employees’ nicknames to use in communications.</t>
  </si>
  <si>
    <t>As Dilip has stated in the icket, please add a custom text field under Personal Info called Preferred Name. The field needs to be configuted so the data can be reported in the custom reports.</t>
  </si>
  <si>
    <t>205703</t>
  </si>
  <si>
    <t>An employee’s salary was decreased and we found out that the system will not auto adjust the coverage for the voluntary LTD and we found out that the rounding rule should be rounding up to the nearest $100. SunLife confirmed this EE should be capped at $2000.</t>
  </si>
  <si>
    <t>Please update the Voluntary LTD rounding rule to round up to the nearest $100</t>
  </si>
  <si>
    <t>206434</t>
  </si>
  <si>
    <t>Carrier Change for Group Life, Voluntary Life, STD &amp; LT effective 03/1/2020</t>
  </si>
  <si>
    <t>Group Life, Voluntary Life, STD &amp; LTD are moving to Voya as the carrier as of 03/01/2020. The client confirmed that the setup rules are the same as the current set up. We need to copy current plan and change carrier to Voya. Voya plans are effective 03/01/2020. The rates for the Basic Life and the STD plans are changing</t>
  </si>
  <si>
    <t>201947</t>
  </si>
  <si>
    <t>The client has DC setup and found employees with an incorrect employer contribution for the FSA. The broker provided the EE Rates and credits. The config team review the current setup vs what the broker sent and found the rate for the Traditional plan EE only needs to be corrected.</t>
  </si>
  <si>
    <t xml:space="preserve">Per Pratyush’s confirmation, please update the Medical - Traditional plan EE only to reflect $441.28 so the DC credit reflects $21.
(We have updated the rate to 478.05 after doing the calculations for 24 deductions).</t>
  </si>
  <si>
    <t>March 2020</t>
  </si>
  <si>
    <t>205967</t>
  </si>
  <si>
    <t>Wellmark is allowing FT unmarried students to remain on the plan. TrueNorth/Involta will track FT students’ marital status. Non-FT students lose coverage at the end of the month that they turn 26. We need to set up a minimum age limit for Involta.</t>
  </si>
  <si>
    <t>Set up a minimum age limit for non full time students. Coverage ends at the end of the month that they turn 26 for Medical plan only.</t>
  </si>
  <si>
    <t>206987</t>
  </si>
  <si>
    <t>Data Integration is working a new carrier file for Involta. They found out from Lincoln that LTD is divided into two Class: Officers and All Other FT. Jennifer provided the list of officers but there is no way to map with our current CLDD offering. So we need to create a new class “Regular Full Time Officer”.  Involta will add this class in Paylocity and update officers in Palocity with the new class so it flows over to our system thru the demographic file.</t>
  </si>
  <si>
    <t>Please create a new class “Regular Full Time Officer”. Eligibility should match the Regular Full Time class</t>
  </si>
  <si>
    <t>208072</t>
  </si>
  <si>
    <t>HR noticed an employee’s spouse rate for voluntary life changed but the carrier still showed the old rate. After reviewing the record, the spouse coverage was reduced due to the age reduction schedule. Then we found out the age reduction schedule is wrong</t>
  </si>
  <si>
    <t xml:space="preserve">Reduction is based on employee age and the spouse ages for reductions match as follows: Reduce by 35% at age 65 Reduce an additional 25% at age 70 Reduce an additional 15% at age 75 Reduce an additional 10% at age 80 
EEID: 1408, we corrected the spouse voluntary life coverage in the system to the original volume.</t>
  </si>
  <si>
    <t>205957</t>
  </si>
  <si>
    <t>We were informed that ICCSD is changing their carriers effective 4/1. Wellmark is replacing UMR and Discovery Benefits will be taking COBRA over 4/1. DB will also be taking over FSA 7/1.</t>
  </si>
  <si>
    <t>Create new plans with wellmark with 4/1/2020 and move enrollments. Please see the DC premiums are updated accordingly. Also create plan on TP and update plan codes for Pocketpal.</t>
  </si>
  <si>
    <t>204160</t>
  </si>
  <si>
    <t>Stellar received several letters from AllState denying members coverage for not completing EOI. The CI plan is subject to EOI but since the plan is tier based we can’t set up EOIs. So the broker has asked to reverse the changes made at open enrollment.</t>
  </si>
  <si>
    <t xml:space="preserve">The changes made at open enrollment. If they didn’t have coverage, it should be $0. If they did have coverage and added/removed dependents or increased their benefits, that change should be reversed. 
New Enrollment setup for Status Changes are unchecked because the employee shouldn’t be able to enroll in the CI outside of the newhire period. If the employee is enrolled, and has a qualifying event to add spouse/child, they should be allowed to add the spouse/child within 30 days.</t>
  </si>
  <si>
    <t>Reeser Group</t>
  </si>
  <si>
    <t>209571</t>
  </si>
  <si>
    <t>In order to accommodate all the rules for hires, rehires and class change, updae the waiting period rules and termiantiopn rules as indicated in the blow link https://appriver3651007094.sharepoint.com/:w:/g/EXalccLybyhEmSRiPV2Bcg4Bi-HdycIMxVD2wccOgGLd0Q?e=VHu0AC</t>
  </si>
  <si>
    <t>Update the system based on instructions in the below link https://appriver3651007094.sharepoint.com/:w:/g/EXalccLybyhEmSRiPV2Bcg4Bi-HdycIMxVD2wccOgGLd0Q?e=VHu0AC</t>
  </si>
  <si>
    <t>210031</t>
  </si>
  <si>
    <t>Please a add a new department: 30. This department should be eligible for all plans similar to the other departments</t>
  </si>
  <si>
    <t>April 2020</t>
  </si>
  <si>
    <t>210552</t>
  </si>
  <si>
    <t>HR was alerted that an EEs childbirth was showing effective first of the following month. HR confirmed this status change should be effective date of event.</t>
  </si>
  <si>
    <t>updated the childbirth status change to be effective date of event, and correct the employee’s record based on this rule change..</t>
  </si>
  <si>
    <t>210332</t>
  </si>
  <si>
    <t>Change the current Class “LOA with Benefits” to allow benefits eligibility for Medical Plans only. Effective from April 1. Before this change is made, identify the employees currently impacted and inform them of the change..</t>
  </si>
  <si>
    <t>Employees going on LOA must have ONLY Medical plan coverage. IBM is finding it difficult to collect the employee contributions</t>
  </si>
  <si>
    <t>211097</t>
  </si>
  <si>
    <t xml:space="preserve">All Demographic Fields are turned off for employees to update.
*Fields Employee cannot update:
First Name
Middle Name
Last Name
SSN
Date of Birth
Gender
Address
City
State
Zip</t>
  </si>
  <si>
    <t xml:space="preserve">In Employee login Personal Info the following fields are editable by employee - Personal Email
Home Phone
Mobile Phone
Marital Status
Marital Status Effective Date
Number of Children</t>
  </si>
  <si>
    <t>211051</t>
  </si>
  <si>
    <t>A recent demographic file came over with a new location that needs to be added to the system.</t>
  </si>
  <si>
    <t>add a new location North Olmstead. The eligibility should match the other locations</t>
  </si>
  <si>
    <t>209475</t>
  </si>
  <si>
    <t>Hammer Williams has variable hour employees. When EE passes their measurement period and become eligible, HR was entering the EE as a full time EE with the benefit elig. date as their hire date. Once the EE failed to meet the full time requirement, HR changed the EE class to Part Time which terminated the benefits and COBRA was offered. Instead the ee should remain enrolled until the next measurement period.</t>
  </si>
  <si>
    <t>created a new class named, Part-Time Eligible. The class should be eligible for all benefits except for LTD plan..</t>
  </si>
  <si>
    <t>211849</t>
  </si>
  <si>
    <t>Per the broker’s request please make the Mobile Phone Number a required field on the Employee Profile Page.</t>
  </si>
  <si>
    <t>Make the mobile phone number a a required field</t>
  </si>
  <si>
    <t>211663</t>
  </si>
  <si>
    <t>Please update the Effective date to “Date of Event” for Life Events for all plans for medical coverage for the following events: *Newborns *Children placed for adoption *Children placed for foster care</t>
  </si>
  <si>
    <t>211882</t>
  </si>
  <si>
    <t>Plan Dependency</t>
  </si>
  <si>
    <t>Per the client the Basic Life Plan is tied to the Medical Plan. If employee enrolls in the medical plan they should be enrolled in the Basic Life Plan. If the employee has a life event and cancels medical plan, the Basic Life Plan should also terminate. Client says this should have been set up this way when they originally when they moved to Mutual of Omaha for Basic Life. This needs to be updated for Owner and All other</t>
  </si>
  <si>
    <t>This can be handled by setting up plan dependency for basic life and medical plan. Set up the plan dependency such a way that, If enrolled in medical then eligible for basic life</t>
  </si>
  <si>
    <t>193234</t>
  </si>
  <si>
    <t>The rates for Legal Shield were changing for Open Enrollment 10/01.  The Billing Invoices continued to have incorrected rates and we have been working with Jennifer for MONTHS to get this resolved.  We finally received final rates and set up.</t>
  </si>
  <si>
    <t>Updated the Rates  for Identity Theft  plans effective 10/01/2019</t>
  </si>
  <si>
    <t>211636</t>
  </si>
  <si>
    <t>HR reach out to confirm the waiting periods for part-time to full-time changes. HR confirmed the waiting period for Class changes should be First of the Month Following 60 Day(s) from Date of Change.</t>
  </si>
  <si>
    <t>Update effective date rule for Class change to First of the Month Following 60 Day(s) from Date of Change for all plans.</t>
  </si>
  <si>
    <t>211655</t>
  </si>
  <si>
    <t>HR found that the Symetra plan (Limited Medical Gap) submitted for OE are wrong. The rates from last year continue for this plan.</t>
  </si>
  <si>
    <t>Please correct the rates in the system and for everyone enrolled in the limited medical gap plans. The rates from last year continue for 2020.</t>
  </si>
  <si>
    <t>212831</t>
  </si>
  <si>
    <t>The client has asked if we could add the name of the city next to the location for 7 locations that are already set up in the system.  They just need the additional city name added</t>
  </si>
  <si>
    <t>added the city next to the location for 7 locations that are already set up in the system.  we just need the additional city name added</t>
  </si>
  <si>
    <t>May 2020</t>
  </si>
  <si>
    <t>212992</t>
  </si>
  <si>
    <t>New department came over on the demographic file.</t>
  </si>
  <si>
    <t>new deparment: SLA Apps. The department should eligible for all plans just as the other departments.</t>
  </si>
  <si>
    <t>211346</t>
  </si>
  <si>
    <t>While reviewing, the product team found dependent enrollments missing from the Basic Life plan when comparing the 2020 with 2019. In this we also found the dependent rate was not set up correctly. The dependent rate is based on family unit not per dependent.</t>
  </si>
  <si>
    <t>Update the Basic Life plan rate to include $0.69 flat for dependents. Also do tha data fix to update the missing enrollments for dependnets for this plan.</t>
  </si>
  <si>
    <t>203677</t>
  </si>
  <si>
    <t>With the ADP file intergrations we need to have a class “PRN”  These employee are not eligible for any benefits.  If someone moves from FT to PRN all benefits should terminate following the plan type rule if someone moves from FT to PT.</t>
  </si>
  <si>
    <t>New Class PRN added with no eligibility to any benefits</t>
  </si>
  <si>
    <t>213533</t>
  </si>
  <si>
    <t>In file testing with Wellmark, we were receiving errors for the retiree subgroup. We found that ICCSD has two retiree groups that need to be tracked in BenJ.</t>
  </si>
  <si>
    <t>Create another Location Retired B and Rename the existing to Retired A. Based on the list provided in the ticket, please update the location for the employees.</t>
  </si>
  <si>
    <t>210003</t>
  </si>
  <si>
    <t>Per Mutual of Omaha as of 01/01/2020 the Age Reduction Schedule has changed. Age Reduction does not begin until age 75. There are a few employees who are over age 65 and their volumes were reduced per the old set up. The system is correct showing to begin age reduction at age 75. The employees that were affected by age reduction beginning at age 65 need to be updated in the system back to their 100% of the amount elected.</t>
  </si>
  <si>
    <t>200431</t>
  </si>
  <si>
    <t>A&amp;R Team asked that we update the self-insured rates in the system based on the updated Billing Checklist from carrier.</t>
  </si>
  <si>
    <t xml:space="preserve">Update the Invoice set up as per CRF in #200431for all the Medical Plans.
The sum of Specific stop loss and Aggregae stop loss should be  added under Stop less.
And Claim Admin values under Admin Fee column.
The Benefit company commission and data analytics are not added in the system, they will be handled manually by A&amp;R Team.</t>
  </si>
  <si>
    <t>214310</t>
  </si>
  <si>
    <t>Employee received a system nofication regarding the overage rules. We found out that the dental and voluntary life overage rule needs to be updated to first of the month following the 26th birthday.</t>
  </si>
  <si>
    <t>Please update the overage rule for dental and voluntary life to ‘first day of the month following the 26th birthday’.</t>
  </si>
  <si>
    <t>Russ and Janice had a call with the Account Exec and Billing Resourses Group this morning. Finally we have resolved the rate issue and need to have the rates updated again in Benefits Junction back to 10/01/2020.</t>
  </si>
  <si>
    <t>Update the rates as shown below in the table for the current plan year for all 3 Identity theft plans</t>
  </si>
  <si>
    <t>213193</t>
  </si>
  <si>
    <t>EDI team was working on a new layout to report the Transamerica plans and in testing we found the rates were setup wrong. The EE + SP rate is the same as the EE + Fam.</t>
  </si>
  <si>
    <t>Currently there are 2 plans and that was created long back because the waiting period rules were different. However, now the rules are same. Hence, create only one 4 tier plan and move the enrollments to new plan and coverage mapping with same effective dates..</t>
  </si>
  <si>
    <t>June 2020</t>
  </si>
  <si>
    <t>215703</t>
  </si>
  <si>
    <t>Per the set up for Class Change – First of the month following 0 days from Date of Class change. The client would like the class change to be the same as the New Hire Rule - First of the Month Following 60 Day(s) from Class Change Effective Date.</t>
  </si>
  <si>
    <t>Updated the Class change rule to be the same as the new hire for all plans: FOM Following 60 days from date of Class change</t>
  </si>
  <si>
    <t>215207</t>
  </si>
  <si>
    <t>Please add a new Location “DCA” All benefit offered and rates are the same as other “Locations”</t>
  </si>
  <si>
    <t>Update the new location in the system in al the screens</t>
  </si>
  <si>
    <t>216357</t>
  </si>
  <si>
    <t>Please add new Division - 98 Spartanburg – rates and contributions are the same as all other Divisions.</t>
  </si>
  <si>
    <t>Update the new Division -  98 Spartanburg in all the screens in the system</t>
  </si>
  <si>
    <t>213525</t>
  </si>
  <si>
    <t>A new store has been added by Hammer Williams so we need to create a new department.</t>
  </si>
  <si>
    <t>Please a new department, 321. Eligibility should be the same as the other departments.</t>
  </si>
  <si>
    <t>214096</t>
  </si>
  <si>
    <t>Change the Waiting Period for new Hires, Rehires and Class changes to “First of the Month Following 61 Days from Date of Hire”   The carrier does not count the hire date as day 1, which has caused an effective date issue for an employee hired on 03/02/2020</t>
  </si>
  <si>
    <t>Update the waiting period to 61 days for all plans for new hires, rehires and class changes</t>
  </si>
  <si>
    <t>Per HR, store 140 &amp; 142 needs to move under  Williams Capital and store 642 needs to move to Venture</t>
  </si>
  <si>
    <t>We need to create two new divisions: Williams Capital and Venture Enid 2013. These divisions should match the Hammer Williams division eligibility. Then EEs in departments 140 &amp; 142 should be moved to Willians Capital and EEs in department 642 needs to be moved to Venture Enid 2013. Use the 6/1/2020 for the division change effective date</t>
  </si>
  <si>
    <t>216720</t>
  </si>
  <si>
    <t>Please add a new Department 606-CCDI Aide. This Department needs to be added to Health Care of Iowa as well as the open enrollment site HCI.</t>
  </si>
  <si>
    <t>217184</t>
  </si>
  <si>
    <t>The Age Band Premiums are currently set to change on Employees Date of Birth. Jennifer is requesting we change the set up to Plan Anniversary for Critical Illness.</t>
  </si>
  <si>
    <t>Updated the Age band anniversary rule from Birthday to Plan Anniversary for Critical Illness. And given the impacted employees in the Helpscout conversation #217184.</t>
  </si>
  <si>
    <t>217168</t>
  </si>
  <si>
    <t>Please set up age reduction for voluntary Life – Benefits should reduce by 35% at age 65 and by 50% at age 70, employee reduction is based on employee age, spouse reduction based on spouses age. Please make sure employee or spouse over 65 have the appropriate age reduction applied.</t>
  </si>
  <si>
    <t xml:space="preserve">Updated the age reduction set up for Voluntary Life for both Employee and Spouse.
Benefits will reduce by 35% at age 65 and by 50% at age 70.</t>
  </si>
  <si>
    <t>216661</t>
  </si>
  <si>
    <t>Update the Employer paid STD plan Benefit Percentage to 100% and Weekly Maximum Benefit to $245 as a dummy setup to capture the flat premiums in invoice rates.</t>
  </si>
  <si>
    <t>Since the rate is Flat $3.27 per unit, we don’t need benefit percentage and weekly maximum benefit. Since we cannot have the setup without these options we have updated the dummy setup to capture premiums in invoice.</t>
  </si>
  <si>
    <t>Chriina Jlonio</t>
  </si>
  <si>
    <t>217669</t>
  </si>
  <si>
    <t>Please set up Pending Transaction email to be sent to Tammy Mask email address tmask@txcc.com.</t>
  </si>
  <si>
    <t>Updated the pending transaction email set up as instructed.</t>
  </si>
  <si>
    <t>217274</t>
  </si>
  <si>
    <t>The rule doesn’t take into account the dependence on EE’s coverage.</t>
  </si>
  <si>
    <t>Update the Voluntary Life Spouse’s benefit rule – cap upto 100% of EE’s election or 100k</t>
  </si>
  <si>
    <t xml:space="preserve">Update the Invoice set up as below for all the Medical Plans
The sum of Specific stop loss and Aggregae stop loss should be  enerd under Stop less
The sum of  other 3, the claim admin, the Benefit company commission and data analytics to be entered as admin fee</t>
  </si>
  <si>
    <t>213814</t>
  </si>
  <si>
    <t>AR Team, through the regular invoice recon, found Cigna was not following the addition billing rule that was setup as “Full Month Premium”. Cigna confirm they don’t charge new employees for the strt month if they’re added after the 1st of the month</t>
  </si>
  <si>
    <t>Please update the Cigna addition rule to “No Premium for first month unless it is 1st”</t>
  </si>
  <si>
    <t>217862</t>
  </si>
  <si>
    <t>Please add Susan DiBiase as the Employer Contact sdibiase@1910legacy.com. Please update the the Pending Transaction notification and any other system notifications and remove Marilyn. Please turn off Admin Access for Marilyn next Friday night.</t>
  </si>
  <si>
    <t>We have updated Employer Contact to sdibiase@1910legacy.com and removed the email ID of Marilyn. We have deactivated Marilyn's account on 6/26/2020</t>
  </si>
  <si>
    <t>217885</t>
  </si>
  <si>
    <t>Update the set up to extend the plan year till 12/31/2021 for all the medical plans in the old company</t>
  </si>
  <si>
    <t>Extended the Period plan year end dates of all Medical plans to 12/31/2021</t>
  </si>
  <si>
    <t>217805</t>
  </si>
  <si>
    <t>Please update the system to when an employee enrolls in a HDHP, the FSA HC is not presented in the workflow.</t>
  </si>
  <si>
    <t>Set up plan dependency for FSA HC. If ee enrolled in hdhp plan, the FSA HC will not be present.</t>
  </si>
  <si>
    <t>217888</t>
  </si>
  <si>
    <t>Update medical plans for Oakview of Burlington and Ridgeview of Burlington according to the 6.23.2020 Grid. Plans are in red: https://appriver3651007094.sharepoint.com/:x:/g/EW9e5wk0BwxOlQGkSDZde7wBkflofvW4i1lTAfa3DJ83bg?e=mzKohk.</t>
  </si>
  <si>
    <t>Updated the set up in the system as per the instructions.</t>
  </si>
  <si>
    <t>218384</t>
  </si>
  <si>
    <t>The class termination rule for VH eligible was not set correctly during implementation</t>
  </si>
  <si>
    <t>Class termination rule changed from Date of Termination of Last day month following termination. For VH Eligible class.</t>
  </si>
  <si>
    <t>Backend</t>
  </si>
  <si>
    <t>July 2020</t>
  </si>
  <si>
    <t>218878</t>
  </si>
  <si>
    <t>IBM’s transaction approval process was reviewed and determined that it is no longer needed.</t>
  </si>
  <si>
    <t>Remove transaction approval for all the status changes for all plans. Approved by Dilip</t>
  </si>
  <si>
    <t>219365</t>
  </si>
  <si>
    <t xml:space="preserve">Two new locations need to be added to Benefits Junction. Please add the following
ACC - Cactus and Cave Creek &amp; LVT - Las Vegas Tropicana.</t>
  </si>
  <si>
    <t xml:space="preserve">Add the below two new locations to the system and update al the screens
ACC - Cactus and Cave Creek
LVT - Las Vegas Tropicana</t>
  </si>
  <si>
    <t>217876</t>
  </si>
  <si>
    <t xml:space="preserve">Acquisition of a new Location and changing a division number and adding 3 divisons.  New Location is GA – 6, All the new employees coming on effective 08/03/2020 will be added to location GA - 6 They will also be added to one of the following divisions (that are new to WFJ): 
•	35 - Douglas GA
•	36 - Albany GA
•	37 - Valdosta GA*
The waiting period for this division for the acquisition employees should be set to DOH.  Employee will be effective 08/03/2020.  They want employees to be able to begin enrolling in their benefits next week, so they receive their cards before coverage begins.  All Rates and Contributions are the same as all other Divisions
See updated Grid attached to the Ticket as well.</t>
  </si>
  <si>
    <t xml:space="preserve">Add a New Location 
   GA- 6
Add 3 new Divisions
   35 - Douglas GA
   36 - Albany GA
   37 - Valdosta GA
Rename 
   37- Charleston Parts to 99 - Charleston Parts
This is an acquisation and there are new employees that wil be added to the system. These new employees must be loaded with DOH eligibility. We will have to set up the waiting period by location and set up DOH eligibility for GA-6 for now. Later after all the new hires are loaded we can change the waiting period to match with other locations.</t>
  </si>
  <si>
    <t>218982</t>
  </si>
  <si>
    <t>An employee is out of work due to workers comp, not terminated, and will be active for benefits without any waiting period when they return from leave. To solve for this situation, it was deicided to create a class or location called “Workers Comp LOA” with no benefits.</t>
  </si>
  <si>
    <t xml:space="preserve">1.Create a new Class “Workers Comp LOA” 
2. This Class will not be eligible for any benefits.
We are uing class for this because, when the ee returns from leave, the ee should have date of return eligibility. That is possible in the class because the class rules are set up with no waiting period. 
Employee Mike Nelson is currently terminated. The hr terminated this employee because this class did not exist. We should reverse his termination and change his class to workers comp LOA effective 6/9/2020. Also inform EDI that this employee was termed by hr in error and he should have been termed from benefits due to be on leave instead of employment termination. They should let the cobra vendor know that this was reported as employment termination, however it is a benefits termination due to LOA</t>
  </si>
  <si>
    <t>212658</t>
  </si>
  <si>
    <t>We found that HSA accounts were being opened for employees contributing towards the HSA. The problem with this is Involta allows their employees to open HSA account with any bank. Therefore, EE’s with other bank accounts also had a Optum bank account open even if they weren’t going to use the account.</t>
  </si>
  <si>
    <t xml:space="preserve">1. Create Affirmative election plan to come up right after H S A with the name HSA Account Set Up 2. The Information section should have the below text Involta offers all employees the option of using either Optum Bank or their own bank for health savings accounts.
Whether you choose to have payroll deductions or will make contributions through another method, you will need to have an account established 
3. Question to ask: Please select Yes if is you wish to open an account with Optum Bank. Select No if you prefer to use a different bank or wish not to contribute at this time
 4. Set up Plan Dependency such a way that,the plan will be presented to employees enrolled in the below two HDHP plans Plan 3 - $3000 Deductible Plan 4 - $5000 Deductible
 5. Inform EDI after the set up is completed.
6. We need to set the HSA question to yes for the employees that don't have data listed in Column K. Spreadsheet: https://appriver3651007094.sharepoint.com/:x:/g/EayiDufAYCpPmUoDVavdiasB3cweUO3BauMW5R-K_TQjgA?e=CsqEms</t>
  </si>
  <si>
    <t>219417</t>
  </si>
  <si>
    <t xml:space="preserve">Two new locations need to be added to Benefits Junction. Please add the following
ACC - Cactus and Cave Creek &amp; LVT - Las Vegas Tropicana.
Add Additonal Location as indicated below in the solution</t>
  </si>
  <si>
    <t xml:space="preserve">Add the below two new locations to the system and update al the screens
ACC - Cactus and Cave Creek
LVT - Las Vegas Tropicana
Add the below additional locations in the system
AZW - Tempe
CAG - Glendora
CLR - Ladera Ranch
C11
FBR - Boca Raton
FHC - Orlando
FLT - Tampa
FTT - Sarasota
FWE - Wellington
FWL - Tampa
LBD - Las Vegas
LCC - North Las Vegas
LND - Las Vegas
UTB - Bountiful
UTO - Orem
UTR - Roy
UTS - Murray
UTV - Taylorsville
CFL - Tampa</t>
  </si>
  <si>
    <t>Status change setup was not done for Volunatary Life</t>
  </si>
  <si>
    <t>An EE was unable to elect voluntary life for his newborn thru the childbirth status change. We found that the Status Change was not set up for the Voluntary plan.</t>
  </si>
  <si>
    <t>Added new department</t>
  </si>
  <si>
    <t>Please add a new department 411. The Eligibility should match the other departments.</t>
  </si>
  <si>
    <t>August 2020</t>
  </si>
  <si>
    <t>221309</t>
  </si>
  <si>
    <t>Update OAD termination rule to be end of calendar year following 26th birthdate</t>
  </si>
  <si>
    <t>222546</t>
  </si>
  <si>
    <t>Added new Location Boyson Heights and made it eleigible for few of the plans.</t>
  </si>
  <si>
    <t>CCBD</t>
  </si>
  <si>
    <t>218484</t>
  </si>
  <si>
    <t xml:space="preserve">Create a new class PRN to Physician. 
The new class is eligible for all the benefits as Physicians
The class change rule for this class is FOMF 60 days with coinciding from change date</t>
  </si>
  <si>
    <t>PRN to Physician.  The waiting period should be First of the month or coinciding from 60 days from change date.</t>
  </si>
  <si>
    <t>222791</t>
  </si>
  <si>
    <t>updated the Waiting period for Executives to First of the month following 30 days from hire date.</t>
  </si>
  <si>
    <t xml:space="preserve">Updated the plan set up to have waiting period based on classes 
For the class “ Executive” the new hire and rehire  waiting period is first of the month following 30 days from DOH 
For the rest of the class the new hire waiting period remain as it is today first of the month following 60 days with coinciding</t>
  </si>
  <si>
    <t>223544</t>
  </si>
  <si>
    <t>Shape​Plan renewal – need to update configuration for Penn Place &amp; The Gardens based on grid provided by Rikki. Rikki is still entering the rates. So only plan names need to be updated. Changes are highlight in red: https://appriver3651007094.sharepoint.com/:x:/g/EW9e5wk0BwxOlQGkSDZde7wBkflofvW4i1lTAfa3DJ83bg?e=ZaqmKP​</t>
  </si>
  <si>
    <t xml:space="preserve">With this CRF we have updated the following –
1.	Added Locations The Gardens and Penn Place in Wellmark SimplyBlue Bronze 6000 HMO plan From 9/1/2020.
2.	Added new plan Wellmark myBlue HDHP Gold 4500 which starts from 9/1/2020 and has only Penn Place location in it.
3.	Wellmark $3000 PPO plan had Penn Place location in it, we have removed this location from 9/1/2020.
4.	We have removed Penn Place and The Gardens locations from Wellmark Simply Blue Bronze 5500 HMO plan starting from 9/1/2020.
**The locations The Gardens and Penn Place were already present in Wellmark Complete Blue Silver 4000 HMO plan.</t>
  </si>
  <si>
    <t>220581</t>
  </si>
  <si>
    <t>Invoice Setup</t>
  </si>
  <si>
    <t>Jennifer needs to know which employees get the ER paid Critical Illness plan. Employees in enrolled in the HDHP plan get the ER CI plan. So we need to setup the invoice report for the medical plan.</t>
  </si>
  <si>
    <t>Set up invoice report for Medical plan with the same schdule as the other invoices. This report wil be used by Jenn to complete the template for CI plsn invoice, where she has to identify who is enrolled in the HDHP plan</t>
  </si>
  <si>
    <t>216344</t>
  </si>
  <si>
    <t>Data Integrations</t>
  </si>
  <si>
    <t>Rename department Communications to Corporate Affairs and Communications</t>
  </si>
  <si>
    <t>224355</t>
  </si>
  <si>
    <t>Need to add a new Department number 7347.  We do not send this information on EDI files, just needs to be in Benefits Junction for reporting purposes.</t>
  </si>
  <si>
    <t>New Department number 7347 added and made eligible for all plans</t>
  </si>
  <si>
    <t>223062</t>
  </si>
  <si>
    <t>Partner confirmed that Blue Shield changed its contract last year (and BenefitsJunction updated its system) as this has come up before. Coverage runs to the end of the month for life insurance.</t>
  </si>
  <si>
    <t>Please update the termination rules for Basic Life to Last day of month following date of termination (see screenshot below) and correct Erik Remoy’s record, EE ID: A788.</t>
  </si>
  <si>
    <t>September 2020</t>
  </si>
  <si>
    <t>M.O.Dion and Sons</t>
  </si>
  <si>
    <t>224742</t>
  </si>
  <si>
    <t>This group is admin only but the HR admins would like to make changes through employee login. Looks like the system is not set up to be able to make status changes through employee login.</t>
  </si>
  <si>
    <t>Please configure the Status Change To do List for all the status changes that are enabled for this client. We see that some status changes listed below are not set up with To do List. Please review all and complete the set up.</t>
  </si>
  <si>
    <t>223407</t>
  </si>
  <si>
    <t>ADP required ADP Position ID on the file.  The client is already using the EEID field and we need to create a new custom field “ADP Position ID Number” and upload the file with the ADP Position ID Numbers into Benefits Junction.</t>
  </si>
  <si>
    <t>Added new custom field "ADP Position ID Number" and uploaded the Position ID numbers accordingly</t>
  </si>
  <si>
    <t>224972</t>
  </si>
  <si>
    <t>Please add a new Class listed as “Part-Time/Intern” they are not eligible for any benefits.  They are using this class to track ACA reporting only.  This will not require any update to a carrier file or the ADP deduction file.  No Benefits should be offered t this class</t>
  </si>
  <si>
    <t>Added new Class "Part-Time/Intern" and this was not eligible for nay plans its only for ACA Reporting purpose</t>
  </si>
  <si>
    <t>214525</t>
  </si>
  <si>
    <t>The rates for some of the plans changed with Lincoln.  However Lincoln forgot to update the rates when finalizing the client and they are holding the rates and not increasing due to their error.</t>
  </si>
  <si>
    <t xml:space="preserve">Update the rate for Vol Life and Dental plans as per the rate sheet attached in the same conversation 214525 
The rates that need to be changed are in red font. Look in the ’ Medical Dental and Vision’ tab for the dental rate correction and in the ‘Voluntary Life ADD ‘ tab for the corrected rates for the Voluntary Life plan.</t>
  </si>
  <si>
    <t>CMTi</t>
  </si>
  <si>
    <t>224698</t>
  </si>
  <si>
    <t xml:space="preserve">Previously the carrier did not want us to apply the Age Reduction. They wanted us to provide the full amount and they would do the age reduction on their end.  EDI Team received an email that we need to now pass the approved amount.  Please apply the following Age Reduction confirmed with the client on the ticket.
We are currently setting up their OE for 10/01/2020.  The changes fees should be part of the OE fees.</t>
  </si>
  <si>
    <t xml:space="preserve">Add the age reduction schedule for Employee for Basic Life
Benefit reduce to 65% at age 65
Benefit reduce to 50% at age 70
Add the age reduction schedule for Vol Life and ADD plan for both Employee and Spouse
Benefit reduce to 65% at age 65
Benefit reduce to 50% at age 70</t>
  </si>
  <si>
    <t>225513</t>
  </si>
  <si>
    <t>We have received a new department in the ACME demographic file. Please add new department 316. Eligibility should be similar to other departments.</t>
  </si>
  <si>
    <t>Added new department 316. Eligibility is similar to other departments.</t>
  </si>
  <si>
    <t>October 2020</t>
  </si>
  <si>
    <t>227408</t>
  </si>
  <si>
    <t>Allow an exception in enrollment for some employees, requested by PK at IBM. Allow Med, Den and Vision for EE on LOA.</t>
  </si>
  <si>
    <t xml:space="preserve">1. Create a new class by the name “LOA with Medical Dental Vision” 
2. Change the class of this employee  040568- Sankaranarayanan, Selvakannan to “LOA with Medical Dental Vision” effective 9/16/2020. 
3. Rename the current “LOA with benefits” to “LOA with Medical”</t>
  </si>
  <si>
    <t>Wesleyan School Inc.</t>
  </si>
  <si>
    <t>228055</t>
  </si>
  <si>
    <t>When the client received their first invoice for the new plan year, the LTD rate needs to be changed to .242 per 100 coverage.  Broker had originally sent over .240 per 100 coverage</t>
  </si>
  <si>
    <t>Update the LTD rate to 0.242 per covered payroll. It was communicated incorrectly to us at the time implementation.</t>
  </si>
  <si>
    <t>222020</t>
  </si>
  <si>
    <t>The client has age-banded premiums. Would like to update BenJ so it can reflect accurately in the Analytics set up. August, September, and October premiums were manually calculated and presented.</t>
  </si>
  <si>
    <t xml:space="preserve">Create new plans with age rated premium for Medical
Load the enrollment to the new plans with the current coverage effective the current effective date on the system to the new plans.  Old plans are terminated effective 10/1/2020</t>
  </si>
  <si>
    <t>227675</t>
  </si>
  <si>
    <t>Overage Dependent rule for Medical, Dental and Vision should be changed from 26th birthdate to the “End of the month following 26th birthdate”</t>
  </si>
  <si>
    <t>Updated the Overage dependent rule for Medical, Dental and Vision to the “End of the month following 26th birthdate</t>
  </si>
  <si>
    <t>Gnanavelu/Nischith</t>
  </si>
  <si>
    <t>Nischit</t>
  </si>
  <si>
    <t>228881</t>
  </si>
  <si>
    <t xml:space="preserve">Add a PRN eligible class and make the class eligible for Medical plans
The class change effective date rule should be data of class change</t>
  </si>
  <si>
    <t xml:space="preserve">1.	Add a PRN eligible class and make the class eligible for Medical plans
2.	The waiting period for this new class should be data of class change
3.	The termination rule for this class is last day of the month following date of termination</t>
  </si>
  <si>
    <t>228358</t>
  </si>
  <si>
    <t>new Department 452 added. Eligibility matches other departments</t>
  </si>
  <si>
    <t>new Department 452 dded. Eligibility matches other departments</t>
  </si>
  <si>
    <t>228007</t>
  </si>
  <si>
    <t>When the A&amp;R Team received the first invoice for the new plan year there were a couple of rates for dental and vision that were off by one or two cents.  Jennifer has confirmed that we want to update the rates.  The changes that will increase the employees deduction by 1 or 2 cents we need to charge that to the employer and the employees that will have a deduction that will decrease by 1 or 2 cents we can let that change go through.</t>
  </si>
  <si>
    <t>Changed the premiums in Invoice setup and Deduction setup pages for Vision and Dental plans</t>
  </si>
  <si>
    <t>November 2020</t>
  </si>
  <si>
    <t>230484</t>
  </si>
  <si>
    <t>New department received in the demographic file</t>
  </si>
  <si>
    <t>New department 32 added</t>
  </si>
  <si>
    <t>CMTI</t>
  </si>
  <si>
    <t>230855</t>
  </si>
  <si>
    <t>Need to update the rate for the Glenn staff employees on the Buy Up Plan.  Employees should not have pay anything for employee only coverage.</t>
  </si>
  <si>
    <t>Updated the rates for the Employee Only coverage for “Glenn Staff” class Medical Plan:  Aetna Select 3500 Buy-Up Plan as per the below table</t>
  </si>
  <si>
    <t>228183</t>
  </si>
  <si>
    <t>Stellar told managers in their incentive program that they will be covered 2x annual pay to a max of $300K but this plan was grandfathered. Broker reached out to MoO to get this updated and Mutual of Omaha is allowing employees to enroll in the Basic Life &amp; ADD Max $300K Grandfathered effective 11/1/2020.. Please remove “Grandfathered” from the plan name</t>
  </si>
  <si>
    <t>Rename the current: Basic Life &amp; AD/D Max $300K- Grandfathered plan to Basic Life &amp; AD/D Max $300K</t>
  </si>
  <si>
    <t>230837</t>
  </si>
  <si>
    <t>Enroll or Waive To Do list was sent Monthly once. Now client wanted Weekly</t>
  </si>
  <si>
    <t>Update the To Do List to weekly 24 days before due date</t>
  </si>
  <si>
    <t>Chiimberinl Nlomio</t>
  </si>
  <si>
    <t>232048</t>
  </si>
  <si>
    <t>Homestead Hospice acquired a new location which has to be active and available for all the location as well</t>
  </si>
  <si>
    <t>Location Beaufort and Davor is added</t>
  </si>
  <si>
    <t>231474</t>
  </si>
  <si>
    <t>The  new location need to be added to Benefits Junction. Please add the following . UPC – west Jordan Plaza Center Add Additional Location as indicated below in the solution</t>
  </si>
  <si>
    <t>Add the below the new location to the system and update at the screen UPC- west Jordon Plaza Center Add the below additional location in the system</t>
  </si>
  <si>
    <t>224965</t>
  </si>
  <si>
    <t>Delta Dental is now billing retirees for their dental premium by sending a paper invoice; this is division 60 in our EDI mapping reported to Delta Dental. The carrier also has a separate division 61, set up for those retirees who prefer to pay their premium from a savings or checking account (ACH). Members have the ability to switch over to automatic withdrawals (division 61), and the carrier wants us to update this on the EDI feed.</t>
  </si>
  <si>
    <t xml:space="preserve">Create two Dental plans 
Retiree Dental ACH 
Retiree Dental Paper 
Only the Retired A and Retired B Locations will be eligible for these two plans. These two locations are only eligible for these two Dental plans and not the regular Dental plan.</t>
  </si>
  <si>
    <t>231391</t>
  </si>
  <si>
    <t>Update the Over age dependent rule so that the benefit end as of the 26th birthday for the dependents for all the plans.</t>
  </si>
  <si>
    <t>231632</t>
  </si>
  <si>
    <t>Updated the salary change rule for both the Voluntary plans in the system such a way that there is no eoi required for benefit increases due to salary.</t>
  </si>
  <si>
    <t>231056</t>
  </si>
  <si>
    <t>For FSA plans, termination rule for class was Last day of the month</t>
  </si>
  <si>
    <t>For FSA plans, update the termination of benefit for class changes to be effective on the class change eff date.</t>
  </si>
  <si>
    <t>December 2020</t>
  </si>
  <si>
    <t>233005</t>
  </si>
  <si>
    <t>Currently, the age-band anniversary is set to Birthday but the carrier confirmed it should update on the plan anniversary. Please update the plan so the age-band anniversary is to plan anniversary.</t>
  </si>
  <si>
    <t>Update the age band anniversary to Plan anniversary for Both Vol Life and Vol Life and ADD plan</t>
  </si>
  <si>
    <t>230615</t>
  </si>
  <si>
    <t xml:space="preserve">Beginning 01/01/2021 when an employee is terminated or moved to a non-benefit eligible class all benefits should term on date of termination or Date of CLDD change. 
This was part of OE changes, but we wanted to wait until OE was complete and files were sent to make the update for the new plan year.</t>
  </si>
  <si>
    <t>Update the termination rules for termination and CLDD change for all plans for client</t>
  </si>
  <si>
    <t>Cottingham &amp; Buttler</t>
  </si>
  <si>
    <t>235918</t>
  </si>
  <si>
    <t>Rate for Voluntary STD was changed on 03/01/2020. Per client it should be 0.56 currently it showing .5730 please update rate back to 03/01/2020</t>
  </si>
  <si>
    <t>Update the rate for Std plan to $0.56 eff 3/1/2020</t>
  </si>
  <si>
    <t>236187</t>
  </si>
  <si>
    <t>We need to update the billing rates for BRMS plans based on how the carrier is billing it. The carrier provides a consolidated premium and does not the rates is not tier/coverage specific. Seems like this is a self-funded medical plan, but not sure.</t>
  </si>
  <si>
    <t>Update the premium rate to $874.65 for the Medical Plan</t>
  </si>
  <si>
    <t>236303</t>
  </si>
  <si>
    <t>We received updated Stoploss rates from Benefit mall for IBM and they need to be updated in the system. The rates are in the conversation and were communicated to A&amp;R team by Benefit Mall</t>
  </si>
  <si>
    <t>Stop Loss rates updated</t>
  </si>
  <si>
    <t>235807</t>
  </si>
  <si>
    <t>QLE for Birth and Adoption should remain as Date of Event. All other QLE effective date should be QLEdate +1day</t>
  </si>
  <si>
    <t>QLE Rules update</t>
  </si>
  <si>
    <t>January 2021</t>
  </si>
  <si>
    <t>236786</t>
  </si>
  <si>
    <t>Adding a new location Summit Pointe with new plans for medical, dental, vision, and basic life.</t>
  </si>
  <si>
    <t>New Plans created for Medical/Dental/Vision and Basic Life and made the location eligible for these plans</t>
  </si>
  <si>
    <t xml:space="preserve">For the CHUBB voluntary Plans over age dependent termination date needs to be changed to end of the month following the 26th birthdate.
Critical Illness
Accident
Hospital Indemnity</t>
  </si>
  <si>
    <t xml:space="preserve">Update the Over age dependent rule to end of the month following the 26th birthday for the following plans
Critical Illness
Accident
Hospital Indemnity</t>
  </si>
  <si>
    <t>237707</t>
  </si>
  <si>
    <t>We found out that there’s subset of employees in Florida that require a Florida PPO plan. We need to add a new location ‘Sarasota’ so EDI can map the plan to this location. HR will be responsible of moving employees to this location.</t>
  </si>
  <si>
    <t>Create the new location ‘Sarasota” and set up eligibility same as All Employees.  EDI will map the employees in Sarosota with a different code in EDI file.</t>
  </si>
  <si>
    <t>236044</t>
  </si>
  <si>
    <t xml:space="preserve">When employees move to the Retired location, Wellmark needs to the medical effective date updated to reflect this change as well. Similar to the dental issue recently, we need to create a retired medical plan to capture effective date change. 
This is coming up because employees were moved to RET B as of 1/1/2021 but we’re still sending the original effective date because there wasn’t a change to the medical plan.</t>
  </si>
  <si>
    <t>Added Medical plan Retiree Medical eligible for both Retired A and Retired B locations.</t>
  </si>
  <si>
    <t>237611</t>
  </si>
  <si>
    <t>When the carrier changed to The Loomis Company,  the plan’s auto-enrollment was removed but this should have continued. Please set up an auto-enrollment for the medical plan. If an employee fails to enroll within the new hire period, the EE is to be enrolled in the $2,000 medical plan, employee-only coverage</t>
  </si>
  <si>
    <t>Set up an auto-enrollment for the medical plan. If an employee fails to enroll within the new hire period, the EE is to be enrolled in the $2,000 medical plan, employee-only coverage</t>
  </si>
  <si>
    <t>238414</t>
  </si>
  <si>
    <t>New department came over on the demographic file. Please add “Product’ under departments. Eligibility should match the other department eligibility.</t>
  </si>
  <si>
    <t>Add new department “Product’. Eligibility should match the other department eligibility.</t>
  </si>
  <si>
    <t>Please revert the changes we made to the voluntary life salary update rules. Now, the broker states that if the salary increase makes the employee cross the GI, it should pend. If the employee was already approved beyond the GI, then the salary increase should not pend. We’ll have to manually update this when there’s salary update. So the system should be changed back to “pend additional benefit over GI” for salary updates.</t>
  </si>
  <si>
    <t>Update the salary change rule to “pend additional benefit over GI”.</t>
  </si>
  <si>
    <t>237443</t>
  </si>
  <si>
    <t>Per the A&amp;R Audit looks like rates are off by one or 2 cents on the EE + spouse, EE + Children &amp; Family for the 2500 plan.</t>
  </si>
  <si>
    <t>Updated the rates for Medical 2500 Plan for EE+Sp and EE+Child and EE+ Family coverage</t>
  </si>
  <si>
    <t>238774</t>
  </si>
  <si>
    <t>New department was received for Acme in the demographic file. Please add 360 as a department. Eligibility should match other departments.</t>
  </si>
  <si>
    <t>Add the New department 360. Eligibility should match other departments.</t>
  </si>
  <si>
    <t>238796</t>
  </si>
  <si>
    <t>Added new loctaion "Pooler – Homestead Hospice" and made it eligible for all plans</t>
  </si>
  <si>
    <t>238714</t>
  </si>
  <si>
    <t xml:space="preserve">Create a Leave of Absence status. 
Employees do go on leave of absence so to be able to indicate that on BenJ for payroll recon.</t>
  </si>
  <si>
    <t>Add a new class called “Leave of Absence with benefits”. The eligibility for this will be same as the Full time class.</t>
  </si>
  <si>
    <t>238820</t>
  </si>
  <si>
    <t>We were just notified that the dental plan is a self-funded plan and we need to add the ASO fee of 9.62 Per coverage tier as an ASO fee.</t>
  </si>
  <si>
    <t>Update the Dental Invoice set up screen with $9.62 for all the tiers.</t>
  </si>
  <si>
    <t>236870</t>
  </si>
  <si>
    <t>Rate (premiums and deductions) need to be updated. Broker gave us the wrong rates. Rates are effective 1/1/2021.</t>
  </si>
  <si>
    <t>New rates updated for the location Evans for the plan as per the CRF received.</t>
  </si>
  <si>
    <t>239456</t>
  </si>
  <si>
    <t>Vision Deduction rates updated with Both EE and ER Share</t>
  </si>
  <si>
    <t>239308</t>
  </si>
  <si>
    <t xml:space="preserve">Rikki was initially not using the PT to FT status change on the system. Now Jen will be using it so we have to update the rules
PT to FT has a 60 day waiting period for all benefits, similar to new hires. Basic life should be auto-enrolled based on the waiting period.</t>
  </si>
  <si>
    <t>Update the Waiting Period for Class change to First of the month following 60 days from class eff date. This should be updated for all plans.</t>
  </si>
  <si>
    <t>239540</t>
  </si>
  <si>
    <t>New department was received for Acme in the demographic file. Please add 59 as a department. Eligibility should match other departments.</t>
  </si>
  <si>
    <t>Add the New department 59. Eligibility should match other departments.</t>
  </si>
  <si>
    <t>February 2021</t>
  </si>
  <si>
    <t>239834</t>
  </si>
  <si>
    <t>Upfield will be determining the employee’s years of services based on the Unum PEG mapping, and send us the PEG value that EDI will need to report to the carrier.</t>
  </si>
  <si>
    <t>created a custom field called PEG with the values of 1,2,3,4</t>
  </si>
  <si>
    <t>232486</t>
  </si>
  <si>
    <t>The rates for the Employer Paid STD Plan needs to updated from $4.41 to $5.40. This was discovered as the billing team worked on the Unum invoice. Unum and the broker confirmed the rate needs to be updated.</t>
  </si>
  <si>
    <t>Update the rates for the Employer Paid STD Plan from $4.41 to $5.40 for the 2021 plan year.</t>
  </si>
  <si>
    <t>239289</t>
  </si>
  <si>
    <t>A custom email was sent to employee’s using the Username tag, Upfield uses the SSN as the username, and because of this we emailed SSNs insecurely to employees.</t>
  </si>
  <si>
    <t xml:space="preserve">•Updated the Username format to Upfield_(Employee ID#). 
•Updated all system message that references username. See attached WFJ Upfield Employee Alerts. 
•Resent the ACA email using the attached Upfield ACA Email-RF 
•Created a tile on the touchpoint page for login help that opens a touchpoint page.</t>
  </si>
  <si>
    <t>240377</t>
  </si>
  <si>
    <t>Creative Management Technology incI is moving from The Benefit company as their broker to CBIZ</t>
  </si>
  <si>
    <t>Updated Partner details for CMTI from TBC to CBIZ and Sandy Porter from CBIZ is given broken access to CMTI</t>
  </si>
  <si>
    <t>240466</t>
  </si>
  <si>
    <t xml:space="preserve">A new department has come over one the demographic feed.  Please add the following departments:
•	Avient
•	HBK
Eligibility should match the other departments.</t>
  </si>
  <si>
    <t>New Department Added with Avient and HBK</t>
  </si>
  <si>
    <t>239145</t>
  </si>
  <si>
    <t xml:space="preserve">There is an exception set up for a some of the BME Polyfuel employees.  Currently there are six employees that are Polyfuel employees.  However, they receive the LTD 1 plan which is for Brightmark employees only.  They appear on all carrier files as Brightmark employees.
We need to identify these employees so our Billing Team can identify these employees and include these employees under the BME Polyfuel reconciliation as BME Polyfuel is responsible to pay for these employees benefits on all carrier files.
Muniraju has a process to identify these employees on the demographic import file.  Instead of putting them in the Brightmark LLC Class he will put them under the BME Polyfuel LTD1 Class.</t>
  </si>
  <si>
    <t>Please create a BME Polyfuel LTD1 Class.  They should be offered all the plans that Brightmark LLC employees are offered at the same rates as Brightmark employees</t>
  </si>
  <si>
    <t>241721</t>
  </si>
  <si>
    <t>Please rename the Location in Benefits Junction from UPC-West Jordan to UWJ-West Jordan.</t>
  </si>
  <si>
    <t>We have changed the location name from UPC-West Jordan to UWJ- West Jordan</t>
  </si>
  <si>
    <t>240261</t>
  </si>
  <si>
    <t>Broker confirmed the LTD plan that is available for the Key Employee class is going away. Please terminate this plan. No one is currently enrolled in this plan nor in the class</t>
  </si>
  <si>
    <t>Terminating Long Term Disability (with class Key Employees) with effective 3/1/2021</t>
  </si>
  <si>
    <t>241503</t>
  </si>
  <si>
    <t>Upfield is reporting an employee location that we need to store in a custom field to report to Unum.  Please create a custom field under work info called FMLA Reporting Group. The Data team will update the employee location in this field.</t>
  </si>
  <si>
    <t>created a custom field under work info called FMLA Reporting Group.</t>
  </si>
  <si>
    <t>240712</t>
  </si>
  <si>
    <t>Invoice rule change for Ameritas Dental and Vision plan</t>
  </si>
  <si>
    <t>Invoice rule change for Ameritas Dental and Vision plan for both Additions and Terminations</t>
  </si>
  <si>
    <t>241117</t>
  </si>
  <si>
    <t xml:space="preserve">Renaming the Polyfuel Classes to Brightmark Plastics Renewal Services LLC per legal name change of company
2.  Rename the new class for the special employees that get the LTD1 Benefits - new call name should be - Brightmark Plastics Renewal Services LLC LTD1
3. Effective anyone hired on or after 3/1 Benefits are no longer Date of Hire - changed to First of the month or coinciding Date of Hire
4. Effective anyone who is terminated on or after 3/1 Benefits will terminate at the end of the month following termination date
2.	we need to add the Special Events for FSA Health Care, FSA Dependent Care - Employees can elect, make changes or cancel their accounts without a QLE - please add the "Special Event" to the list of Status Changes.</t>
  </si>
  <si>
    <t xml:space="preserve">1.	Rename the Classes.
Rename the below listed classes to 
a)	BME Polyfuel Services LLC - Full Time
b)	BME Polyfuel Services LLC - Full Time LOA
c)	BME Polyfuel Services LLC - Part Time
d)	BME Polyfuel LTD 1
The ones listed below.
a)	Brightmark Plastics Renewal Services LLC - Full Time
b)	Brightmark Plastics Renewal Services LLC - Full Time LOA
c)	Brightmark Plastics Renewal Services LLC - Part Time
d)	Brightmark Plastics Renewal Services LLC - LTD 1
2.	Effective Date Rule changes
o	Effective 3/1/2021, the waiting period for all the benefits will be FOMF data of hire.
o	Effective 3/1/2021, the termination rule when the benefits will terminate for all the benefits will be  end of the month following date of termination. 
3.	Enable Special events for FSA plans.
o	Add the “Special Events” status change for FSA Health Care, FSA Dependent Care - Employees can elect, make changes or cancel their accounts without a QLE</t>
  </si>
  <si>
    <t>241463</t>
  </si>
  <si>
    <t xml:space="preserve">Per the IRS 969 - page 3 Qualifying for an HSA To be an eligible individual and qualify for an HSA, you must meet the following requirements.
•	You are covered under a high deductible health plan (HDHP), described later, on the first day of the month.
Please have Benefits junction updated for the HSA contribution to always be First of the month.  New hires are effective date of hire for benefits, but the HSA should be effective FOM following hire date.</t>
  </si>
  <si>
    <t>Change the waiting period rules for HSA  to  FOM following hire date.</t>
  </si>
  <si>
    <t>242118</t>
  </si>
  <si>
    <t>Please add new location Homestead Hospice Tucson - AZ.  Waiting period and benefits should be the same as all other locations.</t>
  </si>
  <si>
    <t>Add new location - Homestead Hospice Tucson - AZ</t>
  </si>
  <si>
    <t>Please proceed with having the voluntary plans through Standard Insurance CI, AP, and HI policies effective the first day after the 30 day waiting period.</t>
  </si>
  <si>
    <t xml:space="preserve">For the below plans update the New hire waiting period to 30 day following date of hire. The carrier rule is first day after the 30-day waiting period.  If the above rule doesn’t satisfy the requirement, please adjust the number of days. 
Group Hospital Indemnity 
Accident Protection Plan 
Group Voluntary Critical Illness</t>
  </si>
  <si>
    <t>242031</t>
  </si>
  <si>
    <t>on a call with Unum and Upfield, that the New Jersey employees are also eligible for the ASO STD. Currently, we have two STD plans: Employer Paid STD Plan and Employer Paid STD Plan – NJ. Employees in location New Jersey are only showing eligibility for Employer Paid STD Plan – NJ. It turns out, they should be enrolled in both plans. We need to update the system so New Jersey EEs are enrolled in both plans.</t>
  </si>
  <si>
    <t xml:space="preserve">Employees in NJ location are eligible for both regular STD and the New Jersey (NJ) STD plan. 
1.Set up a custom STD plan for the NJ STD plan- name the plan as Employer Paid STD Plan – NJ. Use the rates and benefits and rules form the current Employer Paid STD Plan
2.Set up default enrollment for this plan and make the plan eligible only for NJ employees.
3.Update the regular STD plan- Employer Paid STD Plan with eligibility for NJ employees as well.
4.Ensure that all the Employees in NJ are auto enrolled to the new custom plan and the regular STD plan</t>
  </si>
  <si>
    <t>March 2021</t>
  </si>
  <si>
    <t>242327</t>
  </si>
  <si>
    <t>While processing the Involta Demographic file, we received a new location, "Tech Services." Please add the new location, eligibility should match the other locations.</t>
  </si>
  <si>
    <t>We have added New Location Tech Services and made it eligible</t>
  </si>
  <si>
    <t>242383</t>
  </si>
  <si>
    <t>STD Plan the benefit amount should be round up and the LTD Plan it should be round down to the nearest dollar</t>
  </si>
  <si>
    <t>Updated the LTD plans rounding rule to Round down to the nearest dollar.</t>
  </si>
  <si>
    <t>240290</t>
  </si>
  <si>
    <t>Username format is incorrect for few termed employees and active employees</t>
  </si>
  <si>
    <t>Updated the username for temed employees with actual username formate</t>
  </si>
  <si>
    <t>242877</t>
  </si>
  <si>
    <t>Adding a new location with Open Enrollment starting on 3/8. Sending a CSO through PandaDoc.</t>
  </si>
  <si>
    <t>We have added new location and made it eligible</t>
  </si>
  <si>
    <t>243314</t>
  </si>
  <si>
    <t xml:space="preserve">Due to a limitation in the system, we had not setup Custom Payroll for Clients with Defined Contribution Setup. With the recent development, now we have option to update Custom Payroll setup for plans which are not in DC setup of the client. 
Request is to setup Custom Payroll and update the Rates for the following plans to the actual values – Basic Life, Long-Term Disability, Voluntary Life, and Voluntary AD&amp;D Plan. 
*No changes to Medical, Dental and Vision plans.</t>
  </si>
  <si>
    <t xml:space="preserve">Added Custom Payroll for the below mentioned Plan Types – Basic Life  
Long-Term Disability
Voluntary Life 
Voluntary AD&amp;D Plan 
Correct the Rates in plan setups for the above-mentioned plan types as per the Rate</t>
  </si>
  <si>
    <t>243623</t>
  </si>
  <si>
    <t>Update the Age band Anniversary for the Short-Term Disability plan to be Plan Anniversary.</t>
  </si>
  <si>
    <t>Updated the Age band Anniversary for the Short-Term Disability plan to be Plan Anniversary.</t>
  </si>
  <si>
    <t>Point Of Rental</t>
  </si>
  <si>
    <t>241016</t>
  </si>
  <si>
    <t>Implementation documents stated M/D/V benefits all terminate on Date of Event. Per Dental and Vision carrier, employee termination or Coverage Termination due to QLE all end at the end of the month following termination date.</t>
  </si>
  <si>
    <t xml:space="preserve">Update the Termination rule for Employment termination to be FOMF the termination date for Dental and Vision. 
QLE rules for the event where there is a lose of coverage is already set up with FOMF rule.</t>
  </si>
  <si>
    <t>Per confirmation from carrier and Reunka, we need to update to conventional rounding to the whole dollar.</t>
  </si>
  <si>
    <t>Updated both the LTD plans and STD plan rounding rule to conventional rounding to the whole dollar.</t>
  </si>
  <si>
    <t>244199</t>
  </si>
  <si>
    <t xml:space="preserve">Need to create a new Department “NonTXFTemp” 
This Department needs to be set up for Medical with no HMO option.  
Please see Grid for plans eligible – they should match the OKFTemp Department</t>
  </si>
  <si>
    <t xml:space="preserve">Created a New Department “NonTXFTemp” with eligibility same as “OKFTemp”- Similar to OKFTemp- This department is not eligible for Medical HMO plan and the LTD plan 
Please see Grid for plans eligible – https://appriver3651007094.sharepoint.com/:x:/g/EcuRqiBf-pxEmIVKBjXREWABTTNS1bWnGEc3n2k18P49TA?e=N2BQeU</t>
  </si>
  <si>
    <t>Hilldrup</t>
  </si>
  <si>
    <t>243491</t>
  </si>
  <si>
    <t xml:space="preserve">When an employee has a “Class” change from Non Benefit Eligible to a class 1 – 10 the employee must wait the new hire waiting period before being eligible.  First of the Month Following or Coinciding with 59 Day(s) from Class Change Date 
If someone has a class change that goes from class 1- 10 to another 1 – 10 class that change is effective the date of the “Class Change”</t>
  </si>
  <si>
    <t xml:space="preserve">1.	We have renamed Class - Non Benefit Eligible to PT VH
2.	We have renamed Division – All Employee to FT Eligible and added new Divisions - VH Eligible and Non-Benefits Eligible.
3.	We have setup waiting period rules for Medical plan based on Division. When an employee has a “Division” change from Non-Benefit Eligible to FT Eligible the employee will wait the new hire waiting period before being eligible.  First of the Month Following or Coinciding with 59 Day(s) from Division Change Date.
If someone has a Division change that goes to VH Eligible that change is effective the date of the “Division Change date”
4.	For the employees who were in Class - Non Benefit Eligible (i.e. PT VH) we have changed their Division to Non-Benefit Eligible so that remain not eligible in benefits.
5.	A PT VH employee will always be Non-Benefits Eligible initially. After the ACA measurement tracking, if they become eligible then the division will be updated to VH Eligible and can enroll in Medical benefit. Their class will remain PT VH.</t>
  </si>
  <si>
    <t>237769</t>
  </si>
  <si>
    <t xml:space="preserve">There are a few employees at Hilldrup that are currently in class 5, that their annual salary is based on W2 earnings. Due to this salary requirement Guardian needs them to come over as a class 10 on the EDI file.  We need to create a class 10 which matches the same enrollments as Class 5.  There is no other way to identify them in class 5 and the EDI Team would know to send as a class 10. 
Also in talking to Russ about this he said you need to know this for the API set up that for class 10 employees their salary should not be updated throughout the year.  It will be handed manually prior to each open enrollment</t>
  </si>
  <si>
    <t xml:space="preserve">Created a new class “Class10” with eligibility to match class 5. 
Changed the class for the below 4 employees to class 10 eff 4/1/2021. 
Michael Sandell 
Amy McKinney 
Thomas Leachman 
Jeffrey Salaita 
Link to the updated Grid 
https://appriver3651007094.sharepoint.com/:x:/g/EfImBZURT3dPscHcOdFSm1IBf9PPMOz43jOanoD4iyQrOQ?e=dNpBc7</t>
  </si>
  <si>
    <t>244533</t>
  </si>
  <si>
    <t>HR found an EE’s with the wrong effective date. It turns out that all the status changes have the same effective date rule except for two. Dependent loses Coverage and Employee lost Coverage effective needs to be changed to date of event. Then we need to correct Kenneth King Jr’s record (EE ID 0400) so the effective for his benefits match the status change date of 3/8/20201.</t>
  </si>
  <si>
    <t>Status change rules for all benefits for Dependent loses Coverage and Employee lost Coverage effective needs to be changed to date of event.</t>
  </si>
  <si>
    <t>241862</t>
  </si>
  <si>
    <t xml:space="preserve">1. Please revert the status change period back to 31 days for all status changes that were updated due to the Covid19 Relief. HR will assist employees if they need to make changes beyond the 31-day period.  
2. For the voluntary life plan, please update the Marriage status to allow a new spouse to enroll up to the GI. Please enable this by checking the option for Initial eligibility apply GI rules?</t>
  </si>
  <si>
    <t>Updated Status Change period to 31 days for all plans and updated GI rules for Voluntary life plans on Status Change to Initial Eligibility apply GI Rules</t>
  </si>
  <si>
    <t>242841</t>
  </si>
  <si>
    <t>Update the Benefits change date for Status change rules for Medical, Dental and Vision  for the following status changes to effective First of the month following  Divorce,Over-Age Dependent ,Dependent Gained Employment/other Coverage</t>
  </si>
  <si>
    <t>Updated the Benefits change date for Status change rules for Medical, Dental and Vision  for the following status changes to effective First of the month following  Divorce,Over-Age Dependent ,Dependent Gained Employment/other Coverage</t>
  </si>
  <si>
    <t>244495</t>
  </si>
  <si>
    <t>QLE for Divorce, Over-Age Dependent and Dependent Gained Employment/other Coverage.  The Benefits Change date needs to change from Date of QE and it should be End of the month following QE Date.  This should be for all plans</t>
  </si>
  <si>
    <t xml:space="preserve">Updated the benefits change date for all the plans for the below status changes to First of the month following QLE
•	Divorce
•	Dependent Gained Employment/other Coverage.  
 We have Kept Overage Dependent Rule as it is</t>
  </si>
  <si>
    <t>April 2021</t>
  </si>
  <si>
    <t>245719</t>
  </si>
  <si>
    <t xml:space="preserve">Per client during implementation, they were not going to hire anyone outside of the locations that were added in the system.  However, Tiffany confirmed today they have decided they will continue to hire remote employees across all 50 states.  Please add the following Locations in Benefits Junction.
AL, AK, AR, CT, DE FL, GA, HI, ID, IL, IN, KS, KY, LA, ME, MD, MA, MN, MS, MO, MT, NE, NV, NH,  NM,  ND, OK, RI, SC, SD, TN, VT, WA, WV, WI, WY
Currently these states are already in Benefits Junction:  AZ, CA, CO, IA, IN, NC, NJ, NY, OH, OR, PA, TX, UT, VA, MI</t>
  </si>
  <si>
    <t>We have added this location made it eligible</t>
  </si>
  <si>
    <t>243098</t>
  </si>
  <si>
    <t>Per client there is an Employer Contribution HSA for the employees. Employees who are enrolled in HDHP plan must get Limited FSA plan.</t>
  </si>
  <si>
    <t>Updated the “Employer Contribution” setup to “Yes” for the current HSA plan.</t>
  </si>
  <si>
    <t>246690</t>
  </si>
  <si>
    <t xml:space="preserve">It has been identified that the Critical Illness reduces by 50% at age 70 for Employee and Spouse. We will be needing to ensure that the plan rules are programmed accordingly. 
Critical Illness reduces by 50% at age 70 for Employee and Spouse. 
Age reduction occur on the 70th birthday. 
Spouse’s age is based on employee’s age.</t>
  </si>
  <si>
    <t xml:space="preserve">Critical Illness reduces by 50% at age 70 for Employee and Spouse. 
Age reduction occur on the 70th birthday. 
Spouse’s age is based on employee’s age.</t>
  </si>
  <si>
    <t>246584</t>
  </si>
  <si>
    <t xml:space="preserve">updated the billing rule for Medical plans to the 15th rule.  
For addition choose the Full month premium if hired before the 16th of the month and for termination choose full month premium if terminated after 15th of the month</t>
  </si>
  <si>
    <t xml:space="preserve">Updated the billing rule for Medical plans to the 15th rule.  
For addition choose the Full month premium if hired before the 16th of the month and for termination choose full month premium if terminated after 15th of the month</t>
  </si>
  <si>
    <t>247145</t>
  </si>
  <si>
    <t>Guardian confirmed the STD/LTD terminates date of termination.</t>
  </si>
  <si>
    <t>updated the Guardian STD/LTD plans to terminated date of termination</t>
  </si>
  <si>
    <t>Gnanvelu</t>
  </si>
  <si>
    <t>245390</t>
  </si>
  <si>
    <t>Class and Department was changed. The class waiting rule is set to date of class, since the department waiting rule is first of the month following date of department it created a gap in coverage</t>
  </si>
  <si>
    <t>updated the Waiting Period Rules &amp; Termination Rules for Department to be effective date of department.</t>
  </si>
  <si>
    <t>May 2021</t>
  </si>
  <si>
    <t>247850</t>
  </si>
  <si>
    <t>Change the waiting period rules for new hires and rehires  for all the plan to First of the month following 60 days</t>
  </si>
  <si>
    <t>Updated the waiting period rules for new hires and rehires  for all the plan to First of the month following 60 days</t>
  </si>
  <si>
    <t>NIschith</t>
  </si>
  <si>
    <t>249591</t>
  </si>
  <si>
    <t>Please add a new department 691, which was reported in the demographic feed recently. Eligibility should match the other departments.</t>
  </si>
  <si>
    <t>Add a new department 691.  Eligibility should match the other departments</t>
  </si>
  <si>
    <t>250101</t>
  </si>
  <si>
    <t>Please change the New Hire Enrollment window to 90 days from Date of hire for new hires to make their new hire benefit elections.  Anyone who elects coverage for the first 90 days should receive the GI for Voluntary Life and should not be considered a late entrant to Voluntary STD or LTD</t>
  </si>
  <si>
    <t>Updated the New hire window for all the benefit to 90 days form Eligibility date</t>
  </si>
  <si>
    <t>248886</t>
  </si>
  <si>
    <t>Due to the domain change for AXISCADES that was an urgent change on their end, we need to change all employee work email and personal email addresses that are listed as @axiscades.com and change to @axiscades.IN</t>
  </si>
  <si>
    <t>Updated Email Address to @axiscades.IN: Due to the domain change for AXISCADES, we have updated  change to all employee work email and personal email addresses and usernames that are listed as @axiscades.com to @axiscades.IN.</t>
  </si>
  <si>
    <t>251133</t>
  </si>
  <si>
    <t>Please change the New Hire Enrollment period from 30 days to 31 days.  Carmen does not count date of hire as day 1 following hire date.</t>
  </si>
  <si>
    <t>Updated the NewHire Enrollment Period from 30 days to 31 days to all plans.</t>
  </si>
  <si>
    <t>250106</t>
  </si>
  <si>
    <t xml:space="preserve">Please add the additional sentence added to the CLDD email that is sent to employees.  
Subject: You are now Eligible for Benefits
Email Content: Due to the change in your eligibility status, you are now eligible for additional benefits. Please login to the online benefits enrollment system using the link below to enroll for benefits.
URL: &lt;Link&gt;
Username: &lt;Username&gt;
Password: Employee date of birth in the following format = MMDDYYYY
You have 30 days from date of eligibility (date you changed to full-time status) to enroll in benefits. If you do not enroll during this period, your next enrollment eligibility period will be during the annual open enrollment event.</t>
  </si>
  <si>
    <t xml:space="preserve">Updated the “Eligibility for New plans” email to 
Subject: You are now Eligible for Benefits
Email Content: Due to the change in your eligibility status, you are now eligible for additional benefits. Please login to the online benefits enrollment system using the link below to enroll for benefits.
URL: &lt;Link&gt;
Username: &lt;Username&gt;
Password: Employee date of birth in the following format = MMDDYYYY
You have 30 days from date of eligibility (date you changed to full-time status) to enroll in benefits. If you do not enroll during this period, your next enrollment eligibility period will be during the annual open enrollment event.</t>
  </si>
  <si>
    <t>251706</t>
  </si>
  <si>
    <t>We have received the ACME Demographic file and found a new Department 47.</t>
  </si>
  <si>
    <t>Added the new department 47. Eligibility was matched as other departments</t>
  </si>
  <si>
    <t>251244</t>
  </si>
  <si>
    <t>We have received the Involta Demographic file and found a new Location Canton.</t>
  </si>
  <si>
    <t>Added the new Location "Canton". Eligibility was matched as other Locations</t>
  </si>
  <si>
    <t>251042</t>
  </si>
  <si>
    <t>Our suggestion would be to create a class that the employee would be moved into when the LTD Plan should terminate. All other benefits would remain active and continue. When the employee returns from their Leave of Absence, you would move them back into their class prior to the Leave and the system would enroll them back into the LTD plan again based on the class effective date you enter.</t>
  </si>
  <si>
    <t>Added two new classes "Management Committee LTD Ineligible LOA" and "All Others LTD Ineligible LOA" The eligibility is same as the respective classes. But 2 classes will not be eligible for LTD plan</t>
  </si>
  <si>
    <t>249958</t>
  </si>
  <si>
    <t>The broker wanted to know how the system was set up and how the effective date for medical was updated. This brought up a review of the status change effective date rules. HR wants the Medical – Divorce updated to be effective First of the Month Following from Date of QE like it is for dental.</t>
  </si>
  <si>
    <t>Updated the Status change rule for Divorce to FOMF Date of event</t>
  </si>
  <si>
    <t>252004</t>
  </si>
  <si>
    <t>Enertia has an employee with dependents relocating to the US. The client wants to enable Dependent Relocating to US and Dependent Relocating out of US. The effective date should be set to First of the Month Following 0 Day(s) from Date of QE. This should be updated for medical, dental, vision, and FSA.</t>
  </si>
  <si>
    <t xml:space="preserve">Enabled the below two status changes for Medical Dental Vision and FSA plans 
Dependent Relocating to US 
Dependent Relocating out of US 
The effective date should be set to First of the Month Following 0 Day(s) from Date of QE.</t>
  </si>
  <si>
    <t>252433</t>
  </si>
  <si>
    <t>New Department 74 that came over on the demographic file</t>
  </si>
  <si>
    <t>Added New Department 74 that came over on the demographic file. Eligibility same as other Department</t>
  </si>
  <si>
    <t>252589</t>
  </si>
  <si>
    <t xml:space="preserve">We have learned that the election of child voluntary life outside of the new hire waiting period or an approved qualifying event, will result in the children having to go through EOI.
This is even during the annual renewal.
Can you please update the plan to reflect that children will need to go through underwriting at renewal and that coverage ends at the end of the month that a child turns 19 unless they are a full-time student.
If they are a student, coverage remains in force through age 23.</t>
  </si>
  <si>
    <t>Changed the GI rules for OE for Children to: Any increase in election requires EOI</t>
  </si>
  <si>
    <t>252614</t>
  </si>
  <si>
    <t>Added  Emily Flammang to Recieve all the Notifications from the system</t>
  </si>
  <si>
    <t>252625</t>
  </si>
  <si>
    <t>Add an additional Acknowledgement Page.  If we could please set up the page and have it ready.  Waiting for confirmation from Jenn when do they want this to appear every time someone logs in or upon initial login etc.  But if we can have the page ready.</t>
  </si>
  <si>
    <t>Added an additional Acknowledgement Page.</t>
  </si>
  <si>
    <t>247318</t>
  </si>
  <si>
    <t>Update the rates for age group 70- 100 for all the critical Illness plans based on the below table.</t>
  </si>
  <si>
    <t>Updated  the rates for age group 70- 100 for all the critical Illness plans based on the below table.</t>
  </si>
  <si>
    <t>June 2021</t>
  </si>
  <si>
    <t>253490</t>
  </si>
  <si>
    <t>LTD plan ER rate update on Benefits Junction. There was no functionality till now. In last sprint we developed a ER paid rate table to update ER rates for LTD plan.</t>
  </si>
  <si>
    <t>Updated the ER Paid LTD Rate as per the attached file in the conversation. Currently there is only EE rate is updated</t>
  </si>
  <si>
    <t>253523</t>
  </si>
  <si>
    <t xml:space="preserve">We have received the Stellar Industries Inc Demographic file and found a new division on file (Stellar Mason City) should be added as a new Division in Benefits Junction. There are 15 employees in this location.
Please add the new division, Stellar Mason City, which should match the eligibility of the current divisions.</t>
  </si>
  <si>
    <t>We have added new division, Stellar Mason City and made it eligible for all plans.</t>
  </si>
  <si>
    <t>250270</t>
  </si>
  <si>
    <t xml:space="preserve">We need the Paylocity company code in the Benefits Junction to report in the Paylocity deduction changes report. We do receive the Company code in Demographic files and need to add a Custom Field in Benefits Junction so that we can update the code in the system and use it to report in deduction changes report. 
Please add a custom field name Paylocity Company Code with the following options: 
•	127481
•	127482</t>
  </si>
  <si>
    <t xml:space="preserve">1)	Setup a custom field under work info named Paylocity Company Code.
2)	Select type Dropdown and then add these 2 values.
a.	127481
b.	127482
3)	Check show in reports.
4)	Do the testing to see if its capturing in reports.</t>
  </si>
  <si>
    <t>Shilpa P</t>
  </si>
  <si>
    <t>254094</t>
  </si>
  <si>
    <t xml:space="preserve">We are in the process of setting up a payroll deduction file for this client.  We need to add a custom field to the Employee Work Info Tab:  ADP Position ID Number 
Also upload the ADP Position ID Number using the Attached Excel file. 
Broker also mentioned she may add some addresses that need to be updated for employees as well on the excel file – please update the home addresses as well if listed.</t>
  </si>
  <si>
    <t xml:space="preserve">Add new custom field under Work Info as mentioned above and upload them, respectively. 
Identify the address changes and upload them only for Employee and not dependents. For dependents check if the use employee address is check then only for them update EE address.</t>
  </si>
  <si>
    <t>242359</t>
  </si>
  <si>
    <t>Effective dates were not correct. It was anytime editable. During Qualifying events the plans were not appearing.</t>
  </si>
  <si>
    <t xml:space="preserve">We should turn off the anytime editable and enable the Status changes, where all the new election requires EOI.  
The child GI is set up to the maximum benefit amount so the child will never require an EOI. There is no change to this.  
Enable all the QLE’s same as the Medical plan 
The effective date rule for the QLE is Date of election. 
Check all the options under “Allowed Enrollment Changes”.  
Test to make sure the effective date is date of election.</t>
  </si>
  <si>
    <t>253948</t>
  </si>
  <si>
    <t>Effective 01/01/2021 Creative Hospice changed their rules for termination from Last day of the month following term date to DATE OF TERMINATION.  They are requesting that we also change the rules for anyone who has a QLE and is waiving coverage, the plan termination for all plans should be date of event.  If you could please update the status change rules</t>
  </si>
  <si>
    <t>Updated status change rules to Date of QE for all plan types except for Overage dependent QE rule.</t>
  </si>
  <si>
    <t xml:space="preserve">We are continuing to be off by .01 or .02 cents on the STD and LTD volumes.  I had a call with the carrier today and when we did the calculation, she had me multiply by 66.7% and in Benefits Junction we are calculating by 66.67%.  We did the calculation for an employee who has an annual salary of 163,000.  If we correct the % in Benefits Junction we will match the carrier invoice.
Please update the STD and LTD rate from 66.67 to 66.7% and this will correct the issue.</t>
  </si>
  <si>
    <t xml:space="preserve">Updated the STD and LTD setup benefit percentage to 66.7%.
2) Audit to review if the volume is calculating correctly after the schedular tomorrow.
3) Confirm A and R and Janice and advise them to compare with Invoice report received from carrier.</t>
  </si>
  <si>
    <t>255708</t>
  </si>
  <si>
    <t>PCP is required for the HMO only plans for New Hampton, STL, TCC, New Homestead and Winslow.</t>
  </si>
  <si>
    <t>PCP Information updated for the Locations New Hampton, STL,TCC,New Homstead and Winslow</t>
  </si>
  <si>
    <t>255452</t>
  </si>
  <si>
    <t xml:space="preserve">Any employee went from Full-time to part-time with no benefits so is eligible for COBRA. The employee enrolled in COBRA so we need to track it. 
Please create another class that is COBRA Part Time.</t>
  </si>
  <si>
    <t>Created a new class “COBRA Part Time” and make this eligible for all the plans that COBRA division is eligible.</t>
  </si>
  <si>
    <t>255690</t>
  </si>
  <si>
    <t>Please update the New Hire and Rehire for the following plans:  Voluntary Life, EAP, Travel Assistance, Voluntary STD, Voluntary LTD</t>
  </si>
  <si>
    <t xml:space="preserve">Change from "First of the Month Following or Coinciding with 60 Day(s) from Date of Hire". And change to:
"First of the Month Following 60 Day(s) from Date of Hire"</t>
  </si>
  <si>
    <t>July 2021</t>
  </si>
  <si>
    <t>256212</t>
  </si>
  <si>
    <t xml:space="preserve">Dear &lt;&lt;Employee&gt;&gt;
A warm welcome to Acme Truck Line!
Acme Truck Line is excited to offer a limited healthcare option for you to enroll in through Ternian. This is a health reimbursement plan that provides you limited benefits in relation to doctor's visits, prescription drugs, telemedicine, emergency room, critical illness, and more. You may consider enrolling in this benefit until you are eligible for the Acme Major Medical plan.
Click Here to view a benefit summary and watch a brief video overview.
Click Here to enroll in the Ternian Reimbursement Health Benefit.
If you have any questions, please reach out to:
TrueAdvocate
Phone: (925) 332-7325
Email: benefitshelp@truenorthcompanies.com
Monday through Friday 9:30 am - 6:30 pm CST</t>
  </si>
  <si>
    <t>We have Updated the Activation Email</t>
  </si>
  <si>
    <t>256320</t>
  </si>
  <si>
    <t xml:space="preserve">Retiree Basic Life 10k Plan does not include dependents only the employee.  Please remove spouses and dependents from plans and remove rate and setup. 
Age Reduction does not apply to the Retiree Basic Life Plan 
The rate for only the Retiree Basic Life is .165 per 1k 
For Yessica Lopez please make sure her child has coverage 
On the attached report from the billing Team can you review - Company Paid LTD - on the error report, filter by Expected Adjustment. Only include those that are $0.01 and $0.00.</t>
  </si>
  <si>
    <t>For Basic Life plan with Class 8 we have updated the rate, removed the dependents, removed the age reduction setup.</t>
  </si>
  <si>
    <t>FR</t>
  </si>
  <si>
    <t>257067</t>
  </si>
  <si>
    <t>Per Anthem GGL for voluntary life plan if employee has a QLE GI should only be given for Marriage and Birth.  All other QLE’s require transaction to pending on pending EOI Tracker and EOI popup should appear.</t>
  </si>
  <si>
    <t>Status change Marriage and Childbirth to have GI for voluntary life setup and this setup is already there. For all other Stauts changes remove the Initial eligibility apply GI rules setup.</t>
  </si>
  <si>
    <t>257827</t>
  </si>
  <si>
    <t xml:space="preserve">Through an EDI error we found that the overage dependents lose coverage at the end of the month they turn 26. Please update the medical and dental to remove coverage on the first day of the month following the 26 birthday. 
Also, please update the dependent Fitim Alaj term date, EEID 1167NJ.</t>
  </si>
  <si>
    <t xml:space="preserve">Changed the overage dependent rule for Medical and Dental in Employee Alerts Setup  Overage dependents notification.
On the first day of the month following the 26 th birthday</t>
  </si>
  <si>
    <t>249957</t>
  </si>
  <si>
    <t>Upfield wants to add Wex commuter plans to the system effective 8/1/2021, both Parking Plan and Mass Transit Plan with minimum amount an EE’s can elect at $1 and maximum EE’s can elect at $270. This would be available only to full-time  non-union Wellness and Non-Wellness employees.</t>
  </si>
  <si>
    <t xml:space="preserve">Added  the below plans with 8/1/2021 and make it eligible for “Test” for now, once Juan confirms we can move live:
Parking Plan
Mass Transit Plan
The minimum amount an EE’s can elect at $1 and maximum EE’s can elect at $270.</t>
  </si>
  <si>
    <t>258921</t>
  </si>
  <si>
    <t xml:space="preserve">We found out the dependent lose coverage didn’t allow employees to add or change dental or vision plans. They could only change their coverage. The carriers for Dental and Vision confirmed employees can add or change plans due to this status change. 
Please update the Dep Loses Coverage status change for dental and vision to match the medical setup.</t>
  </si>
  <si>
    <t>Updated the Dependent loses Coverage status change for dental and vision to match the medical setup.</t>
  </si>
  <si>
    <t>258951</t>
  </si>
  <si>
    <t>In my weekly meeting with Brightmark, we found an employee will be changing to part-time status. The broker confirmed the class change benefit termination should mirror the Status Termination. So all benefits except for STD &amp; LTD (date of class) should terminate on the last day of the month following the date of class change. Please update BenJ.</t>
  </si>
  <si>
    <t xml:space="preserve">Class change benefit termination should mirror the Status Termination for a respective plans.
Please go to each plan and see what is status termination rule and then update class termination rule, because few plans have different rules.</t>
  </si>
  <si>
    <t>August 2021</t>
  </si>
  <si>
    <t>259376</t>
  </si>
  <si>
    <t>Please change age reduction for Basic Life Class 1-7, 9 &amp; 10 from age reducing as of birthdate to plan anniversary.</t>
  </si>
  <si>
    <t>Changed age reduction for Basic Life Class 1-7, 9 &amp; 10 from age reducing as of birthdate to plan anniversary.</t>
  </si>
  <si>
    <t>259931</t>
  </si>
  <si>
    <t xml:space="preserve">The rates for The Views needs to be updated. Technically only the rate for a 47 year-old in the UHC Choice Plus 6000 CE-YO plan. 
It was 465.53 and needs to be changed to $465.43.</t>
  </si>
  <si>
    <t>Corrected the rate for the plans</t>
  </si>
  <si>
    <t>260637</t>
  </si>
  <si>
    <t xml:space="preserve">Guardian plans and voluntary life is not anytime editable. This needs to be updated. 
I don’t think we should charge anything because we’re already charging for renewal updates.</t>
  </si>
  <si>
    <t>Guardian plans and Voluntary Life should not be anytime editable. Also, there is QLE setup for Guardian Plans, so no action required on QLE, however for Voluntary Life we need to do QLE setup.</t>
  </si>
  <si>
    <t>261446</t>
  </si>
  <si>
    <t>Upfield requested we add a new department, Data Management. They plan on sending employees in the demographic file under this department in the future.</t>
  </si>
  <si>
    <t>Adding a New Department "Data Management" in Benefits Junction</t>
  </si>
  <si>
    <t>261711</t>
  </si>
  <si>
    <t>Update the auto enrollment setup to “Enroll on Eligibility” for Both Basic Life and Core LTD plans for both period plan years.</t>
  </si>
  <si>
    <t>Auto enrollments has been setup for the requested plans</t>
  </si>
  <si>
    <t>EoS Fitness</t>
  </si>
  <si>
    <t>261536</t>
  </si>
  <si>
    <t>Received a New Location in today's Demographic file (LVR). Please add the new location.</t>
  </si>
  <si>
    <t>New Location added - LVR - Las Vegas S Rainbow and made it eligible for all the plans</t>
  </si>
  <si>
    <t>September 2021</t>
  </si>
  <si>
    <t>Please change age reduction for Basic Life Class 1-7, 9 &amp; 10 to age reducing as of birthdate</t>
  </si>
  <si>
    <t>Changed age reduction for Basic Life Class 1-7, 9 &amp; 10  to age reducing as of birthdate.</t>
  </si>
  <si>
    <t>262958</t>
  </si>
  <si>
    <t>Recived Request from Mutual of omaha to add New STD plan</t>
  </si>
  <si>
    <t>New Employer paid STD plan added effective 6/1/2021</t>
  </si>
  <si>
    <t>Plan Config Document not completly filled</t>
  </si>
  <si>
    <t>263547</t>
  </si>
  <si>
    <t>New Department People &amp; Organisation added and made it eligible for all the plans</t>
  </si>
  <si>
    <t>263552</t>
  </si>
  <si>
    <t>on Paid LOA should receive Basic Life &amp; AD&amp;D as it is a company paid benefit.</t>
  </si>
  <si>
    <t>Full Time on Leave eligible for Basic Life plan. Also enroll the employee who is currently in this Division. We need to move this class wherever applicable including Auto Enrollment Setup.</t>
  </si>
  <si>
    <t>261914</t>
  </si>
  <si>
    <t xml:space="preserve">HR is requesting we add the following classes to the system. Eligibility for these new classes should match Off Schedule - 5 Hours.
• Grant Off Schedule - 5 Hours
• District Administrator Off Schedule - 5 Hours
• Technical/Supervisory Off Schedule - 5 Hours
• Dean of Students Off Schedule - 5 Hours</t>
  </si>
  <si>
    <t xml:space="preserve">Added the below mentioned classes and the Eligibility for this new class should match Off Schedule - 5 Hours  
• Grant Off Schedule - 5 Hours
• District Administrator Off Schedule - 5 Hours
• Technical/Supervisory Off Schedule - 5 Hours
• Dean of Students Off Schedule - 5 Hours</t>
  </si>
  <si>
    <t>262953</t>
  </si>
  <si>
    <t>HR is requesting we add the new class - Teacher - ICCSD Fellow to the system.The class will mirror the Teacher - Full Time class except the new class is eligible for the $100,000 Basic Life plan</t>
  </si>
  <si>
    <t>We have added the new class - Teacher - ICCSD Fellow to the system. The class is same as the Teacher - Full Time class except the new class is eligible for the $100,000 Basic Life plan</t>
  </si>
  <si>
    <t>263330</t>
  </si>
  <si>
    <t>New MetLife Basic Life plan, Voluntary Life, STD &amp; LTD  termination date should be changed from last day of the month following termination date to DATE OF TERMINATION</t>
  </si>
  <si>
    <t>Updated the termination rules for the plans Basic Life and AD&amp;D, STD, LTD and Vol Life to Date of Termination.</t>
  </si>
  <si>
    <t>263908</t>
  </si>
  <si>
    <t xml:space="preserve">When Marci added the Voluntary Life Rates she did not add in the cost for the AD&amp;D Rate. 
Please add .035 per thousand for the Employee AD&amp;D coverage 
Please add .028 per thousand for the Spouse AD&amp;D coverage 
Please add .120 per thousand for the Child AD&amp;D coverage</t>
  </si>
  <si>
    <t xml:space="preserve">We have updated the Voluntary Life rates by adding the below AD&amp;D rates to the current rates -
Added 0.035 per thousand for the Employee AD&amp;D coverage 
Added 0.028 per thousand for the Spouse AD&amp;D coverage 
Added 0.120 per thousand for the Child AD&amp;D coverage</t>
  </si>
  <si>
    <t>October 2021</t>
  </si>
  <si>
    <t>265117</t>
  </si>
  <si>
    <t xml:space="preserve">Deerfield is creating a new entity (a wholly owned subsidiary) and we will need to add this new division to Workforce Junction. The new entity name is CURE EXPERIENCE SERVICES LLC. We will need to form two subgroups under the new CURE entity. 
Group 1: Cure Experience- There will be some current Deerfield employees that will need to be transferred into the new CURE subgroup and they will receive the same benefits as they do today under Deerfield. List will be sent shortly 
Group 2: Cure Experience - Low Option Med/No HRA - This group will have a different medical plan with Cigna (Low Option plan) and they will not have HRA benefits. All other benefits (Life, Dental, Voluntary Life, LTD, Commuter and 401k) will be the same as the Deerfield group. 
Effective 10/1/2021 
Need to update carrier EDI feeds and Benefits Junction configuration.</t>
  </si>
  <si>
    <t xml:space="preserve">We have added 2 new divisions -
Cure Experience 
Cure Experience - Low Option Med/No HRA. 
The division Cure Experience will be eligible same as division Deerfield group., but division Cure Experience - Low Option Med/No HRA is eligible same as division Deerfield group. except for the HRA and current medical plan is not eligible for this division. We have added new Medical plan - Medical Low Option Plan for this division Cure Experience - Low Option Med/No HRA</t>
  </si>
  <si>
    <t>265416</t>
  </si>
  <si>
    <t xml:space="preserve">Carrier reached out on employees whose volumes should have reduced due to age but the age reduction for Basic Life was not set up. For all three basic life plans, please set up the following age reduction schedule: The age reduction should happen on Plan Anniversary. 
Age 70 and over reduced by 50% 
Also, please correct the volume for the following employees:  
Virginia Elswick 
Kenneth Drolet 
Robin Katz</t>
  </si>
  <si>
    <t xml:space="preserve">For all three basic life plans,  set up is updated to following age reduction schedule: The age reduction should happen on Plan Anniversary. 
Age 70 and over reduced by 50%</t>
  </si>
  <si>
    <t>265802</t>
  </si>
  <si>
    <t xml:space="preserve">2 new Departments need to be added – “Rochester” and “Stevens Point” 
1 new Division needs to be added – “Field Union – PTO Buy Up Only” 
There should be no charge to this as it is part of the Open Enrollment fees</t>
  </si>
  <si>
    <t xml:space="preserve">Add 2 new Departments need to be added – “Rochester” and “Stevens Point”, This is eligible same as other departments. Instead of adding new please rename the current departments wellness and non-wellness to use as there are no employees in this department.
Add 1 new Division needs to be added – “Field Union - PTO Buy Up Only” 
These employees should only see the PTO Buy Up Option during open enrollment. New Hires are not eligible to receive this plan and employees can only see this plan during open enrollment. 
As discussed with Janice we will rename “DO NOT USE Union” to Field Union - PTO Buy Up Only.</t>
  </si>
  <si>
    <t>266143</t>
  </si>
  <si>
    <t xml:space="preserve">When the Account Exec Jodie requested the rates she requested Voluntary Life &amp; AD&amp;D but the client was only paying for Voluntary Life, but told employees they had Voluntary Life &amp; AD&amp;D.  due to the mix up the new carrier is keeping the rate as what was submitted for open enrollment and will change the rates next year for open enrollment.  Therefore we need to change the rates back to the rates listed below from the Account Manager:
Ignore the volume row that was used by the broker for something else.</t>
  </si>
  <si>
    <t>Updated the Voluntary Life and AD&amp;D Rates as above. Audit premiums after the scheduler runs.</t>
  </si>
  <si>
    <t>Osage Nation Environmental Solutions LLC.</t>
  </si>
  <si>
    <t>265113</t>
  </si>
  <si>
    <t>Please reduce the number of days for new hires to elect their benefits to 20 days from the date of hire.  WFJ is handling the manual data entry into the carrier portal.  The enrollment must be entered within 30 days of the effective date, and we are only entering the information weekly on Tuesday</t>
  </si>
  <si>
    <t>Changed the New Hire Window period to 20 Days from Eligibility from 31 Days from Upload Date</t>
  </si>
  <si>
    <t>266236</t>
  </si>
  <si>
    <t xml:space="preserve">For the voluntary Life plan the maximum allowed is up to 7 times salary rounding up to the next 25k.  We need to change the rounding to round down to the next 25k.
For the spouse life we also need to change the rounding.  The rule for spouse life is 25k increments and spouse cannot have more than 50% of the employee.  Employee elects 25k the maximum the spouse can be enrolled in is 10k, currently system is allowing 15k.  Please correct the rounding to go down currently it is set to the next highest 5,000 which is not correct per carrier.
I have corrected the two employees identified by the carrier.  I am not sure if there are any others that need to be corrected.</t>
  </si>
  <si>
    <t>Updated the round rule for Voluntary Life Employee to Round Down to $25000 and for spouse to Round Down to $5000. Please do through testing and identify if any impacted employees and send the list to Janice.</t>
  </si>
  <si>
    <t>266138</t>
  </si>
  <si>
    <t>EOS is updating a location name in ADP and have requested we update the name in our system as well.</t>
  </si>
  <si>
    <t xml:space="preserve">Current name: LVD - Las Vegas Durango 
 New name: LVD - Las Vegas: South Durango/W Arby Ave</t>
  </si>
  <si>
    <t>266306</t>
  </si>
  <si>
    <t>Jennifer indicated in the wizard that no rates or contributions were changing for the medical Plans. When we received the invoice from the carrier, the rates had changed, and a few contributions needed to be updated. I have updated the rates in the Renewal Wizard.  Please see the updated rates that need to be entered in Benefits Junction.</t>
  </si>
  <si>
    <t>Updated the rates for Medical Plan. After updating invoice rate setup, verify deductions setup EE Cost and ER cost and then submit.</t>
  </si>
  <si>
    <t>267199</t>
  </si>
  <si>
    <t>HCI acquired a new location – Birkwood Village. 3 letter acronym can be BWV. This location will have the same plans and rates as Fort Madison</t>
  </si>
  <si>
    <t>Add the new location called Birkwood Village and should have the exact same plans and rates as Fort Madison</t>
  </si>
  <si>
    <t>267498</t>
  </si>
  <si>
    <t xml:space="preserve">The group’s waiting period is first of the month following 2 months and then even after that, they have a 30 day grace period to make their elections. 
We believe the new hire enrollment window should be 90 days to account for this, since there’s not coverage effective date rule.</t>
  </si>
  <si>
    <t>Update the New Hire Window period for Voluntary Plan from 30 days to 90 days</t>
  </si>
  <si>
    <t xml:space="preserve">Howard Sheppard has decided they do not want to track employees that are on an unpaid leave.
They would like us to remove the Divisions FT on LOA and PT on LOA.  Please change to Do Not USE and if there is any way not to have them show in the drop down per TrueNorths request.
Howard Sheppard will be responsible for tracking these employees manually and keeping their monthly invoices updated as our EDI team will be sending them as active employees with benefits.</t>
  </si>
  <si>
    <t>Removed Full Time on Leave and Part Time on Leave division from Benefits Junction. Currently in Full Time on Leave there an employee. Tammy, Green - EE ID 59404 should be moved to FT Employee like all other active FT employees.</t>
  </si>
  <si>
    <t>November 2021</t>
  </si>
  <si>
    <t>268610</t>
  </si>
  <si>
    <t>When we received the Vision Invoice rates did not match.  Broker reached out to carrier to confirm that they provided a lower rate than indicated.  Please update Employee and Total rates per screenshot.</t>
  </si>
  <si>
    <t>Updated the Vision plan rate as mentioned above.</t>
  </si>
  <si>
    <t>267885</t>
  </si>
  <si>
    <t>HR confirmed we need to create a new class called Building Subs, eligibility should match that of a Paraeducator – Fulltime.</t>
  </si>
  <si>
    <t>Created a new class called Building Subs and it should mirror a class Paraeducator - Full Time.</t>
  </si>
  <si>
    <t>Recon</t>
  </si>
  <si>
    <t>266373</t>
  </si>
  <si>
    <t>Recon is leaving us at the end of the year. For Pet Insurance, we need to stop all new enrollments going forward. Please keep all currently enrolled policies in place &amp; active in the enrollment system &amp; displaying on each participant's profile, through 12/31/2021</t>
  </si>
  <si>
    <t xml:space="preserve">Pet Insurance: 
1)	End the period plan year with effective 10/31/2021 
2)	Remove the plan type from new hire window setup
3)	Uncheck this plan type from Required Plan Types
4)	Test from employee web to see if the current enrollment is displaying and you should not be able to edit them or make any changes. Also add a new hire see if Per Insurance is appearing or not.</t>
  </si>
  <si>
    <t>270416</t>
  </si>
  <si>
    <t>A new location was reported on the demographic file. The client confirmed we need to add the new location: FUR - Coral Springs/University Dr. Eligibility should match the other locations.</t>
  </si>
  <si>
    <t>Added the new location FUR - Coral Springs/University Dr.</t>
  </si>
  <si>
    <t>271492</t>
  </si>
  <si>
    <t>Please add Andrea Berger, berger.andrea@iowacityschools.org to the benefits enrollment notifications.</t>
  </si>
  <si>
    <t>Added Andrea Berger, berger.andrea@iowacityschools.org to the benefits enrollment notifications.</t>
  </si>
  <si>
    <t>271504</t>
  </si>
  <si>
    <t xml:space="preserve">Please update the HSA plan so contribution changes are effective the Date of Election. We also need to update the HSA plan page. Please replace the last sentence in the third paragraph with the following:  
“Changes to your contributions need to be made through this enrollment system and will be effective the date it is submitted.”</t>
  </si>
  <si>
    <t xml:space="preserve">Updated the HSA Changes to the Enrollments rule to Date of Election from Effective from the next Payroll Start date.
Also corrected the text in information section as stated above.</t>
  </si>
  <si>
    <t>261994</t>
  </si>
  <si>
    <t xml:space="preserve">We need to add the EOI Knock out questions for the CHUBB Plan
https://secure.helpscout.net/conversation/1611789667/261994/#thread-4981317354</t>
  </si>
  <si>
    <t>Added Questionaire setup for Critical Illness plan and added two plans under Critical Illness</t>
  </si>
  <si>
    <t>268962</t>
  </si>
  <si>
    <t>We need to remove the pet insurance plan to stop new enrollments but employees currently enrolled should keep their coverage until 1/31/2022. We only show them their enrollment in the system.</t>
  </si>
  <si>
    <t xml:space="preserve">1)	End the period plan year with effective 01/31/2022.
2)	Removed the plan type from new hire window setup
3)	Unchecked this plan type from Required Plan Types
4)	Unchecked anytime editable setup from custom plans screen</t>
  </si>
  <si>
    <t>272592</t>
  </si>
  <si>
    <t>Dependent and spouse SSN is not required.</t>
  </si>
  <si>
    <t>Dependent and spouse SSN is not required. Uncheck required from mandatory and field setup, even from OE/Status field setup.</t>
  </si>
  <si>
    <t>272053</t>
  </si>
  <si>
    <t xml:space="preserve">HR is requesting we update the class names to the following: 
Grant Off Schedule - 5 hour needs to be  Grant - 5 Hours
District Administrator Off Schedule - 5 hour needs to be  District Administrator - 5 Hours
Tech/Supervisory Off Schedule - 5 hour needs to be  Tech/Supervisory - 5 Hours
Dean of Students Off Schedule - 5 hour needs to be  Dean of Students - 5 Hours</t>
  </si>
  <si>
    <t>Renamed the class names.</t>
  </si>
  <si>
    <t>December 2021</t>
  </si>
  <si>
    <t>272050</t>
  </si>
  <si>
    <t xml:space="preserve">Add two new divisions
•	The Deerfield Foundation
•	The Deerfield Foundation Low Option Med/No HRA
The first should have the medical OAP plan.
the second should have the medical OAPIN plan</t>
  </si>
  <si>
    <t>274926, 274564</t>
  </si>
  <si>
    <t>Turn off the Overage email’s setup for Medical, Dental and Vision and also, end ALL setup with effective 12/31/2021 and also end Activation email</t>
  </si>
  <si>
    <t>RECON client will be terminating end of this year. We have turned off the Overage email’s setup for Medical, Dental and Vision and also, ended ALL setups with effective 12/31/2021 and also disabled Activation email</t>
  </si>
  <si>
    <t>275107</t>
  </si>
  <si>
    <t>The broker is requesting that RPR Driving School be removed as a location.</t>
  </si>
  <si>
    <t>Removed RPR Driving School from Benefits Junction.</t>
  </si>
  <si>
    <t>274972</t>
  </si>
  <si>
    <t>Please update the 2022 HSA maximums to reflect the new limits for 2022.</t>
  </si>
  <si>
    <t xml:space="preserve">Updated the IRS HSA limits for 2022
Single = 3650
Family = 7300</t>
  </si>
  <si>
    <t>274924</t>
  </si>
  <si>
    <t xml:space="preserve">Found out from the TrueNorth that dental and vision policies cover unmarried dependent children, up to age 26 or age 30 if a full-time student. Please set up the minimum age rule to term benefits at the end of the month a dep turns 26, and if a full-time, to term at the end of the month a dep turns 30. 
Please update EEID 1183’s enrollment based on the change to the rule.</t>
  </si>
  <si>
    <t>Updated the Minimum age setup and review overage setup match if its correct. Also correct the above-mentioned employee coverage.</t>
  </si>
  <si>
    <t>JIT- EX LLC</t>
  </si>
  <si>
    <t>274792</t>
  </si>
  <si>
    <t>Per carrier the LTD plan should round up to the next whole dollar.</t>
  </si>
  <si>
    <t>Updated the rounding rule as per above for LTD plan.</t>
  </si>
  <si>
    <t>275751</t>
  </si>
  <si>
    <t>The rule should be 1st of the Month following 2 months of hire/rehire, change in Class for all plans.</t>
  </si>
  <si>
    <t xml:space="preserve">Update the waiting period: The rule should be 1st of the Month following 2 months of hire/rehire, change in Class for all plans
Do not make changes to Location, Department and Division. Leave that to FOFM Date of Change as the termination rule for LDD is Last day of the month following termination. Inform CRM on the same while confirmation in email.</t>
  </si>
  <si>
    <t>276594</t>
  </si>
  <si>
    <t>"Workplace Services" should be "Workplace and Travel Services". Please update the department name to Workplace and Travel Services.</t>
  </si>
  <si>
    <t>"Workplace Services" should be "Workplace and Travel Services". We updated the department name to Workplace and Travel Services.</t>
  </si>
  <si>
    <t>267304</t>
  </si>
  <si>
    <t xml:space="preserve">Dietary Technician change to Dietary Technician(Dietech) 
Combined Admin Assist &amp; Office Manager and rename it as Admin Asst/Office Manager 
And remove we removed the Administrative Assistant from the Dept list.</t>
  </si>
  <si>
    <t>276628</t>
  </si>
  <si>
    <t xml:space="preserve">The Union Division, effective 1/1/2022 will be eligible for the Life AD&amp;D plan. 
So we need the current Enrollees in the Union Division to be enrolled in the Life AD&amp;D and the eligibility rule for Union employees to have Delta Dental and Life AD&amp;D as their only elections.
Class 1 is all employees 2x basic annual earnings to $500,000 - No change to this class 
Class 2 is Union employees only get $50,000 only - New effective 1/1/2022</t>
  </si>
  <si>
    <t xml:space="preserve">Add a new plan Basic Life/AD&amp;D Union 
The eligibility rules should be same as Delta Dental Union plan 
Union employees only get Flat $50,000 only for Basic Life &amp; AD&amp;D 
Age reduction, rounding rule and invoice setup should be same as the current basic life plan.</t>
  </si>
  <si>
    <t>268448</t>
  </si>
  <si>
    <t>Update spouse age reduction to be based on Employee Age for UNUM Vol life plan.</t>
  </si>
  <si>
    <t>Updated spouse age reduction to be based on Employee Age for UNUM Vol life plan</t>
  </si>
  <si>
    <t>277486</t>
  </si>
  <si>
    <t>A new department was received in the demographic file. Please add 83 as a new department. Eligibility should match the other departments.</t>
  </si>
  <si>
    <t>Added 83 as a new department. Eligibility should match the other departments</t>
  </si>
  <si>
    <t>277367</t>
  </si>
  <si>
    <t>The broker confirmed that the vision plan is now a COBRA eligible plan for 2022. Please update the system to make it a COBRA eligible plan for 2022.</t>
  </si>
  <si>
    <t>Please make Vision plan eligible for COBRA with effective 1/1/2022.</t>
  </si>
  <si>
    <t>January 2022</t>
  </si>
  <si>
    <t>266557</t>
  </si>
  <si>
    <t>Per TrueNorth – Please set rounding rule to Conventional Rounding to the whole Dollar for the Voluntary LTD Plan</t>
  </si>
  <si>
    <t>Updated rounding rule to Conventional Rounding to the whole Dollar for the Voluntary LTD Plan</t>
  </si>
  <si>
    <t>278937</t>
  </si>
  <si>
    <t>Please terminate the Cancer Guardian Plan for all employees and make plan inactive as of 01/05/2022.  No employees should be enrolled in the plans and there should be no reference to this plan in Benefits Junction or on Touchpoint.</t>
  </si>
  <si>
    <t>Terminated the Cancer Guardian plan with effective 1/5/2022 in both TP and Benefits Junction.</t>
  </si>
  <si>
    <t>278928</t>
  </si>
  <si>
    <t>Please change the termination rule for the Cancer Low &amp; Cancer High Plans  Termination rule should be change to – Last day of the month following termination date</t>
  </si>
  <si>
    <t>Changed Termination rule for Cancer plans to "Last day of the Month Following Termination date"</t>
  </si>
  <si>
    <t>277374</t>
  </si>
  <si>
    <t>CRF is to have the rule for only the GGL Plans – Basic Life &amp; AD&amp;D, LTD, Voluntary Life &amp; AD&amp;D, Voluntary STD, Voluntary LTD &amp; dependent Basic Life plans only - Invoice Rule updated on Benefits Junction by @config. Currently the retro rule is 'Full Month Premium' for Additions/changes and Terminations and the retro cap is at 2 – set up needs to be changed to prorated premiums option for billing.</t>
  </si>
  <si>
    <t>The billing setup Termination Rule is updated to Prorated premium for the plans of carrier GGL.</t>
  </si>
  <si>
    <t>279209</t>
  </si>
  <si>
    <t>please update the termination rule for Critical Illness and Accident to be end of the month for Jit-Ex</t>
  </si>
  <si>
    <t>Updated the status termination rule for Critical Illness and Accident to be end of the month</t>
  </si>
  <si>
    <t>279280</t>
  </si>
  <si>
    <t xml:space="preserve">For the voluntary Life plan, please round up to the next 10k volume. 
Example – 
The GI for this employee based on the rules – Gi is 5 times earning to a max of 120k no rounding.
This employee’s earns 10.00 per hour times 2080 hours times 5 = 104,000 and the rule provided to us was no rounding. Therefore the employee can only be enrolled in 104k per the GI rule and needs to complete EOI for anything over the 5 times salary to max GI.
The broker replied back with please round the 5 times of multiple of salary up to the next 10k level.
Which would put this employee at the 110k that they elected with no EOI needed for 6k.</t>
  </si>
  <si>
    <t>Updated the rounding rule to be "round up to the next 10k" volume for the GI setup for employees.</t>
  </si>
  <si>
    <t>276193</t>
  </si>
  <si>
    <t xml:space="preserve">We found out that the voluntary life has multiple GIs at different ages. We need to set up the following GIs: 
Employee Voluntary Life:
•	Under age 65 $150,000
•	65-69 $50,000
•	70+ $10,000
Spouse Voluntary Life:
•	Under age 65 $50,000
•	65-69 $10,000
•	Spouse coverage terms at age 70</t>
  </si>
  <si>
    <t xml:space="preserve">Setup multiple GI for Voluntary Life.
Employee Voluntary Life:
•	Under age 65 $150,000
•	65-69 $50,000
•	70+ $10,000 –We will do once functionality is developed. For now do an audit twice a month for impacted employees.
Spouse Voluntary Life:
•	Under age 65 $50,000
•	65-69 $10,000
•	Spouse coverage terms at age 70 – We will do once functionality is developed. For now, replace the current age reduction setup to term spouse coverage at 70. So, at the age of 70 – 100% will reduce.</t>
  </si>
  <si>
    <t>279230</t>
  </si>
  <si>
    <t>Please add a minimum election for the FSA Health Care and the FSA Limited Health Care to $50.00 Annually. Per request from Jennifer Carroll and UMR.</t>
  </si>
  <si>
    <t>Updated minimum election for the FSA Health Care and the FSA Limited Health Care to $50.00</t>
  </si>
  <si>
    <t>279265</t>
  </si>
  <si>
    <t xml:space="preserve">Woodstock effective 01/01/2022 will begin charging Owner/Execs a portion for their benefits.
They all make over 60k so they can assigned to the other classes that have the rates for Over 60k.
I have also attached a rate sheet for you as well.</t>
  </si>
  <si>
    <t>Updated the rates for Owner/Exec as per the attachment in the CRF.</t>
  </si>
  <si>
    <t>273677</t>
  </si>
  <si>
    <t>HR wants to monitor HSA changes, please set up HSA transaction approval for new hires so HSA changes are captured.. Employees will make the changes and HR will have to approve the changes in order for the change to be in effect. This way HR can monitor who all are making changes and take action accordingly.</t>
  </si>
  <si>
    <t>Updated the enrollment transaction approvals setup for New Hire and for existing also including SLP and HSA.</t>
  </si>
  <si>
    <t>280121</t>
  </si>
  <si>
    <t xml:space="preserve">Please add the following departments as listed below as this is how they will come over on the demographic Import file.
Administrative Assistant
Alzheimer Supervisor RN
AP Clerk/Clerical Suppt
AP Manager
AP Supervisor
Assisted Living Supervisor
CNA Registry
Environmental Aide
Marketing
Quality Assurance
Receptionist/Clerical Suppt
Resident Workers
Restorative/Rehab Nurse LPN
Restorative/Rehab Nurse RN
Trust Fund Clerk
VP Operations
Occupational Therapist</t>
  </si>
  <si>
    <t>Added the given departments as per the CRF.</t>
  </si>
  <si>
    <t>280094</t>
  </si>
  <si>
    <t>A new department came over on the demographic file. Please create a new department 520 Customer Service eligibility should match the other departments.</t>
  </si>
  <si>
    <t>Added a new department 520 Customer Service. Eligibility matchs with the other departments.</t>
  </si>
  <si>
    <t>280162</t>
  </si>
  <si>
    <t>Nationwide Pet Insurance page should be turned into an Information only page.  We can use the Brightmark page.  We will need to add the link for Ahern - https://benefits.petinsurance.com/jfahern</t>
  </si>
  <si>
    <t xml:space="preserve">Nationwide Pet Insurance page is turned into an Information only page. Added the link for Ahern in the information section - https://benefits.petinsurance.com/jfahern 
Ended the current Pet Insurance plans with effective 12/31/2021 and made a note to Terminate the plan on February end and Inform CRM on the same.</t>
  </si>
  <si>
    <t>Nationwide Pet Insurance page should be turned into an Information only page.  We can use the Brightmark page.  We will need to add the link for EOS - https://benefits.petinsurance.com/eosfitnessft</t>
  </si>
  <si>
    <t xml:space="preserve">Nationwide Pet Insurance page is turned into an Information only page. Also, added the link for EOS in the information section - https://benefits.petinsurance.com/eosfitnessft 
Ended the current Pet Insurance plans with effective 12/31/2021 and made a note to Terminate the plan on February end.</t>
  </si>
  <si>
    <t>274495</t>
  </si>
  <si>
    <t>Worldclass would like to change all employee’s USERNAME from SSN to WorkEmail Address.</t>
  </si>
  <si>
    <t xml:space="preserve">We have changed the username of all emloyees from  SSN to WorkEmail Address. 
They would also like us to send an email out on Thursday morning to all employee:</t>
  </si>
  <si>
    <t>279450</t>
  </si>
  <si>
    <t>Please set up an Admin Only Plan for Nationwide Pet Insurance</t>
  </si>
  <si>
    <t>Created a custom premium plan with plan name called “Deduction” with plan type “Pet Insurance Deduction</t>
  </si>
  <si>
    <t>280950</t>
  </si>
  <si>
    <t>Update the new hire window to 90 days for Voluntary STD plan</t>
  </si>
  <si>
    <t>Updated the new hire window to 90 days for Voluntary STD plan.</t>
  </si>
  <si>
    <t>281357</t>
  </si>
  <si>
    <t>A new department has been reported on the demographic file. Please create a new department, 84, with eligibility matching the other departments.</t>
  </si>
  <si>
    <t>Added 84 as a new department. Eligibility matchs with the other departments.</t>
  </si>
  <si>
    <t>February 2022</t>
  </si>
  <si>
    <t>281621</t>
  </si>
  <si>
    <t>Please update the minimum on the FSA Dependent Care, FSA Health Care &amp; FSA Limited Health Care plans to be $250.00 instead of $100.00.</t>
  </si>
  <si>
    <t>Updated the minimum annual election value on the FSA Dependent Care, FSA Health Care &amp; FSA Limited Health Care plans to be $250.00 instead of $100.00.</t>
  </si>
  <si>
    <t>282048</t>
  </si>
  <si>
    <t xml:space="preserve">Please change the waiting period for VSP &amp; Basic Life &amp; AD&amp;D, Voluntary Life &amp; Voluntary STD.
Waiting period should match Medical &amp; Dental.
Please change to:  first of the month following hire date.
Please change the Rehire rules for all plans – Medical, Dental, Vision, Basic Life &amp; AD&amp;D, Voluntary Life &amp; AD&amp;D and Voluntary STD.
Please change to:  first of the month following rehire date</t>
  </si>
  <si>
    <t>Updated the waiting period rules as per CRF.</t>
  </si>
  <si>
    <t>274481</t>
  </si>
  <si>
    <t xml:space="preserve">Based on the enrollment we should rename the existing HDHP plan as – HDHP EE contributing to HSA Plan 
We should create the new plan and name it – HDHP EE NOT contributing to HSA Plan 
Once the two plans have been set up and renamed, anyone who is showing electing a $0 or declining the contribute to the HSA plan, should be moved to the HDHP EE NOT CONTRIBUTIN TO THE HSA PLAN.</t>
  </si>
  <si>
    <t xml:space="preserve">Renamed the existing HDHP plan as – HDHP EE contributing to HSA Plan 
Created the new plan and name it – HDHP EE NOT contributing to HSA Plan 
Once the two plans have been set up and renamed, anyone who is showing electing a $0 or declining the contribute to the HSA plan, should be moved to the HDHP EE NOT contributing to HSA Plan</t>
  </si>
  <si>
    <t>280754</t>
  </si>
  <si>
    <t xml:space="preserve">Based on the enrollment we should rename the existing HDHP plan as – HDHP with ER Contribution Plan 
We should create the new plan and name it – HDHP without ER contribution
Once the two plans have been set up and renamed, anyone who is showing electing a $0 or declining the contribute to the HSA plan, should be moved to the HDHP without ER contribution.</t>
  </si>
  <si>
    <t xml:space="preserve">Renamed the existing HDHP plan as – HDHP with ER Contribution
Created the new plan and name it – HDHP without ER contribution
Once the two plans have been set up and renamed, anyone who is showing electing a $0 or declining the contribute to the HSA plan, should be moved to the HDHP without ER contribution Plan.</t>
  </si>
  <si>
    <t>Centers for New Horizons Inc.</t>
  </si>
  <si>
    <t>282609</t>
  </si>
  <si>
    <t>Please change the set up for the HMO Medical Plan not to request a PCP.  Per carrier we should not be sending on the file. No change for the Dental PCP this should remain as set up.</t>
  </si>
  <si>
    <t>Changed the set up for the HMO Medical Plan not to request a PCP. No changes for the Dental PCP this should remain as it is.</t>
  </si>
  <si>
    <t>264844</t>
  </si>
  <si>
    <t xml:space="preserve">Rate for STD was changed, and we were not notified – Rate increased from .14 to .20 – Jenn has attached the renewal document that they forgot to send us.
The Medical plans monthly premium amount was changed, and we were not notified.</t>
  </si>
  <si>
    <t>Premiums are updated for Medical and STD plans</t>
  </si>
  <si>
    <t>282570</t>
  </si>
  <si>
    <t>In a recent demographic file, we received a new department. Please add department, Development, with eligibility matching the other departments.</t>
  </si>
  <si>
    <t>Added department, Development, with eligibility matching the other departments.</t>
  </si>
  <si>
    <t>281489</t>
  </si>
  <si>
    <t xml:space="preserve">The Termination rules entered into the Renewal Wizard by Jennifer Carroll are not correct.  Please update the rules for termination and status changes that are removing an employees and dependents from the plans.  Leave Legal Shield as is for now and will update once client receives confirmation.
Plans in yellow need to be updated for Terminations and plan terminations for QLE.  Anyone coming of one of the plans, coverage should go through the end of the month.</t>
  </si>
  <si>
    <t>Updated the Termination rules for the above listed plans per Janice. Also updated the status changes that are removing an employees and dependents from the plans as per the CRF</t>
  </si>
  <si>
    <t>281496</t>
  </si>
  <si>
    <t xml:space="preserve">Update the Voluntary Life setup for Employee, Spouse and Child as below. 
Employees can elect in $10K increments up to a maximum of $500,000
Spouses can elect in $5K increments up to a max of $250K but can’t have more than 50% of the EE amount. 
Children can elect in $1K increments up to a max of $10K but can’t have more than 50% of the EE amount.</t>
  </si>
  <si>
    <t xml:space="preserve">Updated the Voluntary Life setup for Employee, Spouse and Child as below. 
Employees can elect in $10K increments up to a maximum of $500,000
Spouses can elect in $5K increments up to a max of $250K but can’t have more than 50% of the EE amount. 
Children can elect in $1K increments up to a max of $10K but can’t have more than 50% of the EE amount.</t>
  </si>
  <si>
    <t>283040</t>
  </si>
  <si>
    <t>Per client termination rule should be end of the month following termination date for QLE and Terminations for Legal Shield plan</t>
  </si>
  <si>
    <t>Updated the Termination rule and all QLE rules to end of the month for Legal Shield plan.</t>
  </si>
  <si>
    <t>283084</t>
  </si>
  <si>
    <t>We have received the ACME Demographic file and found a new department 396 for one employee. Please add the new department. The eligibility should match the other departments.</t>
  </si>
  <si>
    <t>Added 396 as a new department. Eligibility should match the other departments</t>
  </si>
  <si>
    <t>266363</t>
  </si>
  <si>
    <t xml:space="preserve">The broker has sent updates to the EOI and Rehire rules - 
https://appriver3651007094.sharepoint.com/:w:/g/EbxGSlJLFKNEoAl24VKBe2YBulb0Tcp9ac3JkUzfvS_LFQ?e=XlKJJ8</t>
  </si>
  <si>
    <t xml:space="preserve">Rate for STD was changed, and we were not notified – Rate increased from .14 to .20 – Jenn has attached the renewal document that they forgot to send us. See attachment on Ticket
The monthly premium amount was changed, and we were not notified.  See attachment on Ticket
2/17 – correct made to Employee Premium for HDHP with and without HAS should be 447.86.  It was entered on this request as 447.76</t>
  </si>
  <si>
    <t>The STD rate Rate increased from 0.14 to 0.20 effective 1/1/2022.</t>
  </si>
  <si>
    <t>282942</t>
  </si>
  <si>
    <t xml:space="preserve">We need to ask a question prior to the medical plan.
Are electing one of the HDHP Health Plans and are at least 65 years old and accepting Medicare and therefore not eligible to have an HSA?
If Yes – then they should see the HDHP without ER Contribution – 2 new plans
If No – then they see the regular HDHP plan 2 plans already existing
We need to build 2 new plans: Open Access Plus In HSA 1500 High without ER contribution &amp; Open Access Plus In HSA 2500 Low without ER contribution
When the employee selects yes, they should not see the HSA page or if they do not contribute then they should see the FSA medical option.  Only if they answered yes to the question should they see the medical FSA option.  If they answer no to the question and do not contribute to the HSA they are still not eligible for the FSA medical option.</t>
  </si>
  <si>
    <t xml:space="preserve">Work on the above changes as per the instructions. For the below create plan dependency as discussed over the call.
If they answer no to the question and do not contribute to the HSA they are still not eligible for the FSA medical option.</t>
  </si>
  <si>
    <t>283935</t>
  </si>
  <si>
    <t>The voluntary Life &amp; the Voluntary Life &amp; AD&amp;D plans have a maximum of 5 times annual salary rounded up to the next 10k.  This was not indicated by broker during open enrollment.  It is showing on the Plan Summary Document from the carrier.  Please update system setup</t>
  </si>
  <si>
    <t>You may elect to be insured for an amount of life insurance from $10,000 to $300,000, in increments of $10,000. In no eventshall Your amount of life insurance exceed 5 times Your Annual Earnings, rounded to the next higher multiple of $10,000.</t>
  </si>
  <si>
    <t>281654</t>
  </si>
  <si>
    <t xml:space="preserve">Extend all plans till 3/31/2023
Send Welcome emails to employees who did not receive the weclome emails from the system. 
Enable New Hire To Do List and send welcome emails who did not get chance to enroll into plans</t>
  </si>
  <si>
    <t xml:space="preserve">Extended all plans till 3/31/2023
Sent Welcome emails to employees who did not receive the weclome emails from the system. 
Enabled New Hire To Do List from back-end and sent welcome emails who did not get chance to enroll into plans</t>
  </si>
  <si>
    <t>283662</t>
  </si>
  <si>
    <t>For the Limited Medical Gap plan, overage rule for the plan needs to be updated to term at the end of the month that the dependent turns 26.</t>
  </si>
  <si>
    <t>Updated the Overage Dependent rule for Limited Medical GAP plans to term the coverage at the end of  the month that dependent turns 26</t>
  </si>
  <si>
    <t>283065</t>
  </si>
  <si>
    <t xml:space="preserve">The client doesn’t want to allow employees to have the option to waive the HSA. Please update the following: 
1. Remove Waive option from HSA plan election page.
2. Employees should still have the option to contribute $0 towards the HSA.
3. Add verbiage on this enrollment page:  "If you are not eligible to participate in the HSA, please contact the Stellar HR team to notify them of your waiver."
4. Update the plan detail for FSA HC and Limited FSA HC as shown in below screenshot.</t>
  </si>
  <si>
    <t xml:space="preserve">1. Enable Employer Contribution in HSA Plan Setups which will remove waive option in HSA election page.
2. Employees should still have the option to contribute $0 towards the HSA.
3. Add verbiage on this enrollment page:  "If you are not eligible to participate in the HSA, please contact the Stellar HR team to notify them of your waiver."
4. Update the plan detail for FSA HC and Limited FSA HC as shown in below screenshot.</t>
  </si>
  <si>
    <t>284509</t>
  </si>
  <si>
    <t>Update billing rules - No Premium for first month unless it is 1st.</t>
  </si>
  <si>
    <t>Updated the addition rule for Metlife Billing rules as per above.</t>
  </si>
  <si>
    <t>March 2022</t>
  </si>
  <si>
    <t>283060</t>
  </si>
  <si>
    <t>Age Reduction needs to be set up for Spouse voluntary Life.</t>
  </si>
  <si>
    <t xml:space="preserve">Age Reduction needs to be set up for Spouse voluntary Life. 
Age reduction is based on employees age and spouse coverage terms when employee reaches age 70. 
Age Spouse Age Reductions schedule to below. 
At the age of 65 the benefit will reduce by 33% 
At the age of 70 the benefits will reduce by 100% and terminates</t>
  </si>
  <si>
    <t>280092</t>
  </si>
  <si>
    <t xml:space="preserve">We need to create an “Owners” Class. 
it should go under class as per EDI., as it was prompted by UNUM. I am charging $250 for this update</t>
  </si>
  <si>
    <t>Created an “Owners” Class and the eligibility mapping should be the same plans as Deerfield Management division.</t>
  </si>
  <si>
    <t xml:space="preserve">Prior to the new plan year, status changes were updated to reflect the effective date rule as 2 Day(s) Following Date of QE but during renewal, the renewal wizard was updated to be as Date of QE apart from Medical. Please update all status changes to match the medical status changes. 
Also, please update the medical Dep Gained Employment status change to 31 days</t>
  </si>
  <si>
    <t xml:space="preserve">Updated all status changes to match the medical status changes 
Also, updated the medical Dep Gained Employment status change to 31 days.</t>
  </si>
  <si>
    <t>285881</t>
  </si>
  <si>
    <t xml:space="preserve">The Basic Life &amp; AD&amp;D Plan as a Dependent Component to the plan.  Children are covered until the end of the month following their 26th birthday.  When this plan was implemented, the Overage Dependent rule should have been configured in the site.
Please set up the Overage Dependent Notification for Basic Life.
Also, there are 3 dependent that are over the age of 26 that need to be removed from coverage:
Vega, Leonard
Coley Enright, Faye
Collier, Shelby</t>
  </si>
  <si>
    <t xml:space="preserve">Please set up the Overage Dependent Notification for Basic Life to end of the month following their 26th birthday.
Also, there are 3 dependent that are over the age of 26 that need to be removed from coverage:
Vega, Leonard
Coley Enright, Faye
Collier, Shelby</t>
  </si>
  <si>
    <t>286168</t>
  </si>
  <si>
    <t>UnitedHealthcare Choice Plus 6000 CE-YO - VIW - This plan rate change for the locations Meadowview,ridgeview and Views of Marion</t>
  </si>
  <si>
    <t>286337</t>
  </si>
  <si>
    <t>The broker requested we enable status changes for the accident plan. Please update it to match the medical plan status change setup.</t>
  </si>
  <si>
    <t>update the status change setup for Accident plan to match the Medical.</t>
  </si>
  <si>
    <t>286668</t>
  </si>
  <si>
    <t>A new department came over on the demographic file, Service Delivery Center. Please add the new department. Eligibility show match the other departments.</t>
  </si>
  <si>
    <t>Added the above-mentioned Department. Eligibility show match the other departments</t>
  </si>
  <si>
    <t>285445</t>
  </si>
  <si>
    <t>Effective 04/01/2022 any employee that is a new hire on or after 04/01/2022 that is a salary employee (Class = Salary) Benefits should be effective date of hire.  This should also include the rehire rule for salary employees as well – Class Salary – rehired on or after 04/01/2022 effective date of rehire.</t>
  </si>
  <si>
    <t>Updated New hire and Rehire to "Date of Hire" Effective 4/1/2022 for Salary Class plans</t>
  </si>
  <si>
    <t>286557</t>
  </si>
  <si>
    <t xml:space="preserve">Update the Status Change Effective date Rules -
Child Birth &amp; Adoption should remain as Date of Event 
Anyone coming on to the plans the effective date is FOM following QLE date 
Anyone coming off the plans the effective date is the last day of the month following QLE date</t>
  </si>
  <si>
    <t xml:space="preserve">Updated the Status Change Effective date Rules -
Child Birth &amp; Adoption should remain as Date of Event 
Anyone coming on to the plans the effective date is FOM following QLE date 
Anyone coming off the plans the effective date is the last day of the month following QLE date</t>
  </si>
  <si>
    <t>285069</t>
  </si>
  <si>
    <t>Employee requested to cancel pet insurance, but BenJ was not allowing it without a status change. The broker confirm employee can enroll and decline the coverage at any time. Please update the plan to allow enrollment or declining at any time.</t>
  </si>
  <si>
    <t>Per Insurance employee can enroll and decline the coverage at any time. Please update the plan to allow enrollment or declining at any time.</t>
  </si>
  <si>
    <t>287443</t>
  </si>
  <si>
    <t>Please update the employer contribution for both bronze plans. No changes to the employee contributions.</t>
  </si>
  <si>
    <t>Updated the rates for both mentioned Medical bronze plans.</t>
  </si>
  <si>
    <t>287060</t>
  </si>
  <si>
    <t xml:space="preserve">Update medical rates. See rate sheet: https://appriver3651007094.sharepoint.com/:x:/g/EQ4BKHUryihNuGFPgMDNoXEBRG1wSGMfaaSO1lVtOqdVfQ?e=DUOqIF
Confirmed with Denna that no charge required</t>
  </si>
  <si>
    <t>Update the invoice rates and then review if the ER Cost has changed in deductions setup. If not edit each tier rate and save the setup. This rate is effective 7/1/2022.</t>
  </si>
  <si>
    <t>287882</t>
  </si>
  <si>
    <t xml:space="preserve">Effective 04/01/2022 the volume for Basic Life &amp; AD&amp;D have increased from 30k to 50k.
Basic Life is .106
Basic AD&amp;D remains the same at .034</t>
  </si>
  <si>
    <t>285477</t>
  </si>
  <si>
    <t xml:space="preserve">Waiting Period Rules changed for Manager to Date of Election for all MOO plans.
New Hire Enrollment setup has changed to 89 dates for MOO plans for both classes.
Add two Welcome emails as per Class.
Change New Hire Reminder email frequency to every two weeks 60 days before due date</t>
  </si>
  <si>
    <t>April 2022</t>
  </si>
  <si>
    <t>288286</t>
  </si>
  <si>
    <t xml:space="preserve">Through a Noyo discrepancy, we found out that the Employee Gained other Coverage status changes need to be updated to be effective the first of the following month. So coverage ends at the end of the month. This change needs to be updated for all plans that have status change enabled. 
Once this is updated, please correct EE#SHE0005 effective dates to match the new rule</t>
  </si>
  <si>
    <t>Updated the status change rule for the above mention one status change for all the plan</t>
  </si>
  <si>
    <t>288451</t>
  </si>
  <si>
    <t>Telemedicine is set for if enrolled in MEC Green or MEC Blue plans only.  Set up updated to Enrolled in one of the 5 medical plans being offered. Effetive 09/01/2021 and enrolled anyone who is currently enrolled in any of the medical plans</t>
  </si>
  <si>
    <t>288897</t>
  </si>
  <si>
    <t xml:space="preserve">Please add two new Departments:  
 .</t>
  </si>
  <si>
    <t xml:space="preserve">Please add the following 2 departments. Eligibility should be set similar to other departments.
•	ADON LPN
•	Corporate-Executive Level</t>
  </si>
  <si>
    <t>288929</t>
  </si>
  <si>
    <t xml:space="preserve">Setup for both CI plans should be Critical Illness age bracket premium is based on age as of Plan Anniversary date 09/01.
Once this has been updated in the system, please ensure anyone that is enrolled in the plan and has had a birthday since 09/01/2021 that they are put back into the age bracket of age as of 09/01/2021.</t>
  </si>
  <si>
    <t>290104</t>
  </si>
  <si>
    <t xml:space="preserve">Until the June Release – please set new hire enrollment period to 120 days from date of hire.
Once we are able to set the New Hire Waiting period by CLDD we will need to update rules for Managers to be 30 days and keep Non Managers at 120 days.</t>
  </si>
  <si>
    <t xml:space="preserve">Until the June Release – please set new hire enrollment period to 120 days from date of hire.
Please add a task on teamwork for July and add the below note in task.
Once we are able to set the New Hire Waiting period by CLDD we will need to update rules for Managers to be 30 days and keep Non Managers at 120 days.</t>
  </si>
  <si>
    <t>289343</t>
  </si>
  <si>
    <t xml:space="preserve">The broker confirmed the following status changes doesn’t allow an employee to stop contribution to the FSA. Please update the FSA HC &amp; FSA DC status changes and remove the ‘Stop Contributions’ option for the following: 
•	Marriage/Domestic Partner
•	Birth
•	Adoption</t>
  </si>
  <si>
    <t xml:space="preserve">Updated the FSA HC &amp; FSA DC status changes to remove the ‘Stop Contributions’ option for the following events: 
•	Marriage/Domestic Partner
•	Birth
•	Adoption</t>
  </si>
  <si>
    <t>May 2022</t>
  </si>
  <si>
    <t>289083</t>
  </si>
  <si>
    <t>Alerts</t>
  </si>
  <si>
    <t>San Francisco requires employees working in the Bay Area to fill out a waiver form so Brightmark doesn’t have to make health care expenditure on the EE’s behalf. We need to create a waiver page. The config team has already created a page and the client has reviewed and approved. Please enable the page only for employees with a California Location</t>
  </si>
  <si>
    <t>Enabled Waiver for page only for employees with a California Location</t>
  </si>
  <si>
    <t>291597</t>
  </si>
  <si>
    <t>Deerfield is moving to a new 401k carrier to Fedility add a new plan and Terminate the Exisiting 401k plan with principal</t>
  </si>
  <si>
    <t>Added new 401k plan with Fedility and terminated the existing plan</t>
  </si>
  <si>
    <t>291726</t>
  </si>
  <si>
    <t>The demographic file reported a new location. Please create the location: CWS Whittier: Whittier Blvd / Sorenson Ave. The eligibility should match the other locations</t>
  </si>
  <si>
    <t>Please create the location: CWS Whittier: Whittier Blvd / Sorenson Ave. The eligibility should match the other locations</t>
  </si>
  <si>
    <t>291789</t>
  </si>
  <si>
    <t>Please change the current Department name - Schaumburg and rename the Location "Chicago"All employees in Schaumburg be in the rename location Chicago.</t>
  </si>
  <si>
    <t>Rename the current Department: "Schaumburg" to "Chicago"</t>
  </si>
  <si>
    <t>291623</t>
  </si>
  <si>
    <t>Need to create a new Additional Benefit Information page for Illinois employees to post a notice for these employees.</t>
  </si>
  <si>
    <t>292661</t>
  </si>
  <si>
    <t xml:space="preserve">Client wants to add the new hires that are effective 07/01/2022.
She did not want to add these employees when they were hired as it would have been in the middle of OE and didn't want them to get confused.</t>
  </si>
  <si>
    <t xml:space="preserve">1. Turn off the - To Do List we do not want the date to show. They only want employees to have until June 3rd to complete their enrollment.
2. We need to add to the Welcome Email - Where we are currently showing the To Do List can you just add a sentence that says"
You must make your new hire benefits election no later than Friday June 3rd. Otherwise you will have to wait until the next open enrollment period or experience a Qualified Life Event that allows you to enroll in Benefits.</t>
  </si>
  <si>
    <t>292959</t>
  </si>
  <si>
    <t>New Hire Enrollment</t>
  </si>
  <si>
    <t>Broker and the client States that employees should have 30 days after the 90-day waiting period to enroll in the medical plan. Please updated the new hire period for the medical plan to 120 days.</t>
  </si>
  <si>
    <t>293091</t>
  </si>
  <si>
    <t>Please set up ALL QLE to pend for HR approval.  The employees are not required to upload proof of QLE, but need to pend for HR approval of the event.</t>
  </si>
  <si>
    <t>We have set up ALL QLE to pend for HR approval (Status change, New Hire and all)</t>
  </si>
  <si>
    <t>293870</t>
  </si>
  <si>
    <t xml:space="preserve">Please set all rehire rules to be - 
Within 0 Days of termination date, Date of Rehire Otherwise First of the month following 60 days from Date of Hire
Also Please correct Starla Betu she is a rehire and we need to correct the effective dates for her coverage.  It should be FOM following 60 days from hire date.</t>
  </si>
  <si>
    <t xml:space="preserve">Please set all rehire rules to be - 
Within 0 Days of termination date, Date of Rehire Otherwise First of the month following 60 days from Date of Hire
Also Please correct Starla Betu she is a rehire and we need to correct the effective dates for her coverage.  It should be FOM following 60 days from hire date. This has been corrected now to show 8/1/2022 as the effective date.</t>
  </si>
  <si>
    <t>292935</t>
  </si>
  <si>
    <t>Per email today from Jennifer the Cancer Plan should be set up with the same enrollment limitations as medical.  It should only be able to have changes during the year if the employee has a QLE or is a new hire electing for the first time.</t>
  </si>
  <si>
    <t>We have removed "Always Editable" option for Cancer plan</t>
  </si>
  <si>
    <t>Client would like to have the New Hire Enrollment period changed to 60 days from date of hire.</t>
  </si>
  <si>
    <t>Updated New Hire Enrollment period changed to 60 days from date of hire for all the plan types.</t>
  </si>
  <si>
    <t>293058</t>
  </si>
  <si>
    <t xml:space="preserve">I confirmed the rehire waiting rule for the medical plan, and HR wants the dental rehire waiting rule to match the medical plan. Please update the rule: 
•	If hired within 90 days of the termination date, the effective date is the date of rehire.
•	Or first of the month following or coinciding with 59 days (s) from the rehire date.
Also, please update the dental effective for ID 0016376 to match the medical plan.</t>
  </si>
  <si>
    <t xml:space="preserve">HR wants the dental rehire waiting rule to match the medical plan. Please update the rule: 
•	If hired within 90 days of the termination date, the effective date is the date of rehire.
•	Or first of the month following or coinciding with 59 days (s) from the rehire date.
Also, please update the dental effective for ID 0016376 to match the medical plan.</t>
  </si>
  <si>
    <t>June 2022</t>
  </si>
  <si>
    <t>294075</t>
  </si>
  <si>
    <t xml:space="preserve">A year or so ago Denna requested that we add an additional dropdown for Qualified Life Events.
This was set up and Config Team was instructed to update all clients with this as an allowable QLE.
Looks like some groups are not showing with this as a Qualified Life Event.
Please update Howard Sheppard for all plans = Employee Gained Other Coverage
Looks like Medical, Dental and Vision has already updated this but here is the CRF that Config Team requested.  There are some plans that still need to be added.</t>
  </si>
  <si>
    <t>Updated Howard Sheppard for all plans = Employee Gained Other Coverage</t>
  </si>
  <si>
    <t>O'Rourke Sales Company</t>
  </si>
  <si>
    <t>294318</t>
  </si>
  <si>
    <t xml:space="preserve">Age Reduction for voluntary Life &amp; AD&amp;D should be set at Next Policy year.  Currently it is set at Birthday.  Please change to Next Policy Year.
Please correct William Redmon and make sure no other employees have turned age 65 or 70 since January 1, 2022.  Please correct any employee that was age reduced on birthday and correct so it will reduce on next policy renewal 01/01/2023.</t>
  </si>
  <si>
    <t xml:space="preserve">Age Reduction for voluntary Life &amp; AD&amp;D should be set at Next Policy year for Employee and Spouse
Please correct William Redmon and make sure no other employees have turned age 65 or 70 since January 1, 2022.  Please correct any employee that was age reduced on birthday and correct so it will reduce on next policy renewal 01/01/2023.
Also can they please check and confirm no other employees reached age 65 or 70 so far this year. Please correct any other employees that were affected by this error.</t>
  </si>
  <si>
    <t xml:space="preserve">Age Reduction for both Basic Life &amp; AD&amp;D Plans should reduce at plan anniversary and not on birthdate.  Please update BenJ to Age Reduce at Plan Anniversary.
Also please check to make sure it has not affected anyone yet this year.  If so please correct the employees record and update the volume if needed.</t>
  </si>
  <si>
    <t>Update the Basic Life and AD&amp;D plan and also identify impacted employees.</t>
  </si>
  <si>
    <t>295135</t>
  </si>
  <si>
    <t xml:space="preserve">Medical Plans – The end date should be 1/31/2023 with a new PYP 02/01/2023
The Dental, Vision, Basic Life, Voluntary Life &amp; Voluntary STD should all have the plan year extended to 1/31/2023 end date with new PYP 02/01/2023</t>
  </si>
  <si>
    <t xml:space="preserve">Medical Plans – The end date is updated to 1/31/2023 with a new PYP 02/01/2023
The Dental, Vision, Basic Life, Voluntary Life &amp; Voluntary STD to all have the plan year extended to 1/31/2023 end date with new PYP 02/01/2023</t>
  </si>
  <si>
    <t>296346</t>
  </si>
  <si>
    <t xml:space="preserve">Effective 7/1/2022 add a new period plan year in Eligibility and Waiting Period, New Hire Window.
1)	Update waiting period to 1st of the month following date of hire
2)	Update New Hire Enrollment window to 10 days from date of hire
3)	All plans except Vision and Cancer plan will term on termination date. Vision and Cancer should term on last day of month following term date.</t>
  </si>
  <si>
    <t xml:space="preserve">Effective 7/1/2022 added a new period plan year in Eligibility and Waiting Period, New Hire Window.
1) Updated waiting period to 1st of the month following date of hire.
2) Updated New Hire Enrollment window to 10 days from date of hire.
3)All plans except Vision and Cancer plan will term on termination date. Vision and Cancer should term on last day of month following term date.</t>
  </si>
  <si>
    <t>296668</t>
  </si>
  <si>
    <t>We received a new location in demographic file that needs to be added. Please add CO7 - Corporate TX as a location with eligible matching the other locations.</t>
  </si>
  <si>
    <t>Please add CO7 - Corporate TX as a location with eligible matching the other locations.</t>
  </si>
  <si>
    <t>293081</t>
  </si>
  <si>
    <t>For Stellar, the broker confirmed any increases outside of the new hire period require an EOI. Please setup EOI for Critical Illness.</t>
  </si>
  <si>
    <t>Setup EOI for Critical Illness all the 4 plans. Any increases outside of the new hire period require an EOI.</t>
  </si>
  <si>
    <t>296971</t>
  </si>
  <si>
    <t xml:space="preserve">Update waiting period rule should match medical plan for  below listed plans Except for LTD.
Voluntary Life 
EAP 
Travel Assistance 
Voluntary STD 
Accident</t>
  </si>
  <si>
    <t xml:space="preserve">Update waiting period rule should match medical plan for  below listed plans Except for LTD.
Voluntary Life 
EAP 
Travel Assistance 
Voluntary STD 
Accident 
For ER paid LTD: DEPTMGR - First of the Month Following 60 Day(s) from Date of Hire 
CEO, DIRECTOR - Date of Hire</t>
  </si>
  <si>
    <t>296979</t>
  </si>
  <si>
    <t xml:space="preserve">The new hires are being added within 30 days of the new hire to-do due dates, and the current settings for the reminder emails are set to send reminders weekly, 30 days before their due dates. Because of this, employees are receiving the first reminder email on their second day. 
HR confirmed new hires are entered on Mondays and HR would like the reminders to start on the following Monday, but since we can’t select a specific day, we need to reduce the time frame from 30 days to 23 days to start sending reminder emails before the due date.
Please update the Enroll/Waive Benefits for new hires to start sending reminders 23 days before due date</t>
  </si>
  <si>
    <t xml:space="preserve">Setup up the To Do List email reminder email to as per below. This applies only to Enroll/Waive Benefits emails.
Send e-mails	23 days before due date</t>
  </si>
  <si>
    <t xml:space="preserve">New Rules. 
If an employee rehires within 30 days of their termination date, they are eligible for benefits First of the month following rehire date.
If the rehire date is greater than 30 days from termination date they have to wait the full waiting period - First of the month following 60 days.</t>
  </si>
  <si>
    <t xml:space="preserve">If an employee rehires within 30 days of their termination date, they are eligible for benefits First of the month following rehire date.
If the rehire date is greater than 30 days from termination date they have to wait the full waiting period - First of the month following 60 days.</t>
  </si>
  <si>
    <t>297258</t>
  </si>
  <si>
    <t>We received a new location in the demographic file. Please add FLL - Lutz: SR 54/Oak Grove as a location with eligibility matching the other locations</t>
  </si>
  <si>
    <t>Added FLL - Lutz: SR 54/Oak Grove as a location with eligibility matching the other locations</t>
  </si>
  <si>
    <t>297306</t>
  </si>
  <si>
    <t xml:space="preserve">Please add the following locations 
 Austin Family Case Management &amp; HFA 
FIC Lab 
Lake Park Lab – This is already added on BenJ. 
Please remove CHN-Pitts.</t>
  </si>
  <si>
    <t xml:space="preserve">We have added below locations to system, these have same eligibility as other locations -
 Austin Family Case Management &amp; HFA 
FIC Lab 
Request to remove CHN-Pitts location from system will be done once the employees in this location are moved to the new location.</t>
  </si>
  <si>
    <t>Rehire Rules – Any employee who rehires the rehire rule is FOM following Rehire Date.</t>
  </si>
  <si>
    <t xml:space="preserve">We have updated the rehire rules for all plans to -
"Within 0 Days of termination date, First of the Month Following 0 Day(s) from Date of Rehire
Others, First of the Month Following 0 Day(s) from Date of Rehire"</t>
  </si>
  <si>
    <t>July 2022</t>
  </si>
  <si>
    <t>297837</t>
  </si>
  <si>
    <t xml:space="preserve">Our life insurance provider is no longer allowing paper forms for the Evidence of Insurability process and all requests must be done electronically. Many of our members have already been doing this but we still have the paper forms linked in the enrollment system. Can you please make the below changes?
•	Remove the form "Supplemental Life Evidence of Insurability (EOI) Form" from all areas in the benefit system (home page, Life Insurance pages, enrollment summary page)
•	Add the attached instructions to the home page and supplemental life page
•	Have this website - https://www.mylincolnportal.com/ - available on the supplemental life page for employees to complete.</t>
  </si>
  <si>
    <t xml:space="preserve">Remove Evidence of Insurability (EOI) Form in all places in BenJ. Update the below link.
https://www.mylincolnportal.com
Add the attached instructions to the home page and supplemental life page
https://fs.benefitsjunction.com/186/EOI-Instructions-Flyer.pdf</t>
  </si>
  <si>
    <t xml:space="preserve">Managers should have 31 days from date of hire to enroll in Benefits.
Non-Managers should have 90 days from date of hire to enroll in Benefits
*Please note - Enrollment Window: Mutual of Omaha states that employees have 31 days from their effective date to enroll in coverage. If employees make elections outside of the 31 days, they are considered a "late entrant". Late Entrants require Evidence of Insurability.</t>
  </si>
  <si>
    <t xml:space="preserve">Managers should have 31 days from date of hire to enroll in Benefits.
Non-Managers should have 90 days from date of hire to enroll in Benefits
For MOO plans - Non-Managers should have 120 days from date of hire to enroll in Benefits</t>
  </si>
  <si>
    <t>296344</t>
  </si>
  <si>
    <t xml:space="preserve">Hartford- For STD it is the date of termination and for CI/ACC/HI it is end of the month following date of termination.
Health Equity- With the HSAs you can terminate the account at any time. Please note that the termination only serves the ER relationship and makes the ee an individual in our system. Please use date of termination for Elath Equity
For MOO – see below from carrier</t>
  </si>
  <si>
    <t xml:space="preserve">Hartford STD – Change status Termination and work country rule to Date of Termination for both STD plans.
QLE Rules:
Medical - First of the Month Following 0 Day(s) from Date of QE for Divorce, Dependent Gained Employment/Other Coverage
Dental - First of the Month Following 0 Day(s) from Date of QE for Divorce, Dependent Gained Employment/Other Coverage
Vision - First of the Month Following 0 Day(s) from Date of QE for Divorce, Dependent Gained Employment/Other Coverage
Voluntary Life, CI, HOSPITAL INDEM &amp; ACCIDENT - First of the Month Following 0 Day(s) from Date of QE for Divorce, Dependent Gained Employment/Other Coverage
No Changes to overage setup because the as OAD setup in plans will take care of removing dependents instead of QLE.</t>
  </si>
  <si>
    <t>TrueNorth/Higginbotham</t>
  </si>
  <si>
    <t>298008</t>
  </si>
  <si>
    <t>Admin Setup</t>
  </si>
  <si>
    <t xml:space="preserve">Higginbotham has acquired a portion on TrueNorth.  Gilbert May is moving from TN to Higginbotham effective 07/01/2022.  There are 3 employees at TN that are moving over to Higginbotham that should remain to have access in Benefits Junction as the Partner/Broker.  Please Keep the following 3 employees Active
•	Tiffanie Martinez
•	Carmen Ramos
•	Stephanie Price
The following partner’s Admins should no longer have access to Gilbert May.</t>
  </si>
  <si>
    <t>Updated the about admin access.</t>
  </si>
  <si>
    <t>Loftis &amp; Wetzel/WFJ</t>
  </si>
  <si>
    <t>Please update the STD rounding to “Conventional Rounding to the Next Whole Dollar"</t>
  </si>
  <si>
    <t>Updated the STD plan rounding to “Conventional Rounding to the Next Whole Dollar"</t>
  </si>
  <si>
    <t>298140</t>
  </si>
  <si>
    <t>Remove the special event status change</t>
  </si>
  <si>
    <t>295265</t>
  </si>
  <si>
    <t xml:space="preserve">Child voluntary Life volume is based on 10% of the employees approved amount.  Please correct the set up to only allow 10% of the amount the employee elects up to 10K for the child
Spouse could enroll up to 100% of the employees election.  Carrier has confirmed it is 50% of the employee election</t>
  </si>
  <si>
    <t>297716</t>
  </si>
  <si>
    <t>HR created new classes in Paylocity to report intern/seasonal employees. Please create two new classes: LLC INTERN &amp; SVC INTERN. These classes are not eligible for benefits.</t>
  </si>
  <si>
    <t>Please create two new classes: LLC INTERN &amp; SVC INTERN. These classes are not eligible for benefits</t>
  </si>
  <si>
    <t>298415</t>
  </si>
  <si>
    <t>We received a new division in the demographic file. Please add Stellar Pottstown as a division with eligibility matching the other divisions</t>
  </si>
  <si>
    <t>Please add Stellar Pottstown as a division with eligibility matching the other divisions.</t>
  </si>
  <si>
    <t>298683</t>
  </si>
  <si>
    <t>Broker confirmed the basic life plan should not be rounded when the age reduction occurs. For the (1x salary up to $150,000) basic life plan, remove the rounding rule that occurs at age reduction</t>
  </si>
  <si>
    <t xml:space="preserve">For the (1x salary up to $150,000) basic life plan, remove the rounding rule that occurs at age reduction.
After scheduler see if there is any impacted employee on this.</t>
  </si>
  <si>
    <t>299361</t>
  </si>
  <si>
    <t xml:space="preserve">Please add the following new departments. They should be set up for all CLDD’s
• Connector Enrollment
• Connector Modified Midwest
• Connector Outreach</t>
  </si>
  <si>
    <t>299683</t>
  </si>
  <si>
    <t>Update the plan anniversary to 1/1 and all plans end date to 12/31/2022</t>
  </si>
  <si>
    <t>296322</t>
  </si>
  <si>
    <t>We received instructions on how to complete the EOI online. Please update the voluntary life EOI message</t>
  </si>
  <si>
    <t>EOI message for Voluntary Life plan is updated</t>
  </si>
  <si>
    <t>300041</t>
  </si>
  <si>
    <t>Update LTD waiting period rule from 7/1/2022 First of month following 12 months of employment.</t>
  </si>
  <si>
    <t xml:space="preserve">Updated Employer paid LTD waiting period rule from 7/1/2022 First of month following 12 months of employment.
The employees with hire date July 2022 the effective date is changed to 8/1/2023.</t>
  </si>
  <si>
    <t>297878</t>
  </si>
  <si>
    <t xml:space="preserve">Gilbert May has moved from TN to Higginbotham
1.	 Add Higginbotham in Teamwork as a listed Partner
2.	Add Higginbotham in scout for EDI
3.	Add Higginbotham in Scout for Customer Success
4.	Update Benefits Junction Dashboard and change broker to Higginbotham
a.	Update Tiffanie Martinez’s email address to tmartinez@higginbotham.net on BenJ Dashboard
b.	Update her email address to tmartinez@higginbotham.net  Admin Access User
5.	Update the Logo on Benefits Junction
6.	Update the logo on touchpoint
7.	Update the Need Help – should no longer be the TN phone number and email address
a.	Phone number should be Enrollment Support – 925-332-2034
b.	Email address enrollmentsupport@workforcejunction.com
c.	Use the Flyer attached if you can post the flyer as the page and just add WFJ to the bottom of the page for Enrollment and Navigation Support
8.	Update the welcome email for Benefit Questions call the Employee Response Center at Call 866-419-3518 to speak with a representative Monday through Friday from 8:00 a.m. to 5:00 p.m. CT. or email helpline@higginbotham.net.  For Enrollment or Navigation Support call 925-332-2034 – Monday – Friday 9:30 am CT to 6:30 pm CT or email Enrollmentsupport@workforcejunction.com.
9.	 Make sure all reference to TrueNorth is removed from the site.</t>
  </si>
  <si>
    <t>Updated all the relevant changes mentioned above</t>
  </si>
  <si>
    <t>August 2022</t>
  </si>
  <si>
    <t>290731</t>
  </si>
  <si>
    <t xml:space="preserve">Voluntary Life is in increments of 25k with a maximum of 7 times salary.
The maximum salary of 7 times salary needs to be rounded down to the 25k increment.
Can you please update the site and correct the three employees below.
EE ID: 774321946 (GOMEZ LEMUS, JORGE) - Voluntary Life and AD&amp;D Volume - 393120 - reported in the file
EE ID: 260715642 (MENDOZA, BRENDA) - Voluntary Life and AD&amp;D Volume - 455000 - reported in the file
EE ID: 592046874 (TAYLOR, JAMEL) - Voluntary Life and AD&amp;D Volume - 247520 - reported in the file
Jorge Max should be $375k
Brenda Max should be $450k
Jamel Max should be $225k</t>
  </si>
  <si>
    <t xml:space="preserve">Updated the Employee coverage rounding rule to rounded down to the 25k increment.
Also correct the below employee records coverage. 
EE ID: 774321946 (GOMEZ LEMUS, JORGE) - Voluntary Life and AD&amp;D Volume - 393120 - reported in the file
EE ID: 260715642 (MENDOZA, BRENDA) - Voluntary Life and AD&amp;D Volume - 455000 - reported in the file
EE ID: 592046874 (TAYLOR, JAMEL) - Voluntary Life and AD&amp;D Volume - 247520 - reported in the file
Jorge Max should be $375k
Brenda Max should be $450k
Jamel Max should be $225k</t>
  </si>
  <si>
    <t>299192</t>
  </si>
  <si>
    <t>Need to update Locations rename, remove, and add see instructions on Grid as well. https://appriver3651007094.sharepoint.com/:x:/g/EYsjDjWOexhCoWGanhGESuwB5cvguz-QiVBLKlfydCZnqA?e=E6cMFE</t>
  </si>
  <si>
    <t xml:space="preserve">Updated the Locations as per above information and Grid. Also, for Client HR users remove those Do Not Use Locations.
Review if there are any Active employees</t>
  </si>
  <si>
    <t>298442</t>
  </si>
  <si>
    <t xml:space="preserve">As per Hartford carrier, TN provided the incorrect age band rules for new hires. 
Beginning 09/01/2021 which is their plan anniversary date – for the entire year Age is based on 09/01/2021.  New Hires are set up as age as of effective date of plan.  Per Hartford it should be age as of 09/01/2021.</t>
  </si>
  <si>
    <t xml:space="preserve">For Critical Illness and STD plans the Base Age for Rate Calculation for New Hires are changed to below -
For the new hire from 09/01/2021 - 08/31/2022 - the Base Age for Rate Calculation should be age as of 09/01/2021. 
For the new hire from 09/01/2022 - 08/31/2023 - the Base Age for Rate Calculation should be age as of 09/01/2022.</t>
  </si>
  <si>
    <t>300038</t>
  </si>
  <si>
    <t>In the latest demographic file, a new department was added. Please add department 20 - Sentry Leasing with eligibility matching the other departments.</t>
  </si>
  <si>
    <t>Please add department 20 - Sentry Leasing with eligibility matching the other departments.</t>
  </si>
  <si>
    <t>301830</t>
  </si>
  <si>
    <t>Since employees have 31 days to enroll in their new hire benefits and beneficiary is a required field, Jordan would like us to only send the Beneficiary reminder beginning on day 31.  Employees are receiving the Welcome Email reminder weekly.  Once they login and enroll in benefits it will take care of the beneficiary not being entered.  They only want employees who did not login and enroll within the new hire window who were defaulted into company paid benefits only to receive the reminder email to login to Benefits Junction and enter a beneficiary.</t>
  </si>
  <si>
    <t xml:space="preserve">Beneficiary reminder email setup update to “Monthly” and “23 Days” before the due date. 
Create a test case to see if the reminder goes monthly. See when the 1st reminder is going and next month we can check for another reminder. Add a task to follow up to see if it is sent.</t>
  </si>
  <si>
    <t>302099</t>
  </si>
  <si>
    <t>HR noticed the per pay deduction for the EE + Family under the Traditional plan is reflecting $64.56 but the correct weekly amount is $64.65. Please update the deduction for this plan.</t>
  </si>
  <si>
    <t>Updated the rate as per above.</t>
  </si>
  <si>
    <t>301717</t>
  </si>
  <si>
    <t>Spouse ICCSD Employee plan doesn't come up for status changes, and so need to make it editable anytime, and effective immediately.</t>
  </si>
  <si>
    <t>Spouse ICCSD Employee plan is made always editable, and rule is updated to Date of Election.</t>
  </si>
  <si>
    <t>301482</t>
  </si>
  <si>
    <t>Thru a file error we found out that the Guardian plans need to terminated date of termination instead of end of month. Please update the Basic Life plan and Voluntary Life plan to terminate date of termination.</t>
  </si>
  <si>
    <t>Basic Life plan and Voluntary Life plan to terminate date of termination.</t>
  </si>
  <si>
    <t>September 2022</t>
  </si>
  <si>
    <t>299790</t>
  </si>
  <si>
    <t xml:space="preserve">Altitude changed from UMR to UHC for Dental &amp; Vision effective for new plan year 09/01/2022.  UMR owns UHC.  We currently have a file for medical, dental and vision already tested and in place for the current plan year.  UMR has indicated that we can continue to use the same file each week with the weekly eligibility for the new plan year.  UMR will upload the file and the two plans that are on the UHC platform will transfer automatically.  This way we do not need to create any new files.  Russ has discussed with Sheila from UMR and Russ and spoken with RAJ KUMAR and we would like to have the carrier’s for Dental and Vision changed to UMR.  I have updated the CRF to indicate why they are showing as UMR instead of UHC.
Please update the carriers back to UMR and notify Raj as soon as this has been completed so he can run the open enrollment file that is effective 09/01/2022 and get the file out to the carrier asap</t>
  </si>
  <si>
    <t>Please change the carrier for Dental and Vision plans from UHC to UMR. Read the above description.</t>
  </si>
  <si>
    <t>304184</t>
  </si>
  <si>
    <t xml:space="preserve">In a recent demographic file, we received two new locations that needs to be added. Please add the following locations, eligibility matching the other locations:  
THS - Louetta Rd/Stuebner Airline Rd 
CTX - Corporate Texas</t>
  </si>
  <si>
    <t xml:space="preserve">Added the following locations, eligibility matching the other locations:  
THS - Louetta Rd/Stuebner Airline Rd 
CTX - Corporate Texas</t>
  </si>
  <si>
    <t>297851</t>
  </si>
  <si>
    <t>We need to create two informational plan pages for Brella and Insurchoice using the attached information. The following class should be eligible for the plans:  Full-Time, VH-Eligible, and FT Prior Enrolled</t>
  </si>
  <si>
    <t xml:space="preserve">Created two informational plan pages for Brella and Insurchoice using the given information. The following class should be eligible for the plans:  Full-Time, VH-Eligible, and FT Prior Enrolled. 
Also updated the Touchpoints.</t>
  </si>
  <si>
    <t>305739</t>
  </si>
  <si>
    <t xml:space="preserve">Please correct the rates for the Voluntary Long-Term Disability plan as follows for these two rate tiers: 
45-49 should be changed from $1.08 to $1.06 
55-59 should be changed from $1.58 to $1.56</t>
  </si>
  <si>
    <t xml:space="preserve">Corrected the rates for the Voluntary Long-Term Disability plan as follows for these two rate tiers: 
45-49 is changed from $1.08 to $1.06 
55-59 is changed from $1.58 to $1.56</t>
  </si>
  <si>
    <t>305983</t>
  </si>
  <si>
    <t>Please remove EOI request for Voluntary STD Plans</t>
  </si>
  <si>
    <t>Please remove EOI request for Voluntary STD Plans. This includes both plan and also review the EOI setup in Plan details page as well is set to No.</t>
  </si>
  <si>
    <t>305729</t>
  </si>
  <si>
    <t>Please change the termination rule for Basic Life, STD &amp; LTD, Voluntary Life &amp; Voluntary Life &amp; AD&amp;D - term date should be Last Day of the month following termination date</t>
  </si>
  <si>
    <t>Updated the termination rule for Basic Life, STD &amp; LTD, Voluntary Life &amp; Voluntary Life &amp; AD&amp;D - term date should be Last Day of the month following termination date</t>
  </si>
  <si>
    <t>306152</t>
  </si>
  <si>
    <t xml:space="preserve">Upfield is adding Direct Bill through our Wex integration. The purpose of this service is to collect premiums from employees that are on an unpaid leave. Once Wex is notified of an employee that is on an unpaid leave, they will send a packet to the employee with instructions on how to make their payments.  
Upfield will notify WFJ of the change in employee status via our demographic file feed along with a separate notification from Tim at Upfield. Once the employee record is updated, data team will report the employee to Wex via file feed. 
We need to create a new division called Direct Bill. This new division will be eligible only for Medical, Dental, Vision, FSA, and the employer-paid plans (STD, LTD, Basic Life). When an employee is moved to this division, only these plans should remain active. Wex will take care of reporting the enrollments for Medical, Dental, Vision, and FSA. So, we need to ensure we’re not reporting these enrollments on our file feed. For the employer-paid plans, we’ll need to continue reporting the enrollments in our file feed.
Once the employee returns from their leave, we’ll be notified by Upfield via the demographic file to update the employee’s division back to All Employees.</t>
  </si>
  <si>
    <t xml:space="preserve">Read the above notes and then read the below.
We need to create a new division called Direct Bill. This new division will be eligible only for Medical, Dental, Vision, FSA, and the employer-paid plans (STD, LTD, Basic Life). When an employee is moved to this division, only these plans should remain active.</t>
  </si>
  <si>
    <t>306677</t>
  </si>
  <si>
    <t>Please update the Medical Rates as they are self Insured for Medical Plans A-C</t>
  </si>
  <si>
    <t>Updated Medical self-insured rates for plan A-C</t>
  </si>
  <si>
    <t xml:space="preserve">Please update the premiums for the Mec Plans as they are now self-insured plans
Plan			StopLoss	Admin Fee		FIE
MEC Bue		$16.18		$44.93			Keep what is already in BenJ	
MEC Green		$28.08		$47.93			Keep what is already in BenJ</t>
  </si>
  <si>
    <t>Updated the premiums for the Mec plan as per above.</t>
  </si>
  <si>
    <t>October 2022</t>
  </si>
  <si>
    <t>297582</t>
  </si>
  <si>
    <t xml:space="preserve">Please update all QLE rules for Assurity Plans -
 QLE is effective FOM following QLE date. 
This should be for Critical Illness, Hospital Indemnity &amp; Accident Plan</t>
  </si>
  <si>
    <t xml:space="preserve">Updated all QLE rules for Assurity Plans -
 QLE is effective FOM following QLE date. 
This is for Critical Illness, Hospital Indemnity &amp; Accident Plans</t>
  </si>
  <si>
    <t>307444</t>
  </si>
  <si>
    <t>HR noticed we’re reporting $1.44 for the Basic Life plan, and it should be a flat $2.00 rate. Please update the basic life rate.</t>
  </si>
  <si>
    <t>Basic Life rate should be Flat $2.00. This should be effective from 5/1/2022.</t>
  </si>
  <si>
    <t>308624</t>
  </si>
  <si>
    <t>CLDD</t>
  </si>
  <si>
    <t xml:space="preserve">From the recent demographic file, we found two new locations. Please add the following locations, with eligibility matching the other locations.
•	F54- Lutz: SR 54/Ballantrae Blvd (Cypress Ranch)
•	TER - Euless</t>
  </si>
  <si>
    <t>Added the above locations as per the instructions.</t>
  </si>
  <si>
    <t>304215</t>
  </si>
  <si>
    <t xml:space="preserve">In the recent demographic file, we received new locations. The new locations are replacing locations already in the system. Please update BenJ. We also need the data team to update their mapping to these new locations for the file feeds.
Code	Previous Location	New Location	Code
APG	APG - Gilbert: S Power Rd/E Germann Rd	 to AZGPG - Gilbert: Power/Germann	AZGPG,
AZH	AZH - Higley	to AZGHP - Gilbert: Higley	AZGHP,
AZG	AZG - Gilbert, to AZMGB - Mesa: Baseline Rd	AZMGB,
AVV	AVV - Gilbert: S Val Vista Dr/E Pecos Rd,	to AZGVP - Gilbert: S. Val Vista	AZGVP,
AZS	AZS - North Scottsdale to AZSNR - Scottsdale: North Scottsdale	AZSNR,
AOT	AOT - Gilbert-Ocotillo	AZCGO - Chandler: Gilbert Rd.	AZCGO to
ARR	ARR - Chandler	AZCRR - Chandler: W Ray Rd	AZCRR</t>
  </si>
  <si>
    <t>The new locations are replacing locations already in the system. Please update BenJ. We also need the data team to update their mapping to these new locations for the file feeds.</t>
  </si>
  <si>
    <t>308550</t>
  </si>
  <si>
    <t xml:space="preserve">For all carriers effective 01/01/2023 anyone who is a new hire on or after 01/01/2023 should have the below waiting period rule. This rule applies to New Hire and Rehires. 
 First of the Month Following or Coinciding with 30 Day(s) from Date of Hire
 LTD - First of the Month Following 12 Months from Date of Hire</t>
  </si>
  <si>
    <t>299675</t>
  </si>
  <si>
    <t xml:space="preserve">The STD set up needs to change from
Change the weekly salary to weekly Benefit.</t>
  </si>
  <si>
    <t>Changed the STD setup to weekly salary to weekly Benefit.</t>
  </si>
  <si>
    <t>November 2022</t>
  </si>
  <si>
    <t>309172</t>
  </si>
  <si>
    <t xml:space="preserve">HR moved an employee to a Part-Time class which terminated the benefits at the end of the month, and HR confirmed coverage should end on date of change.  
 Class changes that result in termination, should end date of the class for all plans. Please update rules in the system.</t>
  </si>
  <si>
    <t>Class changes that result in termination, should end date of the class for all plans. Rules are updated</t>
  </si>
  <si>
    <t>308913</t>
  </si>
  <si>
    <t xml:space="preserve">Please rename All Employees to Full Time Class and create new Part Time Class.
Anyone who is currently active in BenJ should be under the FT Class.
Need to be able to track employees who went from FT to PT and back to FT on the demographic import file.  As it is easier for Data Team to track the changes</t>
  </si>
  <si>
    <t xml:space="preserve">Renamed All Employees to Full Time Class and created new Part Time Class.
Anyone who is currently active in BenJ should be under the FT Class.
Need to be able to track employees who went from FT to PT and back to FT on the demographic import file.  As it will be easier for Data Team to track the changes</t>
  </si>
  <si>
    <t>LTD volume should round down to the next Dollar.</t>
  </si>
  <si>
    <t>Updated LTD rounding rule to Round down to lower whole dollar.</t>
  </si>
  <si>
    <t>310132</t>
  </si>
  <si>
    <t>Please add the class code Employee to the To Do List Reminder email</t>
  </si>
  <si>
    <t xml:space="preserve">To Do List Setup update the Alert setup by adding the below above the username link.  
Class Code: Employee. 
The client is aware that we cannot display the class code in the reminder email by CLDD</t>
  </si>
  <si>
    <t>311286</t>
  </si>
  <si>
    <t>Update rates for Critical Illness effective from 12/1/2022</t>
  </si>
  <si>
    <t>Updated rates for Critical Illness effective from 12/1/2022</t>
  </si>
  <si>
    <t>310615</t>
  </si>
  <si>
    <t>New departments were received in the demographic file. Please add department 417 and 137. Eligibility should match the other departments.</t>
  </si>
  <si>
    <t xml:space="preserve">Please add department 417 and 137. Eligibility should match the other departments. 
Make sure to move this is OE setup as well.</t>
  </si>
  <si>
    <t>310573</t>
  </si>
  <si>
    <t xml:space="preserve">A new code has been received in the demographic file, please add the following location, eligibility should match the other locations. 
UTS1S - Sandy: S 1300 E</t>
  </si>
  <si>
    <t xml:space="preserve">Please add the following location, eligibility should match the other locations. 
UTS1S - Sandy: S 1300 E</t>
  </si>
  <si>
    <t>312329</t>
  </si>
  <si>
    <t>Please enable the Employee Gained Other Coverage status change in the system</t>
  </si>
  <si>
    <t xml:space="preserve">Please enable the Employee Gained Other Coverage status change in the system and copy the setup from the status change Dependent Gained Employment/Other Coverage
Do this for all applicable plan types.</t>
  </si>
  <si>
    <t>310340</t>
  </si>
  <si>
    <t>Please update the name of the Voluntary Life plan.  Please update the plan name to:  Voluntary Life and AD&amp;D Plan</t>
  </si>
  <si>
    <t>Updated the name of the Voluntary Life plan to:  Voluntary Life and AD&amp;D Plan</t>
  </si>
  <si>
    <t>313084</t>
  </si>
  <si>
    <t>New department has been received in the demographic file, please add “147”. Eligibility should match the other plans</t>
  </si>
  <si>
    <t>Please add New department “147”. Eligibility should match the other plans.</t>
  </si>
  <si>
    <t>The client has started to report new locations codes on the file. Please updated the 3-character code to the new 5-character code</t>
  </si>
  <si>
    <t xml:space="preserve">Updated the 3-character code to the new 5-character code. Below are renamed locations -
AZMGM - Mesa: Gilbert/McKellips
AZT1W - Tempe: Warner Rd/I-10
CATMT - Temecula Parkway
CAMMM - Murrieta
UTR15 - Roy: W 5700
AZPCC - Phoenix: Cactus Rd/Cave Creek
CALAW - Ladera Ranch: Antonio Pkwy/Windmill Ave
UTTR5 - Taylorsville: S Redwood Rd
CAHNC - Hawaiian Gardens: E Carson/Norwalk Blvd
FLTDB - Tampa: Midtown
AZG8C - Glendale: 83rd Ave/W Camelback Rd
CAFSC - Fullerton - E Chapman/State College Blvd
FLSTP - Sarasota: Tamiami Trail
AZSLW - Surprise: Litchfield/Waddell
AZQER - Queen Creek: Ellsworth/Riggs
AZP1B - Phoenix: S 19th Ave/W Baseline Rd
FLOHC - Orlando: Hiawassee Rd/Clarcona Rd
FLLO5 - Lutz: SR 54/Oak Grove</t>
  </si>
  <si>
    <t>December 2022</t>
  </si>
  <si>
    <t>314522</t>
  </si>
  <si>
    <t>Data team noticed a change in the department names received in the demographic file. The department on the left side was received from the file, and the data on the right side are the departments in our system. Please rename the departments to match new names on the left side:</t>
  </si>
  <si>
    <t xml:space="preserve">Avient Mgt – Avient
Vendor Mgt – Vendor Management
Allscripts Mgt – Allscripts Managed Services
Product Mgt – Product
Carrier Services Mgt – Carrier Services
HBK Mgt – HBK
OSP Mgt – OSP
Sales Engineering – SE
Kent Mgt - Kent</t>
  </si>
  <si>
    <t>Natural Fiber Welding</t>
  </si>
  <si>
    <t>304744</t>
  </si>
  <si>
    <t xml:space="preserve">ased on set up for 2022 We needed to provide Department 1 or Department 2. 
New Plans for 2023 do not require 1 &amp; 2 and the import file coming in is Hourly &amp; Salary. 
Please update the Department in BENJ to “Hourly” and “Salary” 
Once this has been completed – Muniraju will upload the most current Data import file and update the fields with Hourly and Salary.</t>
  </si>
  <si>
    <t>Updated the Department names in BENJ to “Hourly” and “Salary”</t>
  </si>
  <si>
    <t>314752</t>
  </si>
  <si>
    <t>New location received in the demographic file. Please added NVHSS N Stephanie St/W Sunset Rd as a new location. Eligibility should match the other locations.</t>
  </si>
  <si>
    <t>Please added NVHSS N Stephanie St/W Sunset Rd as a new location. Eligibility should match the other locations</t>
  </si>
  <si>
    <t>311436</t>
  </si>
  <si>
    <t xml:space="preserve">We have added two new location  -
•	All Employees EESP wellness
•	All Employees SP wellness
The eligibility of these locations match with "All Employees EE wellness" location.
We have updated rates of the 2023 Medical plans based on location</t>
  </si>
  <si>
    <t xml:space="preserve">Current set up for Basic Life child life is the rate per child.
We have received confirmation that the rate is one rate for all Children and Spouse.
Can you please update the rates to – regardless of the number of children the premium is the same.  The rate should not be based on the number of children/spouse.</t>
  </si>
  <si>
    <t>Basic Life is flat $0.45 for all Dependents irrespective of Spouse or Any number of Children.</t>
  </si>
  <si>
    <t>315594</t>
  </si>
  <si>
    <t>We’ve received new departments in the demographic file. HR confirmed some need to replace the current departments and there two new departments that need to be added. The two new departments are Client Service Delivery and Modern Workplace.</t>
  </si>
  <si>
    <t>Renamed the current departments and there two new departments that are added. The two new departments are Client Service Delivery and Modern Workplace</t>
  </si>
  <si>
    <t>314788</t>
  </si>
  <si>
    <t>A new division has been reported in the demographic file, please add Stellar Industries - PDC, eligibility should match the other divisions</t>
  </si>
  <si>
    <t>Please add Stellar Industries - PDC, eligibility should match the other divisions</t>
  </si>
  <si>
    <t>307024</t>
  </si>
  <si>
    <t>Incorrect setup. Vol Life premiums calculation - age should be calculated as of Plan Anniversary</t>
  </si>
  <si>
    <t xml:space="preserve">For Voluntary Life plan. Base age for new hires to be updated with 2 periods. 
1/1/2022 = 1/1/2022 t0 12/31/2022 
1/1/2023 = 1/1/2023 t0 12/31/2023</t>
  </si>
  <si>
    <t>We’ve received two new departments for Acme. Please add 441 and 153, eligibility should match the other plans.</t>
  </si>
  <si>
    <t>Added the new departments 441 and 153, eligibility should match the other plans.</t>
  </si>
  <si>
    <t>315773</t>
  </si>
  <si>
    <t>A&amp;R</t>
  </si>
  <si>
    <t xml:space="preserve">Please round volume for LTD down to the next whole dollar.
Please let Renuka know when this has been updated</t>
  </si>
  <si>
    <t xml:space="preserve">Update the LTD plan rounding rules to “Round down to lower whole dollar”. This is for both the plans.
Client is ok with slight difference because of the rounding.</t>
  </si>
  <si>
    <t>312223</t>
  </si>
  <si>
    <t xml:space="preserve">Currently we have a CI plan set up with a drop down of 10k and 20k. 
However, based on 834 EDI structure we cannot pass the information based on current set up. 
We need to change to have 2 plans built</t>
  </si>
  <si>
    <t>We have added two new Critical Illness plan as Age banded Tier Coverage plans. And the enrollments are mapped from the Incremental type to these two new plans</t>
  </si>
  <si>
    <t>316599</t>
  </si>
  <si>
    <t>TrueNorth just confirmed that Hilldrup wants to renew the FSA DC. Instead of having an OE, please renew the plan for 1/1/2023 – 12/31/2023, and enroll Steven Johnson in the FSA DC for the maximum amount of $5,000 for the new plan year.</t>
  </si>
  <si>
    <t>316751</t>
  </si>
  <si>
    <t xml:space="preserve">We need to add a Department and we need to change the name of a Department	
New Department is O/O This is what will come on the demographic Import file it stands for owner/operator
We need to change the name of the Department “ADMIN” and change to “STAFF”</t>
  </si>
  <si>
    <t xml:space="preserve">We need to add a Department and we need to change the name of a Department	
New Department is O/O
We need to change the name of the Department “ADMIN” and change to “STAFF”</t>
  </si>
  <si>
    <t>316431</t>
  </si>
  <si>
    <t>We need to add New Department and Location and named as "15 - Workplace Solutions &amp; Logistics Sales " eligibility mathche with other Department and Location</t>
  </si>
  <si>
    <t>We have added New Department and Location and named as "15 - Workplace Solutions &amp; Logistics Sales " eligibility mathche with other Department and Location</t>
  </si>
  <si>
    <t>Let this know to Srinivas from Saas</t>
  </si>
  <si>
    <t>316789</t>
  </si>
  <si>
    <t>HR noticed an employee’s enrollment had a different effective date for the FSA due to the coinciding rule. HR is now confirming the FSA waiting rules should match the other plans.</t>
  </si>
  <si>
    <t xml:space="preserve">Updated Waiting period rules for New Hire, Rehire and Class changes to below. Just remove the Coinciding
First of the Month Following 60 Day(s) from Date of Hire
Also update Division, Department and Location rules to 
First of the Month Following 60 Day(s) from Date of Hire
And Termination rules to for Division, Department and Location
Last day of month following date of termination
Below employees' effective dates have been corrected to 1/1/2023.
Mac Schreuder
Romario</t>
  </si>
  <si>
    <t>The plan that is being offered is only Voluntary Life.  Correcting the name of the plan so EDI only sends Voluntary Life on the spreadsheets and files.</t>
  </si>
  <si>
    <t>316803</t>
  </si>
  <si>
    <t xml:space="preserve">Renewal wizard shows Age Reduction for spouse based on Employees Age.  However plan document states spouse terminates at age 70. 
 Please make sure there are no spouses 70 or older enrolled in any plans.</t>
  </si>
  <si>
    <t>For Voluntary Life plan Remove spouse age reduction setup after 70+ and change 70 age to 100% reduction.</t>
  </si>
  <si>
    <t>309088</t>
  </si>
  <si>
    <t xml:space="preserve">Please add the following Departments for Hummer. 
Change All Employees to – One of the 3 new departments maybe Driver and add the other two: 
Driver 
Office  
Brokerage</t>
  </si>
  <si>
    <t>317720</t>
  </si>
  <si>
    <t>Please update the location based monthly EE medical contributions based on the rates below.</t>
  </si>
  <si>
    <t>Updated the location based monthly EE medical contributions based on the rates given in CRF.</t>
  </si>
  <si>
    <t>317558</t>
  </si>
  <si>
    <t>Update rates for UHC 80K life policy for Summit Pointe location.</t>
  </si>
  <si>
    <t>Updated rates for UHC Basic Life &amp; AD&amp;D - 80K Plan for Summit Pointe location as per the invoice</t>
  </si>
  <si>
    <t>310590</t>
  </si>
  <si>
    <t>The broker confirmed the overage dep rule will be changing for 2023. When deps turn 26, the coverage should end date of event for all plans.</t>
  </si>
  <si>
    <t>The broker confirmed the overage dependent rule will be changing for 2023. When dependents turn 26, the coverage should end date of event for all plans.</t>
  </si>
  <si>
    <t>315107</t>
  </si>
  <si>
    <t>WCI has an employee enrolled in Medicare, and due to this enrollment, he is not allowed to contribute or receive ER contributions towards the HSA. Therefore, we need to turn on the eligibility questions for this client.</t>
  </si>
  <si>
    <t>WCI has an employee enrolled in Medicare, and due to this enrollment, he is not allowed to contribute or receive ER contributions towards the HSA. Therefore, we enabled the eligibility questions for this client.</t>
  </si>
  <si>
    <t>317198</t>
  </si>
  <si>
    <t>BRMS Cigna HDHP HSA PPO billing rates are incorrect. They should be $933.58 for all coverage tiers.</t>
  </si>
  <si>
    <t>318192</t>
  </si>
  <si>
    <t>Client changed their new hire enrollment date to first of the month following 30 days, they want to change the enrollment period? The current notification email only gives 10 days (see below) but we would like to extend that to 25 days please.</t>
  </si>
  <si>
    <t>Change the new hire enrollment duration from 10 days to 25 days</t>
  </si>
  <si>
    <t>318333</t>
  </si>
  <si>
    <t>New department has come over on the demographic file. Please add 155 as a new department, eligibility should match the other departments.</t>
  </si>
  <si>
    <t>Please add 155 as a new department, eligibility should match the other departments</t>
  </si>
  <si>
    <t>318589</t>
  </si>
  <si>
    <t xml:space="preserve">Mutual of Omaha informed TrueNorth of a rate correction that needs to be updated for the basic life - on both classes.
The total rate is $0.235 = $0.195 for the life insurance and $0.04 for the AD&amp;D insurance.
It appears that class 4 is under the correct rate; however, the other plan is showing a rate of $0.315. Please update the other plan to match Class 4 rate. This is effective from 1/1/2023.</t>
  </si>
  <si>
    <t xml:space="preserve">Update the Basic Life rate.
Basic Life &amp; AD&amp;D $15k rate should be $0.195 for the life insurance and $0.04 for the AD&amp;D insurance.
No changes to class 4 Basic Life.</t>
  </si>
  <si>
    <t>318587</t>
  </si>
  <si>
    <t xml:space="preserve">With the new department that was added O/O for Owner Operator.  Jennifer confirmed this morning that if an employee is in this Department, they are not eligible for Benefits.
Please update eligibility for all plans.</t>
  </si>
  <si>
    <t xml:space="preserve">New department that was added O/O for Owner Operator.  Jennifer confirmed this morning that if an employee is in this Department, they are not eligible for Benefits.
Please update eligibility for all plans.</t>
  </si>
  <si>
    <t>318575</t>
  </si>
  <si>
    <t xml:space="preserve">Client has decided not to pend New Hire Enrollments for HR approval.
Also we need to add lschipper@midiowacoop.com. to receive any messages from the system.  Can you please make this update as well. Pending EOI, Pending QLE, Overage Dependent etc.</t>
  </si>
  <si>
    <t xml:space="preserve">Transaction Approval Setup for New Hire/Eligibility Change update to Approval not required as the Client has decided not to pend New Hire Enrollments for HR approval.
Also we need to add lschipper@midiowacoop.com. to receive any messages from the system.  Can you please make this update as well. Pending EOI, Pending QLE, Overage Dependent etc.</t>
  </si>
  <si>
    <t>318607</t>
  </si>
  <si>
    <t xml:space="preserve">We need to add a Location “New York”
We need this  location to be set up as employees who will be in the Location are not eligible to be enrolled in the Employer Paid CI Plan, they also are not eligible for EE paid Critical Illness plan and the Voluntary Accident Plan.  
There is one employee currently in NY – Richard Hutchinson we terminated him from EE Paid CI and Accident Plan.  Can you please see that he is removed from the ER paid CI plan.</t>
  </si>
  <si>
    <t xml:space="preserve">Added a Location “New York”
We need this location to be set up as employees who will be in the Location are not eligible to be enrolled in the Employer Paid CI Plan, EE paid Critical Illness plan and the Voluntary Accident Plan.  
There is one employee currently in NY – Richard Hutchinson we terminated him from EE Paid CI and Accident Plan.  Can you please see that he is removed from the ER paid CI plan.</t>
  </si>
  <si>
    <t>314032</t>
  </si>
  <si>
    <t xml:space="preserve">Please set up the reminder for new hires. Frequency should be set to weekly and start sending the reminders 30 days before the due date. 
 Also, in activation email enable the To Do List setup.</t>
  </si>
  <si>
    <t xml:space="preserve">Updated the reminder email for new hires. Frequency is set to weekly and start sending the reminders 30 days before the due date. 
 Also, in activation email enabled the To Do List setup.</t>
  </si>
  <si>
    <t>318445</t>
  </si>
  <si>
    <t>Newborn SSNs are causing a problem for the client. Better to remove requirement for dependent SSN</t>
  </si>
  <si>
    <t>Dependent SSN is no longer mandatory now.</t>
  </si>
  <si>
    <t>318779</t>
  </si>
  <si>
    <t>A new department came over on the file, please add department 156. Eligibility should match the other departments.</t>
  </si>
  <si>
    <t>319116</t>
  </si>
  <si>
    <t>Beginning 01/01/2023 the Basic Life Insurance maximum benefit was increased from 150k to 250k.</t>
  </si>
  <si>
    <t>We have updated Basic Life plan beginning 01/01/2023 the Basic Life Insurance maximum benefit is increased from 150k to 250k</t>
  </si>
  <si>
    <t>317340</t>
  </si>
  <si>
    <t xml:space="preserve">For status changes for the Critical Illness Plan.  Employees can enroll or decline with a QLE but if they are enrolled outside of the new hire window or Open Enrollment, they must pend for EOI.
Can you please update the set up for all QLE’s to go through EOI for Critical Illness.</t>
  </si>
  <si>
    <t>Updated EOI setup because Initial eligibility apply GI rules for Critical Illness plan during QLE.</t>
  </si>
  <si>
    <t>312862</t>
  </si>
  <si>
    <t>Please add the Smoker question that is set up in staging for this client in Production for the Voluntary Life plan</t>
  </si>
  <si>
    <t>Added the Smoker question for the Voluntary Life plan</t>
  </si>
  <si>
    <t>319588</t>
  </si>
  <si>
    <t>Don Hummer requires employees who add a spouse to the plan to complete the Spouse Carve Out Form and submit to Human Resources.</t>
  </si>
  <si>
    <t>We have added the Spouse Crave Out Form under the Medical plan and Confirmation emails as per the CRF</t>
  </si>
  <si>
    <t>318980</t>
  </si>
  <si>
    <t>We’ve received the carrier account structure which requires us to add a location. Please add District of Columbia as a new Location in the system. Eligibility should match the other locations</t>
  </si>
  <si>
    <t>Add a location. Please add District of Columbia as a new Location in the system. Eligibility should match the other locations</t>
  </si>
  <si>
    <t>319857</t>
  </si>
  <si>
    <t>Please update the set up that employees cannot update their home address, birthday, or SSN on the Personal Information Page.  We are receiving an import and the information should feed from the import only.</t>
  </si>
  <si>
    <t xml:space="preserve">Employees should not edit their home address, birthday, or SSN on the Personal Information Page.  We are receiving an import and the information should feed from the import only. 
Address Line 1
Address Line 2
State
City
Zip/Postal Code
Social Security #
Date of birth</t>
  </si>
  <si>
    <t>319787</t>
  </si>
  <si>
    <t xml:space="preserve">Please restrict employees from updating their address in Benefits Junction on the Personal Information page.  We are receiving a demographic import file and address changes need to come through on the file only.
2.	Please create a custom field on the Work Information Page.  Please name the field Paylocity Company Code.  This field needs to be captured in the Work Information report in Benefits Junction</t>
  </si>
  <si>
    <t xml:space="preserve">1.	Please restrict employees from updating their address in Benefits Junction on the Personal Information page.  We are receiving a demographic import file and address changes need to come through on the file only. Just remove editable.
2.	Please create a custom field on the Work Information Page.  Please name the field Paylocity Company Code.  This field needs to be captured in the Work Information report in Benefits Junction.</t>
  </si>
  <si>
    <t>320122</t>
  </si>
  <si>
    <t>HCI has an additional Dept, 675005, Safety Wages Supervisor. Currently not in BenJ. One employee has been identified in this Dept during the data management process.</t>
  </si>
  <si>
    <t>Added new Department - 675005</t>
  </si>
  <si>
    <t>"BRMS Cigna PPO Plan" and "BRMS CIGNA HDHP HRA PPO billing rates are incorrect. They should be $933.58 for all coverage tiers.</t>
  </si>
  <si>
    <t>320041</t>
  </si>
  <si>
    <t xml:space="preserve">We need to build 3 additional classes for this group for ACA requirements.
Please add the following 3 classes and anyone in these classes should NOT receive any benefits.  These are non-benefit eligible classes.
•	PT Employees
•	PT Owners
•	PT TX Employees</t>
  </si>
  <si>
    <t xml:space="preserve">Please add the following 3 classes and anyone in these classes should NOT receive any benefits.  These are non-benefit eligible classes.
•	PT Employees
•	PT Owners
•	PT TX Employees</t>
  </si>
  <si>
    <t>320151</t>
  </si>
  <si>
    <t>We received the demographic file dated 01/23/2023 with the new department 468 for one new hire record. Please add the new department.</t>
  </si>
  <si>
    <t>Added the new department 468 and the eligibility is same as other departments</t>
  </si>
  <si>
    <t>320234</t>
  </si>
  <si>
    <t xml:space="preserve">The medical monthly premiums and ER cost need to be updated.
EE cost should remain as is.
https://appriver3651007094.sharepoint.com/:x:/g/EYj4AK-HXzxGnZMZflWIK2cB4lG7K8JyEuufbgZP_yrjHw?e=wkWUH8</t>
  </si>
  <si>
    <t>317214</t>
  </si>
  <si>
    <t xml:space="preserve">Update rehire rules for AllOth and DeptMgr: 
•	If an employee returns within 13 weeks, All benefits are effective "First of the month following rehire"
•	If an employee returns after 13 weeks, All benefits are "First of the Month Following 60 Day(s) from Date of Rehire."</t>
  </si>
  <si>
    <t xml:space="preserve">Update rehire rules for AllOth and DeptMgr: 
•	If an employee returns within 13 weeks, All benefits are effective "First of the month following rehire"
•	If an employee returns after 13 weeks, All benefits are "First of the Month Following 60 Day(s) from Date of Rehire."
Solution: Since there is no week’s option in the setup, we need update as 91 days which is 13 weeks. Inform CRM on the same.
Please update enrollment effective dates for Joseph Marks</t>
  </si>
  <si>
    <t>February 2023</t>
  </si>
  <si>
    <t>319131</t>
  </si>
  <si>
    <t xml:space="preserve">In preparing for the Noyo integration, we found that interns are not treated as new hires, so instead they convert to full-time employees, meaning their class would change in the system. Hence, we need to update the Waiting Period rules for class changes to be the following for all plans: 
First of the Month Following or Coinciding with 0 Day(s) from Date of Hire</t>
  </si>
  <si>
    <t xml:space="preserve">We need to update the Waiting Period rules for class changes to be the following for all plans: 
First of the Month Following or Coinciding with 0 Day(s) from Date of Hire</t>
  </si>
  <si>
    <t>321152</t>
  </si>
  <si>
    <t>During COVID we activated Special Event in the drop down for QLE.  Ahern would like to have Special Event removed from the drop down since the special event ended in 2021.</t>
  </si>
  <si>
    <t>Removed Special Event in Dropdown for QLE for all plan types.</t>
  </si>
  <si>
    <t>321276</t>
  </si>
  <si>
    <t xml:space="preserve">Broker did not update the Premium and ER Contributions into the Renewal Wizard.
The employee contributions are correct it is just the Premium and ER Cost.
Please update for medical and dental</t>
  </si>
  <si>
    <t xml:space="preserve">The employee contributions are correct it is just the Premium and ER Cost.
Please update for medical and dental as per the attached spreadsheet</t>
  </si>
  <si>
    <t>320862</t>
  </si>
  <si>
    <t xml:space="preserve">While correcting an employee’s benefits effective date, we found that Fiore has change the eligibility period for part-time to full-time changes. Employees are eligible for benefits the 1st of the month following the date of class change.   
Please updated the Class waiting period to be effective the 1st of the month following the date of class change for all benefits</t>
  </si>
  <si>
    <t>Updated the Class waiting period to be effective the 1st of the month following the date of class change for all benefits from 1st of the month following 60 days of the Date of class</t>
  </si>
  <si>
    <t>Gnanaveu</t>
  </si>
  <si>
    <t>321684</t>
  </si>
  <si>
    <t xml:space="preserve">Please add the following Departments to Benefits junction.
      Department Number:                    
               4-7320                                   
                4-7360                                   
                4-7380                                   
                4-7390                                   
                4-7400                                   
                4-7420                                   
                 4-7460                                   
                  4-7480                                   
                 4-7500                                   
                4-7521                                   
               4-7590                                   
                   4-7595                                   
                4-7596                                   
                 4-7597                                   
                4-7598</t>
  </si>
  <si>
    <t xml:space="preserve">Please add the following Departments to Benefits junction
      Department Number:                    
               4-7320                                   
                4-7360                                   
                4-7380                                   
                4-7390                                   
                4-7400                                   
                4-7420                                   
                  4-7460                                   
              4-7480                                   
                 4-7500                                   
                 4-7521                                   
                  4-7590                                   
                   4-7595                                   
                 4-7596                                   
                 4-7597                                   
                 4-7598</t>
  </si>
  <si>
    <t>321855</t>
  </si>
  <si>
    <t>Please update the maximum dependent age for the Vision plan to the last day of the month following 25th birthday</t>
  </si>
  <si>
    <t>Please update the maximum dependent age for the Vision plan to the last day of the month following 25th birthday.</t>
  </si>
  <si>
    <t>321843</t>
  </si>
  <si>
    <t>Salary Changes</t>
  </si>
  <si>
    <t>Change salary effective 1/1/2023</t>
  </si>
  <si>
    <t>322035</t>
  </si>
  <si>
    <t>Add a new information only plan. PacifyR Page already created on Staging and approved by client. Move to production. This should be first page in workflow.</t>
  </si>
  <si>
    <t>Add a new information only plan. PacifyR Page already created on Staging and approved by client. Moved to production. This is the first page in workflow.</t>
  </si>
  <si>
    <t>322024</t>
  </si>
  <si>
    <t>Update Basic Life and Voluntary Life age reduction setup volume to reduce by 35% at age 65</t>
  </si>
  <si>
    <t>Updated Basic Life and Voluntary Life age reduction setup - volume to reduce by 35% at age 65</t>
  </si>
  <si>
    <t>322840</t>
  </si>
  <si>
    <t>We Received the demographic file dated 02/20/2023 with the new department "159" for existing records. Please add 159 as a new department, eligibility should match the other departments.</t>
  </si>
  <si>
    <t>Please add 159 as a new department, eligibility should match the other departments.</t>
  </si>
  <si>
    <t>Rakshith K</t>
  </si>
  <si>
    <t>322862</t>
  </si>
  <si>
    <t xml:space="preserve">We received the demographic file dated 02/15/2023 with the new department "161 Weld - Crane &amp; Demountable" for new hire records.
Please add the new department, eligibility should match the other plans.</t>
  </si>
  <si>
    <t>Add new department "161 Weld - Crane &amp; Demountable" eligibility should match the other plans.</t>
  </si>
  <si>
    <t>319759</t>
  </si>
  <si>
    <t xml:space="preserve">TrueNorth provided in the incorrect rates for 2023 Medical plan in the renewal wizard.
Error found in A&amp;R Audit.</t>
  </si>
  <si>
    <t>Please correct the rates as per the above notes from Janice.</t>
  </si>
  <si>
    <t>322944</t>
  </si>
  <si>
    <t>We found out from the broker that we need to update the basic life rate for Class 1, 2, and 3. The rate is $0.275 per $1,000 effective 1/1/2023. The AD&amp;D rate remains at $0.040.</t>
  </si>
  <si>
    <t>Update the basic life rate for Class 1, 2, and 3. The rate is $0.275 per $1,000 effective 1/1/2023. The AD&amp;D rate remains at $0.040.</t>
  </si>
  <si>
    <t>320237</t>
  </si>
  <si>
    <t xml:space="preserve">The rate for Basic Life &amp; AD&amp;D was reduced effective 01/01/2023 and the broker did not update us.
Basic Life is .43 per 1k = $4.30 and AD&amp;D rate is .03 per 1k = .30 per 1k
Total Life &amp; AD&amp;D total monthly amount should be 4.60
Please update system with corrected rates.</t>
  </si>
  <si>
    <t xml:space="preserve">The rate for Basic Life &amp; AD&amp;D was reduced effective 01/01/2023 and the broker did not update us. Effective 1/1/2023 add a new period plan year.
Basic Life is 0.43 per and AD&amp;D rate is 0.03 per 1k</t>
  </si>
  <si>
    <t>322932</t>
  </si>
  <si>
    <t>Remove Domestic Partner coverage from Plan Setupss</t>
  </si>
  <si>
    <t>Carrier does not allow Domestic partners or dependent of Domestic Partners for NFW</t>
  </si>
  <si>
    <t>322643</t>
  </si>
  <si>
    <t>Rates corrected for Medical -CompleteBlue 4000 HMO - MV</t>
  </si>
  <si>
    <t>323340</t>
  </si>
  <si>
    <t>Please increase the employee GI for New hires to 5 times annual salary to a max of 100k. for Voluntary Life &amp; AD&amp;D.</t>
  </si>
  <si>
    <t xml:space="preserve">Please increase the employee GI for New hires 5 times annual salary to a max of 100k for Voluntary Life.
The Employee GI for New Hires EE is being increased from 75k to 100k</t>
  </si>
  <si>
    <t>297734</t>
  </si>
  <si>
    <t xml:space="preserve">Brightmark is offering employees that waive medical coverage and have other group coverage a cash benefit that benefits desk (BD) has to track. The BD must review the employee record if the coverage was waived and determine if they’re eligible for the cash benefit based on the submitted documentation. Then they need to notify HR to update payroll and track these employees in a master list. When these employees enroll in the medical plan, the BD must notify HR to update payroll again. 
Therefore, we need to turn on pending transaction for the medical plan for new hire enrollments, and for midyear changes so the BD can track the changes and notify HR accordingly. 
Since we can’t do only for Medical plan. We need to do pending for all plans for new hires.</t>
  </si>
  <si>
    <t xml:space="preserve">Turn on pending transaction for the medical plan for new hire enrollments, and for midyear changes so the BD can track the changes and notify HR accordingly. 
Since we can’t do only for Medical plan. We need to do pending for all plans for new hires.
So update “Transaction Approval Setup” to “Only Enrollment Transactions needs approval”</t>
  </si>
  <si>
    <t>March 2023</t>
  </si>
  <si>
    <t>323953</t>
  </si>
  <si>
    <t>Please update the contract email address for HR on the Medical, Dental and Vision Overage Dependent email.  Please remove Karrie Brown and replace with hrdirectors@howardsheppard.com</t>
  </si>
  <si>
    <t>Update the CRF as per above notes</t>
  </si>
  <si>
    <t>324100</t>
  </si>
  <si>
    <t xml:space="preserve">New departments received in the demographic file. Please add the following, eligibility should match the other plans:
Marketing
Human Resources
Facilities Management
Technology
Accounting
Growth
Stretch</t>
  </si>
  <si>
    <t>Please add the departments as per above.</t>
  </si>
  <si>
    <t>323868</t>
  </si>
  <si>
    <t xml:space="preserve">HR is requesting we update the medical waiting period for class changes. Currently the rate is reduced on the employee's anniversary, and they would like to update this to update the 1st of the month following their 2-year anniversary. This is currently being handled by the employee’s Class. 
So, for medical class changes, please change the current rule, date of class, to 1sf of the following month. HR will report the class change in the Paylocity file</t>
  </si>
  <si>
    <t>For Medical Plan Class changes, please change the current rule, date of class, to 1st of the following month</t>
  </si>
  <si>
    <t>323973</t>
  </si>
  <si>
    <t>The client noticed HSA contributions changes are effective the 1st of the following month. They want to update this to date of contribution change. Please update the rule in the system.</t>
  </si>
  <si>
    <t>Update HSA plan Changes to the Enrollments rule to Date of Election</t>
  </si>
  <si>
    <t>324255</t>
  </si>
  <si>
    <t xml:space="preserve">Please add a Part Time Class to Benefits Junction.
No Benefits are Eligible for employees.
If someone goes from FT to PT Benefits should terminate the last day of the month following the class change date.
Rebecca Hoppenrath is a PT employee so she should not receive any CEC benefits (including life and STD/LTD). I noticed that James Jankunas is enrolled in those benefits - he is also a PT employee. Can you remove him from benefits as well.  Please remove benefits for these two employees back to their hire date
These two employees should never have been enrolled in benefits.  Therefore we need to make sure they are not sent COBRA notices.</t>
  </si>
  <si>
    <t>Read the above notes and work on the CRF</t>
  </si>
  <si>
    <t>325044</t>
  </si>
  <si>
    <t xml:space="preserve">Please update all notifications being sent to Ahern from Jordan Shaw to Kelsea Murphy.
Kelsea’s email address is = kmurphy@jfahern.com.  
Jordan should remain active with Admin access; however she is moving from Benefits to another role in HR and will be training the new hire.  This should take affect on Monday 03/13/2023.
Please post the updated CDS as I have removed Jordan as the contact</t>
  </si>
  <si>
    <t xml:space="preserve">Please update all notifications being sent to Ahern from Jordan Shaw to Kelsea Murphy.
Kelsea’s email address is = kmurphy@jfahern.com.  
Jordan should remain active with Admin access; however she is moving from Benefits to another role in HR and will be training the new hire.  This should take affect on Monday 03/13/2023.</t>
  </si>
  <si>
    <t>All</t>
  </si>
  <si>
    <t>324452</t>
  </si>
  <si>
    <t>Please remove the “Special Event” that was set up under Status Change for multiple clients due to COVID Rules.</t>
  </si>
  <si>
    <t>325960</t>
  </si>
  <si>
    <t>Please set rounding rule for the Basic Life &amp; AD&amp;D plan to - round to the next higher multiple of $1,000.</t>
  </si>
  <si>
    <t xml:space="preserve">Please set rounding rule for the Basic Life &amp; AD&amp;D plan to - round to the next higher multiple of $1,000.
Next Highest $1,000 on BenJ.</t>
  </si>
  <si>
    <t>325750</t>
  </si>
  <si>
    <t xml:space="preserve">We need to add another Division and update the EDI feeds. We’ll also need to set up a new Paylocity feed once we get confirmation that the account has been set up on Paylocity. 
New Division name is Genscience
Benefits should mirror Deerfield Management. 
I discussed with Russ already and estimated $1250 for the paylocity feed, and $1250 for the edi carrier updates, and $250 to update Benefits Junction.</t>
  </si>
  <si>
    <t>CRF is approved. Work as per above comments.</t>
  </si>
  <si>
    <t>326500</t>
  </si>
  <si>
    <t>Please add Required Notices in Acknowledgements to appear before New Hire and OE begins</t>
  </si>
  <si>
    <t>Added Required Notices in Acknowledgements to appear before New Hire and OE begins</t>
  </si>
  <si>
    <t>326766</t>
  </si>
  <si>
    <t xml:space="preserve">Add “American Logistics, Inc” as a Division in Benefits Junction. Same plans as Network. 
I already charge $250 for this update.</t>
  </si>
  <si>
    <t xml:space="preserve">Add “American Logistics, Inc” as a Division in Benefits Junction. Same plans as Network.
We will need a unique touchpoints portal for American - myamericanlogisticsbenefits.com. All benefit information will be exactly the same as Network - just a different company name and branding. The logos are attached is Helpscout.</t>
  </si>
  <si>
    <t>326725</t>
  </si>
  <si>
    <t xml:space="preserve">A new location has been received in the demographic file. Please add the location; eligibility matches the other locations. 
FLKKR Kendall: Mills Dr</t>
  </si>
  <si>
    <t>​327098</t>
  </si>
  <si>
    <t>If an employee rehires within 13 weeks of their termination date, they are not required to wait for the waiting period again.  They are effective on the first of the month following their rehire date</t>
  </si>
  <si>
    <t>Updated the rehire rules to Rehired with in 91 days from termination date, benefits effective from "first of the month following 0 days from the date of rehire" for all the plans</t>
  </si>
  <si>
    <t>April 2023</t>
  </si>
  <si>
    <t>326528</t>
  </si>
  <si>
    <t>We found out that the City of Clive deducts the FSA from 24 pay cycles instead of 26 pay cycles. Because the benefits statement contains the wrong per-paycheck amounts. Jennifer wants us to set up a custom pay cycle for the FSA to be 24(26)</t>
  </si>
  <si>
    <t>We have updated the Custom Payroll setup for FSA Healthcare and Dependent care plans to show 24(26) premiums.</t>
  </si>
  <si>
    <t>327514</t>
  </si>
  <si>
    <t xml:space="preserve">Rehire Benefit effective date for all plans except for Basic Life, STD, LTD &amp; Voluntary Life plans should be - 
First of the Month Following 30 Day(s) from Date of Hire
CDS is correct, but the Renewal Wizard was not for 01/01/2023.
Please update all benefits except for Basic Life, STD, LTD &amp; Voluntary Life plans to be effective - 
First of the Month Following 30 Day(s) from Date of Hire</t>
  </si>
  <si>
    <t xml:space="preserve">First of the Month Following 30 Day(s) from Date of Hire
Aaron Campbell – Verify this employee is having correct effective dates as per rehire rule. Review future dated elections and correct the enrollment</t>
  </si>
  <si>
    <t>326814</t>
  </si>
  <si>
    <t xml:space="preserve">HR reached out that we need to add new divisions -500 SCI Direct
550 SCI Indirect
 and update the names of two current divisions. Please below:800 IPC Direct
850 IPC Indirect</t>
  </si>
  <si>
    <t xml:space="preserve">HR reached out that we need to add new divisions -500 SCI Direct
550 SCI Indirect
 and update the names of two current divisions to below:
800 IPC Direct
850 IPC Indirect</t>
  </si>
  <si>
    <t>320601</t>
  </si>
  <si>
    <t xml:space="preserve">Please update the Class Change Rule to Date of Class Change instead of FOM following class change date.  The client has decided that most employees will be going from PT or Intern to FT position which their benefits should be active the date of FT employment.  Please update CLASS only.
Location, Division and Department can stay set as they are.
Also please post the updated CDS in Benefits Junction.</t>
  </si>
  <si>
    <t>Please update the Class Change Rule to Date of Class Change</t>
  </si>
  <si>
    <t>328078</t>
  </si>
  <si>
    <t xml:space="preserve">They have employees in a UNION that are moving to EE.
We need to add them to BenJ using the Union Class  “Union Transfers” to capture original hire date.
Then we will use the Class change to Employees on the date they are to receive Benefits.</t>
  </si>
  <si>
    <t>Add a Class “Union Transfers” which is not eligible for benefits and move is applicable setups. Refer to grid.</t>
  </si>
  <si>
    <t>We found out that the City of Clive deducts from 24 pay cycles instead of 26 pay cycles for all plans except FSA. Because the benefits statement contains the wrong per-paycheck amounts. Jennifer wants us to set up a custom pay cycle for all the plans to be 24(26) except for FSA</t>
  </si>
  <si>
    <t>We have updated the Custom Payroll setup for all the plans (except FSA Healthcare and Dependent care plans) to show 24(26) premiums.</t>
  </si>
  <si>
    <t>328571</t>
  </si>
  <si>
    <t xml:space="preserve">Please update LTD rate change from .350 to .356
Please have this updated before Sunday evening before the jobs run.  
Broker needs to run a report first thing Monday morning with the new LTD rate for each employee</t>
  </si>
  <si>
    <t>Please update LTD rate change from 0.350 to 0.356 effective 8/1/2022</t>
  </si>
  <si>
    <t>327935</t>
  </si>
  <si>
    <t xml:space="preserve">New locations were received in the demographic file. Please add the new locations in the system; eligibility should match the other plans.
TXHEB - Houston: Endicott Ln/Beechnut St
TXKS1 - Katy: Spring Green Blvd/FM 1463
TXR27 - Rosenberg: FM 2977 Rd/FM Highway 762 Rd</t>
  </si>
  <si>
    <t xml:space="preserve">Please add the new locations in the system; eligibility should match the other plans.
TXHEB - Houston: Endicott Ln/Beechnut St
TXKS1 - Katy: Spring Green Blvd/FM 1463
TXR27 - Rosenberg: FM 2977 Rd/FM Highway 762 Rd</t>
  </si>
  <si>
    <t>326211</t>
  </si>
  <si>
    <t>We need to change the termination rule for class to what it is in this screenshot for all the medical plans:</t>
  </si>
  <si>
    <t>Work on the setup as per the above notes.</t>
  </si>
  <si>
    <t>326145</t>
  </si>
  <si>
    <t>The client requests we turn on the waiver reason for the medical plan</t>
  </si>
  <si>
    <t>Turn on the waiver reason for the medical plan.</t>
  </si>
  <si>
    <t>329395</t>
  </si>
  <si>
    <t>HR confirmed that domestic partners cannot enroll in the voluntary life plan. Please update the plan to prevent domestic partners from enrolling.</t>
  </si>
  <si>
    <t xml:space="preserve">HR confirmed that domestic partners cannot enroll in the voluntary life plan. Please update the plan to prevent domestic partners from enrolling. 
Remove the below setup in both the Voluntary Life plans and Voluntary AD&amp;D Plan.</t>
  </si>
  <si>
    <t>329385</t>
  </si>
  <si>
    <t>The FSA and LPFSA needs to be set up to term on the date of term. Right now, it is set up to be the end of the month.</t>
  </si>
  <si>
    <t>The FSA and Limited Purpose FSA needs to be set up to term on the Date of Termination</t>
  </si>
  <si>
    <t>328905</t>
  </si>
  <si>
    <t xml:space="preserve">A new location was received in the demographic file. Please added the following location: 
TXHGA - Houston: Gillette st/Allen Pkwy</t>
  </si>
  <si>
    <t>329421</t>
  </si>
  <si>
    <t xml:space="preserve">Can we please create a new Location - Washington 
​The employer paid 5k CI plan should be a monthly flat fate of 10.71</t>
  </si>
  <si>
    <t>May 2023</t>
  </si>
  <si>
    <t>324731</t>
  </si>
  <si>
    <t>Renuka identifies on the MOO Monthly invoice audit a difference in Volume.  Carrier has told us we can ignore it since the premium amounts are matching.  The Carrier confirmed today that the rounding is conventional rounding, and we need to round the volume.  This will take care of the rounding issues on the LTD Plan</t>
  </si>
  <si>
    <t>Update the Vol LTD plan rounding rule to conventional rounding</t>
  </si>
  <si>
    <t>329904</t>
  </si>
  <si>
    <t xml:space="preserve">Please create the following Divisions in BenJ due to Upfield - Aetna - 834 – Mapping. 
Upfield Hackensack Office 
Remote - USA 
New Century -27080 West 159th 
Upfield Rogers Office 
Direct Bill - Upfield Hackensack Office 
Direct Bill - Remote - USA 
Direct Bill - New Century - 27080 West 159th 
Direct Bill - Upfield Rogers Office</t>
  </si>
  <si>
    <t xml:space="preserve">created the following Divisions in BenJ due to Upfield - Aetna - 834 – Mapping. 
Upfield Hackensack Office 
Remote - USA 
New Century -27080 West 159th 
Upfield Rogers Office 
Direct Bill - Upfield Hackensack Office 
Direct Bill - Remote - USA 
Direct Bill - New Century - 27080 West 159th 
Direct Bill - Upfield Rogers Office 
Prepared the upload template</t>
  </si>
  <si>
    <t xml:space="preserve">Created 2 new Location – Washington Tobacco and Washington Non-Tobacco. All other benefits remain the same as Location All Employees. 
 Created 2 plans with age banded rates
Employer Paid Critical Illness $5,000 – WA Non-Tobacco 
Employer Paid Critical Illness $5,000 – WA Tobacco</t>
  </si>
  <si>
    <t>330186</t>
  </si>
  <si>
    <t>Plead add acknowledgement page – request password and date as acceptance</t>
  </si>
  <si>
    <t>Please add a page to the new hire and open enrollment process flow with the following statement that also includes entering the password and date.</t>
  </si>
  <si>
    <t>329684</t>
  </si>
  <si>
    <t xml:space="preserve">Need to add three departments - receive all benefits
Executive Staff
Nurse Manager LPN
Nurse Manager RN</t>
  </si>
  <si>
    <t>Add the departments as per above.</t>
  </si>
  <si>
    <t>331957</t>
  </si>
  <si>
    <t xml:space="preserve">We need to add a new Department in Benefits Junction for Ahern.
New Department name is “Mason City”
All plans are eligible for this department.</t>
  </si>
  <si>
    <t>Add the department as per above.</t>
  </si>
  <si>
    <t>318216</t>
  </si>
  <si>
    <t xml:space="preserve">All of the Direct Bill divisions to include the following plans:  
Voluntary AD&amp;D 
Voluntary Life 
Pet Benefits 
BuyUp LTD 
Accident 
Critical Illness 
FSA HC 
FSA DC 
FMLA 
EAP 
Hospital Indemnity 
Parking Plan 
Mass Transit</t>
  </si>
  <si>
    <t>332018</t>
  </si>
  <si>
    <t xml:space="preserve">We have received the demographic file for Acme and noticed a new department mentioned below.
Please add the new department: 141.</t>
  </si>
  <si>
    <t>Please add the new department: 141. Eligibility is the same as other department.</t>
  </si>
  <si>
    <t>332732</t>
  </si>
  <si>
    <t xml:space="preserve">Please add the following contacts along with Jean for Overage Dependent Notifications and Pending QLE approvals.
Jean.kosiara@naturalfiberwelding.com
Marty Smith marty.smith@naturalfiberwelding.com 
jerrica.kunkel@naturalfiberwelding.com</t>
  </si>
  <si>
    <t>Updated the request based on the above notes.</t>
  </si>
  <si>
    <t>329920</t>
  </si>
  <si>
    <t>Update class termination rule for all plans to “Last day of month following date of termination.”</t>
  </si>
  <si>
    <t>Updated class termination rule for all plans to “Last day of month following date of termination.”</t>
  </si>
  <si>
    <t>332674</t>
  </si>
  <si>
    <t xml:space="preserve">We have received the demographic file for Acme and noticed a new department mentioned below.
Please add the new department: 165.</t>
  </si>
  <si>
    <t>Please add the new department: 165. The eligibility is the same as all other departments</t>
  </si>
  <si>
    <t>332730</t>
  </si>
  <si>
    <t>The client is already capturing beneficiary details for Class 8 (retirees) employees outside of the system. Please turn off the beneficiary reminder emails for class 8 employees</t>
  </si>
  <si>
    <t>Remove Class 8 from class in Beneficiary reminder email setup. And test to see if emails are going or not.</t>
  </si>
  <si>
    <t>332038</t>
  </si>
  <si>
    <t>DC Setup</t>
  </si>
  <si>
    <t>BenJ is showing a remaining credit for the dental plan when the plan is declined. Please update the DC settings for the dental plan to show no remaining credit if the dental plan is declined for all classes.</t>
  </si>
  <si>
    <t>Updated the DC settings for the dental plan to show no remaining credit if the dental plan is declined for all classes.</t>
  </si>
  <si>
    <t>331561</t>
  </si>
  <si>
    <t xml:space="preserve">For the Critical Illness Plan per carrier age for new hires is plan year start date. If employee was hired after 07.01.2022 and before 07.01.2023 the employees age should have been based on plan year start date and not age as of effective date. 
Example - Jasmine Pierce was effective 02/01/2023 and was 30 years old. We are basing premium on age as of effective date so 6.50 per month. Carrier has her at 29 at premium 4.90 per month.</t>
  </si>
  <si>
    <t>For the Critical Illness Plan per carrier age for new hires is plan year start date. If employee was hired after 07.01.2022 and before 07.01.2023 the employees age should have been based on plan year start date and not age as of effective date.</t>
  </si>
  <si>
    <t>Healthcare Access Maryland Inc</t>
  </si>
  <si>
    <t>332749</t>
  </si>
  <si>
    <t xml:space="preserve">Please move all employees that are in the following Departments to Department “Connector”.
Connector Modified Midwest
Connector Outreach
Connector Enrollment
2.	Remove or inactivate the 3 Departments above so HR no longer sees these departments.</t>
  </si>
  <si>
    <t xml:space="preserve">1.	Please move all employees that are in the following Departments to Department “Connector” effective use same department effective dates currently there. Those who do not have a department effective date use their hire date.
PLEASE MAKE SURE NO EMAILS GO OUT WHEN YOU MAKE THIS CHANGE and NO TERMINATION OF BENEFITS. For uploads select process changing results termination to “NO”.
Connector Modified Midwest
Connector Outreach
Connector Enrollment
2.	Remove or inactivate the 3 Departments above so HR no longer sees these departments. or Add as DO NOT USE for these 3 Departments.</t>
  </si>
  <si>
    <t>333069</t>
  </si>
  <si>
    <t>HR is collecting enrollment forms from employees moving to the retired locations to update the enrollments in BenJ, but when HR updates the employee’s location, these employees receive the Benefits Eligibility Change email, which causes them to log in and enroll in the benefits. HR wants these emails to stop. Please switch off emails for Locations changes.</t>
  </si>
  <si>
    <t>Please switch off emails for Locations changes.</t>
  </si>
  <si>
    <t>328200</t>
  </si>
  <si>
    <t xml:space="preserve">An employee moved to part-time and enrolled in COBRA. We've received his COBRA enrollment to update his record, which the AR team needs in BenJ for invoice reconciliation, but since the record is still active, the data team can't process the COBRA enrollment. I spoke to Denna, and she confirmed we need to set up two part-time COBRA classes to track this in BenJ. These new classes must be eligible for medical, dental, and vision for invoice reconciliation only, no need to report these enrollments to the carriers.   
COBRA Brightmark Plastics Renewal Services LLC – PT 
COBRA Brightmark LLC - PT</t>
  </si>
  <si>
    <t xml:space="preserve">We have added new classes mentioned below eligible for medical, dental, and vision for invoice reconciliation only, no need to report these enrollments to the carriers -
COBRA Brightmark Plastics Renewal Services LLC – PT 
COBRA Brightmark LLC - PT</t>
  </si>
  <si>
    <t>332892</t>
  </si>
  <si>
    <t>Per the carrier Age reduction take affect on the date of birth, but it should not be reported until the next plan year.  Please change age reduction for both Basic Life Plans to Reduce on the next plan year anniversary date</t>
  </si>
  <si>
    <t>We changed age reduction for both Basic Life Plans to Reduce on the next plan year anniversary date</t>
  </si>
  <si>
    <t>332522</t>
  </si>
  <si>
    <t>Per carrier the termination date for FSA plan is the last day of the month following termination date.  Please change set up from Date of Termination to Last day of the month following termination date.</t>
  </si>
  <si>
    <t>For FSA Healthcare plan we changed set up from Date of Termination to Last day of the month following termination date.</t>
  </si>
  <si>
    <t xml:space="preserve">An employee moved to part-time and enrolled in COBRA. We've received his COBRA enrollment to update his record, which the AR team needs in BenJ for invoice reconciliation, but since the record is still active, the data team can't process the COBRA enrollment. I spoke to Denna, and she confirmed we need to set up two part-time COBRA divisions to track this in BenJ. These new divisions  must be eligible for medical, dental, and vision for invoice reconciliation only, no need to report these enrollments to the carriers.   
COBRA Brightmark Plastics Renewal Services LLC – PT 
COBRA Brightmark LLC - PT</t>
  </si>
  <si>
    <t xml:space="preserve">We have added new divisions mentioned below eligible for medical, dental, and vision for invoice reconciliation only, no need to report these enrollments to the carriers -
COBRA Brightmark Plastics Renewal Services LLC – PT 
COBRA Brightmark LLC - PT</t>
  </si>
  <si>
    <t>June 2023</t>
  </si>
  <si>
    <t>334020</t>
  </si>
  <si>
    <t xml:space="preserve">New locations received in the demographic file. Please add the following locations: 
•	TXFMA - Fort Worth: Altamesa Blvd / McCart Ave (TFA)
•	TXPPP - Plano: Preston Rd / W Parker Rd (TPP)
•	AZPCO - Phoenix: N Central Ave / Osborn Rd</t>
  </si>
  <si>
    <t>Work on the above CRF as per above.</t>
  </si>
  <si>
    <t>334509</t>
  </si>
  <si>
    <t>Touchpoint</t>
  </si>
  <si>
    <t xml:space="preserve">Please change the name under Medical as displayed in Touchpoint
HMO ACCESS SHOULD BE CORRECTED TO HMO ACCESS + FULL NETWORK
HMO ACCESS + FULL NETWORK SHOULD BE CORRECTED TO HMO ACCESS.
All the documents are correct so if you just change the Plan Name everything else will be correct.</t>
  </si>
  <si>
    <t>Make the above updates.</t>
  </si>
  <si>
    <t>333951</t>
  </si>
  <si>
    <t>Need to transfer network employees to Soar with no break in coverage</t>
  </si>
  <si>
    <t xml:space="preserve">Add a new division, "Transfers", to the client Soar Transport. And update the waiting period rule to “Date of hire” for this new Division for all plan types. No changes to rule for other divisions.
While doing Division based waiting period make sure previous plan year setup is updated with previous setup and not the new setup
Upload the attached employees in the conversation as per the process discussed</t>
  </si>
  <si>
    <t>333886</t>
  </si>
  <si>
    <t>Two employees are no longer reported on the demographic file. We found out that these employees are still active but are now Board Members. We need to create a new class classed Board Member; the eligibility should match Regular Full-Time Class.</t>
  </si>
  <si>
    <t>We need to create a new class named Board Member; the eligibility should match Regular Full-Time Class</t>
  </si>
  <si>
    <t>335503</t>
  </si>
  <si>
    <t xml:space="preserve">Please change Class change from PT to FT to have to wait the 60 days from their full time hire period date.
Please change Class change from FT to PT to be last day of the month following class change date
Please change Location changes to be Date of Location Change</t>
  </si>
  <si>
    <t xml:space="preserve">please update this for all the plan types.
Please change Location changes to be “Date of Location Change”
Please change Class change from PT to FT to have to wait the 60 days from their full time hire period date
Please change Class change Termination rule from FT to PT to be last day of the month following class change date</t>
  </si>
  <si>
    <t>331634</t>
  </si>
  <si>
    <t>Please update the setup to enable the dependents enrollment like HCAM for Legalshield plans</t>
  </si>
  <si>
    <t xml:space="preserve">Build the plans like this and update the rates as per ratesheet. Please create a new plan type as Legal Shield same as HCAM client. After moving the enrollments to new plans delete the existing plans from BenJ.
Legal Shield Only
ID Shield Only
Legal Shield &amp; ID Shield
Legal Shield Family &amp; ID Shield Single
ID Shield Family and Legal Shield Single</t>
  </si>
  <si>
    <t>332167</t>
  </si>
  <si>
    <t>The client is requesting that benefits end date of termination. Please update the termination rule to Date of termination.</t>
  </si>
  <si>
    <t>Please update the status termination and work country rule to Date of termination for Medical, Dental and Vision in the same period plan year.</t>
  </si>
  <si>
    <t>334218</t>
  </si>
  <si>
    <t>HR is requesting that we rename the class name of Grant - 5 Hours to Grant - Part-Time</t>
  </si>
  <si>
    <t>Renamed the class name of Grant - 5 Hours to Grant - Part-Time</t>
  </si>
  <si>
    <t>335942</t>
  </si>
  <si>
    <t>The broker is asking us to add two new departments: 704 and 721. Can we add 704 now and 721 on 8/1?</t>
  </si>
  <si>
    <t>Add two new departments: 704 and 721 the eligibility is same as other departments.</t>
  </si>
  <si>
    <t xml:space="preserve">They have employees in a UNION that are moving to EE.
We need to add them to BenJ using the Union Class  “Union Transfers” to capture original hire date.
Then we will use the Class change to Employees on the date they are to receive Benefits.
06/22/2023 - update to request
PLEASE SET UP AUTO ENROLLMENT.  WHEN AN EMPLOYEE IS ENTED IN THE CLASS UNION TRANSFER, PLEASE AUTO ENROLL INTO BASIC LIFE, STD, LTD.  THEY SHOULD ONLY RECEIVE EMPLOYER PAID BENEFITS WHILE THEY ARE IN THE UNION TRANSFER CLASS.  ONCE THEY ARE ENTERED INTO THE CLASS ALL EMPLOYEES OR EXEC CLASS THEY SHOULD BE OFFERED ALL BENFEFITS AT THAT TIME.  
Please allow employees to remain in FSA’s &amp; Voluntary Life if they are currently enrolled.
Basically – Medical, Dental and Vision are not eligible when you are in the Union Transfer class
Thanks
Janice</t>
  </si>
  <si>
    <t xml:space="preserve">Add a Class “Union Transfers” which is not eligible for benefits and move is applicable setups. Refer to grid.
Update Dated: 6/22/2023
Add Union Transfer for FSA and Voluntary Life, Basic Life, STD and LTD and move them in auto enrollment and other places</t>
  </si>
  <si>
    <t>334776</t>
  </si>
  <si>
    <t>Since we are receiving a weekly demographic import file from Paylocity each week, we need to not allow employees to make updates to their information.  Please restrict employees from being allow to change their First, Middle, Last Name.  Also they should not be able to change DOB, SSN, Home address, home city, home state, home zip, or gender.  These fields MUST come over on the Paylocity File.</t>
  </si>
  <si>
    <t>Please restrict employees from being allow to change their First, Middle, Last Name.  Also they should not be able to change DOB, SSN, Home address, home city, home state, home zip, or gender</t>
  </si>
  <si>
    <t>336371</t>
  </si>
  <si>
    <t xml:space="preserve">The rate for child voluntary life was provided as 0.19 per 1k.  
The Broker received confirmation today that the rate was reduced to 0.17 per 1k.
Please update the child voluntary rate to .17 per 1,000 in benefits Junction</t>
  </si>
  <si>
    <t>Please update the child voluntary rate to .17 per 1,000 in benefits Junction. Wait for scheduler for afternoon and then audit the premium and confirm CRM.</t>
  </si>
  <si>
    <t>336142</t>
  </si>
  <si>
    <t xml:space="preserve">Need to update plan anniversary dates for the following plans to 1/1: 
1.	Guardian Accident Plan
2.	Guardian Hospital Indemnity Plan
3.	Guardian Critical Illness Plan
4.	Wex FSA Dependent Care
5.	Wex FSA Health Care
6.	Metlife Voluntary Life
7.	Metlife Voluntary Short-Term Disability
8.	Metlife Basic Life and AD&amp;D - 25k
9.	Metlife Basic Life and AD&amp;D - 15k
10.	Metlife Basic Life and AD&amp;D - 10k
11.	Metlife Vision
12.	Metlife Dental Plan - High
13.	Metlife Dental Plan - Low</t>
  </si>
  <si>
    <t>Update plan anniversary dates for the following plans to 1/1 for the above plans. This needs to be completed by 29th June.</t>
  </si>
  <si>
    <t>336179</t>
  </si>
  <si>
    <t>Remove retiree class from vision plan. Retirees should only be offered medical and dental</t>
  </si>
  <si>
    <t>Removed retiree class from vision plan. Retirees should only be offered medical and dental</t>
  </si>
  <si>
    <t>321692</t>
  </si>
  <si>
    <t xml:space="preserve">UMR Medical Stop Loss and Other Premiums is changed. New Rates Effective 7/1/2023 Add new period plan year in Invoice and Deductions setup 
Stop Loss is now $203.89 
Other $7.17 for EE and $17.57 for Family</t>
  </si>
  <si>
    <t>336231</t>
  </si>
  <si>
    <t>Please add the new locations that HR reported. The spreadsheet is in the ticket</t>
  </si>
  <si>
    <t>Add the location mentioned by Juan in the CRF and in the ticket.</t>
  </si>
  <si>
    <t>July 2023</t>
  </si>
  <si>
    <t>336591</t>
  </si>
  <si>
    <t>Based on Hawaii rules, only a portion (based on EE’s salary) of the premium can be EE paid. Since there’s only 1 EE, we can change the rates and for the HMSA plan,</t>
  </si>
  <si>
    <t>Effective 7/1/2023 add new period plan year and change the rates and for the HMSA plan as mentioned above.</t>
  </si>
  <si>
    <t>336388</t>
  </si>
  <si>
    <t>We need to update the plan maximum for FSA HC to 3050.</t>
  </si>
  <si>
    <t>Updated the plan maximum for FSA HC to 3050.</t>
  </si>
  <si>
    <t>338124</t>
  </si>
  <si>
    <t>Update text in Transaction Approval</t>
  </si>
  <si>
    <t>Updated text in Transaction Approval</t>
  </si>
  <si>
    <t>337345</t>
  </si>
  <si>
    <t xml:space="preserve">The New Hire Waiting Period needs to be updated to First of the Month following 30 days for all locations and all plans.
Rehire rules to: First of the Month Following 1 Month from Date of Rehire
Class rule to: First of the Month Following 1 Month from Date of Rehire
All this change is effective from 7/1/2023. Add new period plan year.</t>
  </si>
  <si>
    <t xml:space="preserve">New Hire: Waiting Period needs to be updated to First of the Month following 30 days for all locations and all plans.
Rehire: Please also change the rehired rules to show:
•	Within 0 Days of termination date - First of the Month Following 1 Month from Date of Rehire
•	Others - First of the Month Following 1 Month from Date of Rehire
Class rule to: First of the Month Following 1 Month from Date of Rehire
All this change is effective from 7/1/2023. Add new period plan year.</t>
  </si>
  <si>
    <t>338543</t>
  </si>
  <si>
    <t>On the Invoice reports that WFJ runs monthly for Howard Sheppard we need to update the terminations to be Pro-Rated.</t>
  </si>
  <si>
    <t>Updated the billing rules for terminations to be Pro-Rated for all plan types</t>
  </si>
  <si>
    <t>338644</t>
  </si>
  <si>
    <t xml:space="preserve">Please add a Part Time Class.  
All Benefits should terminate on the last day of the month following the Class Change Date.</t>
  </si>
  <si>
    <t xml:space="preserve">Please add a Part Time Class.  
All Benefits should terminate on the last day of the month following the Class Change Date
No need of new period plan year. We only need to change the Class Termination Rule to “Last day of month following date of termination”. Already some plans are the same, so update only for which needed.</t>
  </si>
  <si>
    <t>336098</t>
  </si>
  <si>
    <t xml:space="preserve">1910 has one employee is they would like to set up a Retiree Class for.
Retiree Class should only receive Medical, Dental and Vision. The rates/premiums for this class should be the same as Executives.
Please set up Retiree class so that when the Executive moves to the Retiree class all benefits besides medical, dental and vision should terminate the last day of the month following the Class change date.</t>
  </si>
  <si>
    <t xml:space="preserve">Add a Retiree Class.
Retiree Class should be eligible for Medical, Dental and Vision. The rates/premiums for this class should be the same as Executives.
Also update the CLASS termination rule for all plans to Last day of month following date of termination. No need to add new period plan year just updated in the existing plan years.</t>
  </si>
  <si>
    <t>336770</t>
  </si>
  <si>
    <t xml:space="preserve">The employee benefit amount needs to be rounded to the next higher $1,000 increment. Please update the rounding rule for the CI’s Age Reduction Schedule.  
Also, currently, the spouse’s age reduction is based on the employee's age, the spouse’s benefit amount needs to be rounded to the next higher $500 increment. Please update this as well.</t>
  </si>
  <si>
    <t>Rouunding Rule for Critical illness plans is updated to Next Highest $1000 for Employee and $500 for Spouse</t>
  </si>
  <si>
    <t>339191</t>
  </si>
  <si>
    <t xml:space="preserve">Hilldrup is acquiring a group of employees that need to be added to BenJ. 
We need to create a new location &amp; department: 56 - WeSolve Workplace Environments. Eligibility should match the other location &amp; department.</t>
  </si>
  <si>
    <t xml:space="preserve">We need to create a new location &amp; department: 56 - WeSolve Workplace Environments. Eligibility should match the other location &amp; department.
Create a Division Named: Acquisition FT Eligible. The waiting period for these divisions are “Date of Hire”</t>
  </si>
  <si>
    <t>340076</t>
  </si>
  <si>
    <t>A new department came over on the demographic file. Please add 55 as a new department. Eligibility should match the other departments.</t>
  </si>
  <si>
    <t>Please add 55 as a new department. Eligibility should match the other departments.</t>
  </si>
  <si>
    <t>August 2023</t>
  </si>
  <si>
    <t>340629</t>
  </si>
  <si>
    <t>Upfield needs to add three numbers to the PEG custom field. Please add 5, 6, and 7 to the dropdown.</t>
  </si>
  <si>
    <t>Please add 5, 6, and 7 to the dropdown of the custom field.</t>
  </si>
  <si>
    <t>339179</t>
  </si>
  <si>
    <t xml:space="preserve">Please change the termination date of plan from Date of Termination to LAST DAY OF THE MONTH FOLLOWING TERMINATION DATE.
I received the following from the broker and the only one that needs updating is Basic life &amp; AD&amp;D.
Basic Life/AD&amp;D - Last day of policy month
Short Term Disability - On the day
Long Term Disability - On the day
Voluntary Life/AD&amp;D - Last day of policy month
Accident - Last day of policy month
Critical Illness - Last day of policy month
Hospital Indemnity - Last day of policy month</t>
  </si>
  <si>
    <t>For Basic Life plan please change the termination date of plan from Date of Termination to LAST DAY OF THE MONTH FOLLOWING TERMINATION DATE.</t>
  </si>
  <si>
    <t>341183</t>
  </si>
  <si>
    <t>Termination Dates for Accident Plan &amp; Critical Illness need to be change to last day of the month following termination date.</t>
  </si>
  <si>
    <t>Status Termination: Accident Plan &amp; Critical Illness need to be changed to last day of the month following termination date</t>
  </si>
  <si>
    <t>340469</t>
  </si>
  <si>
    <t xml:space="preserve">The client should be receiving Benefits Support from the call center. Please update BenJ to reflect the following support level: 
support@workforcejunction.com
925-338-2035</t>
  </si>
  <si>
    <t xml:space="preserve">Please update BenJ to reflect the following support level: 
support@workforcejunction.com
925-338-2035</t>
  </si>
  <si>
    <t>342060</t>
  </si>
  <si>
    <t>HR is requesting that we update the welcome email. Edits are in red:</t>
  </si>
  <si>
    <t>Update the email as mentioned above.</t>
  </si>
  <si>
    <t>339987</t>
  </si>
  <si>
    <t>Update the dental DC rate for Teacher – Full Time to $34. HR noticed that for this class, there was $1 per-pay deduction for the dental plan.</t>
  </si>
  <si>
    <t>Updated the dental DC rate for Teacher – Full Time to $34. These rates are effective 7/1/2023.</t>
  </si>
  <si>
    <t>344038</t>
  </si>
  <si>
    <t>Added new class ACA PT Corporate. This class will have access to Medical, Dental, Vision and Basic Life 7.5k plan</t>
  </si>
  <si>
    <t>344050</t>
  </si>
  <si>
    <t>The broker didn’t provide the renewal rates for Basic Life, Basic AD&amp;D, STD, LTD, and LTD BuyUp. Please update the rate based on the Renewal Rate column in the screenshot below for these plans. These rates are effective 9/1/2023.</t>
  </si>
  <si>
    <t>Update the rates as per above for the plans mentioned effective 9/1/2023.</t>
  </si>
  <si>
    <t>344821</t>
  </si>
  <si>
    <t>Remove "Always Editable" access for Accident and Critical Illness plans. Employee must get access to these plans only during QLE</t>
  </si>
  <si>
    <t>345153</t>
  </si>
  <si>
    <t xml:space="preserve">Age for new hire should be effective date.  Please change set up - Broker requested this change and Guardian approved. 
For 2023 when should employee move to new age band- Please change set up to FOM following birthdate.  This will be changing for 2024 to Plan anniversary.  But needs to be changed for 2023 plan year. 
Age Reduction Schedule needs to be set up for Voluntary Life Plans. 
35% at age 70
50% at age 75
55% at age 80</t>
  </si>
  <si>
    <t>344982</t>
  </si>
  <si>
    <t>Class changes are effective: First of the Month Following 30 Day(s) from the Date of Class Change. This is for all plans.</t>
  </si>
  <si>
    <t>344381</t>
  </si>
  <si>
    <t>Please allow admins to add dependents and enroll them in plans without requiring dependent’s SSN</t>
  </si>
  <si>
    <t>Please allow admins to add dependents and enroll them in plans without requiring dependent’s SSN. Uncheck only the below setup and test for Admins - Client and Partner Admins access levels. Confirmed with Data Integrations team and there is no impact for sending feed to carrier.</t>
  </si>
  <si>
    <t>September 2023</t>
  </si>
  <si>
    <t>341408</t>
  </si>
  <si>
    <t>Voluntary Life is currently set with age for New Hires as Effective Date.  Per snapshot from the carrier and I called and confirmed.  The new hires age is based on plan anniversary date 07.01.2023.</t>
  </si>
  <si>
    <t>Voluntary Life is currently set with age for New Hires as Effective Date.  We have changed the new hires rule to be calculated age is based on plan anniversary date 07.01.2023. For employees hired between 7/1/2023 - 6/30/2024 age is based on as of 7/1/2023</t>
  </si>
  <si>
    <t>345594</t>
  </si>
  <si>
    <t>Minimum Critical Illness election for a spouse is 2.5k.  Please remove the election amount up to 2500.00 as they are not eligible elections.</t>
  </si>
  <si>
    <t>We have changed the minimum coverage of Spouse in Critical Illness plan is changed from 500 to 2500</t>
  </si>
  <si>
    <t>345178</t>
  </si>
  <si>
    <t xml:space="preserve">Please create a custom text field on the Work Tab.  
If you can label it – Cost Center 
It should be an open field so they can type in the code</t>
  </si>
  <si>
    <t xml:space="preserve">Created a custom text field on the Work Tab.  
Label as  – Cost Center 
It is an open field so you can type in the code</t>
  </si>
  <si>
    <t xml:space="preserve">UMR Medical Stop Loss and Other Premiums is changed. New Rates Effective 9/1/2023 Add new period plan year in Invoice and Deductions setup 
Stop Loss is now $203.89 
Admin Fee: $54.94 
Other $7.17 for EE and $17.57 for Family</t>
  </si>
  <si>
    <t>333043</t>
  </si>
  <si>
    <t xml:space="preserve">We need to create a text input plan with a questionnaire to capture the spouse’s name. This has already been created in staging:  
Plan name: Spouse First Name Last name,  
Plan Type: ICCSD Spouse  
Once this is created, we’ll need to remove the current Spouse ICCSD Employee plan.</t>
  </si>
  <si>
    <t xml:space="preserve">We have added new plan to capture Spouse names of employees who are working in the same company.
Plan name: Spouse First Name Last name,  
Plan Type: ICCSD Spouse</t>
  </si>
  <si>
    <t xml:space="preserve">Please update the Welcome Email and remove the following wording:  
3. PLEASE REMEMBER: BENEFIT ENROLLMENT IS A TWO STEP PROCESS! 
Step 1: Complete your beneficiary designation and enroll or waive FSA. Once you complete Step 1, You will receive an email from the ICCSD Payroll Team notifying you that you can continue with Step 2 enrollment. Please allow 24 hours for this emails. 
Step 2: Enroll or waive medical, dental, vision and supplemental life insurance. 
Also, we need to remove the country Other from plans and also get this removed from Benefits Junction as discussed in meeting with Denna.</t>
  </si>
  <si>
    <t>We need to rename the current Locations in Benefits Junction.   The locations should be changed to the 3 digit code that is on the attached spreadsheet.  We need to move everyone to the correct 3 digit code location using the attached spreadsheet Cost codes for WFJ.xls.  Once we move everyone to the correct 3 digit location, you can remove the Cost Center custom field from the Work location tab.</t>
  </si>
  <si>
    <t xml:space="preserve">We have renamed the current Locations in Benefits Junction.  The locations are changed to the 3 digit code that is on the attached spreadsheet.  These new location names are the Cost Center codes of employees.
We removed the Cost Center custom field from the Work location tab.</t>
  </si>
  <si>
    <t>346329</t>
  </si>
  <si>
    <t xml:space="preserve">We need to update the rates for Birkwood Village. If this location hasn’t been updated, then we need to do that too.
The invoice rates are age-banded but the payroll deduction rates are composite.</t>
  </si>
  <si>
    <t xml:space="preserve">Create plans and update the rates effective from 9/1/2023. Also move all employees in this location to $3000 HMO plan with same coverage.
End the existing 3 plans effective 8/31/2023.</t>
  </si>
  <si>
    <t>Fort Madison and Montrose</t>
  </si>
  <si>
    <t>346789</t>
  </si>
  <si>
    <t>Username Changes</t>
  </si>
  <si>
    <t xml:space="preserve">Employee that moved from HCI to Fort Madison &amp; Montrose will no longer have employee ID’s.
Rikki would like us to change the Username to First Initial of First name, Entire Last name and the last four of SSN.  Please see the attached file that has this information listed.  Please use Column E as the new Username in Benefits Junction.
Rikki just comfirmed that the EEID should also be the same as the UserName since they will no longer have an EEID with the new company.  Please update both Username &amp; EEID with the Column E on the excel file</t>
  </si>
  <si>
    <t>Use Column E as the new Username in Benefits Junction. Update both Username &amp; EEID with the Column E on the excel file</t>
  </si>
  <si>
    <t>346809</t>
  </si>
  <si>
    <t>Jennifer confirmed the client is requesting that they want changes to the HSA contribution effective the first of the following month. Please update the plan in the system</t>
  </si>
  <si>
    <t>HAS Changes to the Enrollments should be effective “First of the Month Following 0 Day(s) from Date of Election”</t>
  </si>
  <si>
    <t>345009</t>
  </si>
  <si>
    <t xml:space="preserve">Please update the Stop Loss Premium rates for the following plans effective 9/1/2023
MEC Blue: $17.47
MEC Green rate: $30.33</t>
  </si>
  <si>
    <t>Update the Stop Loss Premium rates effective 9/1/2023.</t>
  </si>
  <si>
    <t>346810</t>
  </si>
  <si>
    <t xml:space="preserve">Employees are entering the wrong event date for status changes, which requires HR to reject the transaction and have the employee redo the status change. This only affects status changes with the benefit change date set to FOFM.
For status changes with FOFM effective dates, please change it to the first of the month following or coinciding with 0 days from date of event.  
This way, if an employee enters 9/1 as the event date, then the change will be effective 9/1 instead of 10/1. 
The status changes that are currently set to date of QE should not change.</t>
  </si>
  <si>
    <t xml:space="preserve">For status changes with FOFM effective dates, please change it to the first of the month following or coinciding with 0 days from date of event.  
The status changes that are currently set to date of QE should NOT change.</t>
  </si>
  <si>
    <t>335044</t>
  </si>
  <si>
    <t xml:space="preserve">Please move the Tobacco User Contribution and Questionnaire setup currently in staging into production. Note the rate for this will change in 2024. The client will provide the update through the renewal setup.  
Also, please remove the last page from JREI’s 2023 Tobacco User Contribution Policy that is linked in the Tobacco User Contribution plan. The last page requiring the signature is not needed.</t>
  </si>
  <si>
    <t>We have added the plan setup as per the CRF</t>
  </si>
  <si>
    <t>341694</t>
  </si>
  <si>
    <t xml:space="preserve">What is the request and why? What problem is it trying to solve for?
There are discrepancies on billing and Rikki from TN has provided corrections needed and Renuka confirmed CRF needed for both.
•	The New Hire Rule for MOO Plans - Voluntary Life and AD&amp;D, STD and LTD plans should be updated to 'Age as on 01/01 of the Plan year'
•	And Waiting Period Rules for Basic Life and AD&amp;D, Voluntary Life and AD&amp;D, STD and LTD plans should be updated to 'First of the Month following 60 Day(s). Should not have coinciding rule.</t>
  </si>
  <si>
    <t xml:space="preserve">1)	Base Age for Rate Calculation for New Hires * - Voluntary Life and AD&amp;D, STD and LTD plans should be updated to 'Age as on 01/01 of the Plan year'
a.	Add 1/1/2023 to 12/31/203 to calculate as of 1/1/2023. You can add this for 2024 year as well.
2)	And Waiting Period Rules for Basic Life and AD&amp;D, Voluntary Life and AD&amp;D, STD and LTD plans should be updated to 'First of the Month Following 60 Day(s) from Date of Hire”. Should not have coinciding rule.</t>
  </si>
  <si>
    <t xml:space="preserve">Please update the ERISA Consent Form for Electronic Distribution of Materials Acknowledgment language with what the client provided and move it from staging to production. The acknowledgment should be presented to employees one time after their next login and to everyone at open enrollment.
I've attached the updated language. 
Also, could you have the team remove the following language and the 2023 Tobacco Policy &amp; Sign-Off Form from the Resource section, since we have the new tobacco plan. (See screenshots below)</t>
  </si>
  <si>
    <t>Go through the above notes and work accordingly.</t>
  </si>
  <si>
    <t>347283</t>
  </si>
  <si>
    <t>Update auto enrollment Waive for all plans except Basic Life</t>
  </si>
  <si>
    <t>348563</t>
  </si>
  <si>
    <t xml:space="preserve">Rehire Rules to be updated.
If rehire happens within 13 weeks of departure date, benefits will be effective date of rehire.
If rehire is after 13 weeks have passed, benefits will be effective - First of the Month Following or Coinciding with 30 Day(s) from Date of Hire</t>
  </si>
  <si>
    <t xml:space="preserve">If rehire happens within 91 days of departure date, benefits will be effective date of rehire.
If rehire is after 91 days have passed, benefits will be effective - First of the Month Following or Coinciding with 30 Day(s) from Date of Hire</t>
  </si>
  <si>
    <t>348596</t>
  </si>
  <si>
    <t>Update Activation email Subject and include New Hire To Do List due date.</t>
  </si>
  <si>
    <t>Updated Activation email Subject and include New Hire To Do List due date.</t>
  </si>
  <si>
    <t>October 2023</t>
  </si>
  <si>
    <t>349662</t>
  </si>
  <si>
    <t xml:space="preserve">The age bracket and rates are not correct. I checked the Non-Smoker 10k and they are not correct.
Please check all and make updates right away.  The age brackets didn’t even match the document.</t>
  </si>
  <si>
    <t>Update the rates and correct age band as per above.</t>
  </si>
  <si>
    <t>346782</t>
  </si>
  <si>
    <t xml:space="preserve">What is the request and why? What problem is it trying to solve for?
When an employee is on a LOA they are required to send in their portion of the cost of benefits.  If they do not send their portion in, they are terminated from all plans Date that is entered as the Division Effective Date.  All Company paid benefits should continue – Basic Life &amp; AD&amp;D &amp; LTD for the.
Please note the employees in the class “Howard Sheppard” are enrolled in the Voluntary LTD Plan.  This plans should terminate.
Only the employees in Class 1, &amp; Class 2 are 100% employer paid LTD.  Class 3 are not eligible for LTD.
Please create a New Division in the drop – LOA Non Payment</t>
  </si>
  <si>
    <t>Create a New Division in the drop - LOA Non Payment. Make the updates as per grid</t>
  </si>
  <si>
    <t>349012</t>
  </si>
  <si>
    <t>We have noticed that employees are updating their demographic information in Benefit Junction instead of Paylocity, which is causing confusion. As a result, there is a high possibility of incorrect data being updated while working on the weekly demographic file. Please lock the following employee personal fields so employees are not able to updated it in our system.</t>
  </si>
  <si>
    <t>Remove editable for the above mentioned fields.</t>
  </si>
  <si>
    <t>349796/349795</t>
  </si>
  <si>
    <t xml:space="preserve">HCI locations – VL Jefferson and VL Cherokee and The Gardens of Cedar Rapids are leaving HCI.  
Terminate employees in those locationseffective 10/31/2023, and make locations inactive.</t>
  </si>
  <si>
    <t>We have updated the Locations VL Jefferson, VL Cherokee and The Gardens of Cedar Rapids with a suffix "DO NOT USE" and Terminated the employees in those locations effective 10/31/2023 with the change reason as Other - Change in Broker and benefits will get terminated effective 11/1/2023</t>
  </si>
  <si>
    <t>350162</t>
  </si>
  <si>
    <t xml:space="preserve">Change benefits effective date to First of the Month following 1 month from Date of Hire.
Applicable for all plans</t>
  </si>
  <si>
    <t xml:space="preserve">Change the waiting period rule for new hire from “First of the Month Following 30 Day(s) from Date of Hire” to “First of the Month Following 1 Month(s) from Date of Hire”
This applies to all the plans that have rule “First of the Month Following 30 Day(s) from Date of Hire” for new hire waiting period. Let us know if any plan has different rule.
Also based on the correction review the employees from this conversation #350217 these employees should be getting waiting period correctly after the setup update. If not, we need to provide effective date as per new rule. If the enrollment is already completed, then we have to correct the enrollment.</t>
  </si>
  <si>
    <t>347472</t>
  </si>
  <si>
    <t>While working on updating an employee’s enrollment, I found out that there were classes without a DC set up. The client has provided updates to the DC setup</t>
  </si>
  <si>
    <t>We have added DC Setup for all classes</t>
  </si>
  <si>
    <t>350479</t>
  </si>
  <si>
    <t>Please add new Department -  "Community Diabetes Initiative"</t>
  </si>
  <si>
    <t>Added the new department "Community Diabetes Initiative" and this is eligible for all benefits.</t>
  </si>
  <si>
    <t>350648</t>
  </si>
  <si>
    <t>Please extend the plans till 12/31/2023 for the following locations: STL West, TCC, Edgewood, Elkader and Great River.</t>
  </si>
  <si>
    <t>351005</t>
  </si>
  <si>
    <t xml:space="preserve">Our FSA Healthcare and Dependent Care plan in the system currently allows employees to select a minimum contribution amount of "zero." As a result, some employees are entering "zero" instead of electing to decline the plan altogether. This is causing confusion when verifying files after running automation because employees who elect the zero amount are still shown as "Enrolled."
To avoid this confusion, please change the minimum contribution amount to $1. Please decline anyone enrolled with $0 and provide me with a list of employees that we updated to notify HR. This will enable employees who do not wish to contribute to the plans to decline the benefits properly.</t>
  </si>
  <si>
    <t>Can you change the minimum contribution amount to $1 for FSA HC And FSA DC. Please decline anyone enrolled with $0 and provide CRM with a list of employees that we updated to notify HR. This will enable employees who do not wish to contribute to the plans to decline the benefits properly</t>
  </si>
  <si>
    <t>351763</t>
  </si>
  <si>
    <t>We received a demographic file for ACME and noticed a new department (358) for some members. Please add the department to our system</t>
  </si>
  <si>
    <t>Add new department 358. Eligibility is the same as other departments</t>
  </si>
  <si>
    <t>November 2023</t>
  </si>
  <si>
    <t>351952</t>
  </si>
  <si>
    <t xml:space="preserve">ICCSD has a retiree who has come back to work in a benefit-eligible position, but the client wants to keep him enrolled in the retiree medical plan. So, we need to create a new location, Benefit Eligible Retiree, which should be eligible for the following: 
Retiree Medical
Dental
VSP Vision
Basic Life – (all of them)
LTD
Voluntary Life
FSA HC &amp; DC
Summer Checks Distribution
ICCSD Spouse
If the employee terminates, COBRA should only be offered for Dental and Vision.</t>
  </si>
  <si>
    <t>Create a new location, Benefit Eligible Retiree. Make this eligible for plans mentioned above.</t>
  </si>
  <si>
    <t>354815</t>
  </si>
  <si>
    <t>Age reduction rule should be  first of the month following the age reduction</t>
  </si>
  <si>
    <t xml:space="preserve">Age reduction rule should be  first of the month following the age reduction
This is for Voluntary Life plan.</t>
  </si>
  <si>
    <t>357448</t>
  </si>
  <si>
    <t>Accident plan -The Accident Plan has separate rates for employees in WA.</t>
  </si>
  <si>
    <t>This is for Washington Location for both smoker and non-smoker. The rates for the existing plan based on locations. All Employees will have existing rate. Then Washington Smoker and Non Smoker will have this new rates.</t>
  </si>
  <si>
    <t>352334</t>
  </si>
  <si>
    <t xml:space="preserve">New locations have been reported on the demographic file. Please add the following: 
1) FLC1S - S US Hwy 17-92 / Semoran Blvd(Casselberry)
2) NVLMS - Silverado Ranch Blvd./Maryland Pkwy
Eligibility should match the other files.</t>
  </si>
  <si>
    <t>Please add above locations as per CRF.</t>
  </si>
  <si>
    <t>December 2023</t>
  </si>
  <si>
    <t>355664</t>
  </si>
  <si>
    <t xml:space="preserve">Spouse rates need to be updated to correct few cents difference 
Should be updated to:</t>
  </si>
  <si>
    <t>Vol Life spouse rates needs to be updated.</t>
  </si>
  <si>
    <t>358721</t>
  </si>
  <si>
    <t xml:space="preserve">A new location was received in the demographic file. Please add the following location: 
UTSJB - S Jordan Pkwy / Bangerter Hwy</t>
  </si>
  <si>
    <t xml:space="preserve">Please add the following location: 
UTSJB - S Jordan Pkwy / Bangerter Hwy</t>
  </si>
  <si>
    <t>359453</t>
  </si>
  <si>
    <t xml:space="preserve">Please create an information only page for Pet insurance. Details attached to ticket 
Please create two LifeLock Plans – Eligible for all Benefit Eligible Employees with the same waiting periods as all other plans.</t>
  </si>
  <si>
    <t>Added new plans Nationwide Pet Insurance and two Life Lock plans - LifeLock Benefit Elite and  LifeLock Ultimate Plus</t>
  </si>
  <si>
    <t>359814</t>
  </si>
  <si>
    <t>Spouse rates which were changed with Ticket #355664, needs to be reverted</t>
  </si>
  <si>
    <t>359856</t>
  </si>
  <si>
    <t>We received the demographic file for ACME, and we noticed a new department.  (Department - 361) for one new hire employee. Please add 361 as a new department.</t>
  </si>
  <si>
    <t>Added the 361 as a new department and the eligibility is same as all departments.</t>
  </si>
  <si>
    <t>360527</t>
  </si>
  <si>
    <t>Please update the death of dependent status change to be effective: First of the Month Following or Coinciding with 0 Day(s) from Date of QE</t>
  </si>
  <si>
    <t xml:space="preserve">Please update the death of dependent status change to be effective: This applies to all plan types.
First of the Month Following or Coinciding with 0 Day(s) from Date of QE</t>
  </si>
  <si>
    <t>352963</t>
  </si>
  <si>
    <t xml:space="preserve">We need to identify for the payroll deduction file who are the 3 executives.  We do not want to create a class as the import will have to be recreated.  If we could please create a new Department in Ben J as Executive.
	The 3 employees that need to move into that Department are:
Roger Biles
Dorothy Davis
Jacquline Ralp-Blain
Can you please have these 3 employees moved to the Executive Department.</t>
  </si>
  <si>
    <t xml:space="preserve">Create a new Department as Executive.
The 3 employees that need to move into that Department are:
EEID – 009792- Roger Hiles
EEID - 007646 - Dorothy Davis
EEID - 010282 - Jacqueline Ralph Blair</t>
  </si>
  <si>
    <t>356307</t>
  </si>
  <si>
    <t>Rates for the Employer Paid CI Plan have changed for 01/01/2024.Rate reduced from $10.71 PEPM to $9.30 PEPM</t>
  </si>
  <si>
    <t>Updates rate for the Employer Paid CI Plan to $9.30 PEPM effective 01/01/2024.</t>
  </si>
  <si>
    <t>360353</t>
  </si>
  <si>
    <t xml:space="preserve">The client is moving Basic Life, STD, LTD, Voluntary Life, and EAP to Mutual of Omaha effective 1/1/2024. The plans are the same but with different rates. I had the client use the Renewal Wizard to set up the plans. No open enrollment for this change. 
Please create the new plans and roll over the current enrollments to the new plans. These plans will be renewed on 5/1/2024 like the other plans. On the Value Added Plans (information only plan), add two sections for Well Preparation Services and the Colo</t>
  </si>
  <si>
    <t xml:space="preserve">Create the new plans effective 1/1/2024 and roll over the current enrollments to the new plans effective 1/1/2024. 
These plans will be renewed on 5/1/2024 like the other plans.Keep the plan anniversary as 5/1.</t>
  </si>
  <si>
    <t>360799</t>
  </si>
  <si>
    <t xml:space="preserve">We Received the demographic file dated 12/20/2023 with the new department 9912.
Please add the new department to BenJ.</t>
  </si>
  <si>
    <t>Please add the new department to BenJ.</t>
  </si>
  <si>
    <t>Add new Smoking Attestation plan</t>
  </si>
  <si>
    <t>Added new Smoking Attestation plan</t>
  </si>
  <si>
    <t>361021</t>
  </si>
  <si>
    <t>Update delta dental premiums to $96.34</t>
  </si>
  <si>
    <t>Updated delta dental premiums to $96.34</t>
  </si>
  <si>
    <t>360997</t>
  </si>
  <si>
    <t>Updated Basic Life and AD&amp;D rates need to be updated to .095 / .03</t>
  </si>
  <si>
    <t>Updated Basic Life and AD&amp;D rates is updated to .095 / .03</t>
  </si>
  <si>
    <t>360723</t>
  </si>
  <si>
    <t>Need to create a custom field in the Employee's personal info called "Spouse's phone number"</t>
  </si>
  <si>
    <t>Added a custom field in the Employee's personal info called "Spouse phone number"</t>
  </si>
  <si>
    <t>361481</t>
  </si>
  <si>
    <t>Need to change payroll schedule to 26 deductions</t>
  </si>
  <si>
    <t>Removed the custom payroll for the year 2024 for all the plans.</t>
  </si>
  <si>
    <t>361471</t>
  </si>
  <si>
    <t>Please update the dental employee-only amount to $13.37, so the per paycheck value appears as $6.17</t>
  </si>
  <si>
    <t>update the dental employee-only amount to $13.37, so the per paycheck value appears as $6.17.</t>
  </si>
  <si>
    <t>359204</t>
  </si>
  <si>
    <t xml:space="preserve">Regarding the Electronic Consent message, we missed some part-time employees because of this issue: https://secure.helpscout.net/conversation/2426569037/356812#thread-7276548130.
Please set up another ERISA Consent Form for Electronic Distribution of Materials (an exact copy of the current message) and set it up only for part-time employees so we can have them log in again.
Also, please provide a list of part-time employees that have missed this message.</t>
  </si>
  <si>
    <t>Work on the above CRF and provide the list of missed PT employees.</t>
  </si>
  <si>
    <t xml:space="preserve">UHC Basic Life Plan Age reduction rules -
Benefits will be reduced to 65% of original amount at age 65 and 50% of the original amount at age 70.
The reductions will be effective on the first day of the month following the month in which your birthday occurs.
doesn't appear there is a rounding rule but to err on the side of caution, I would round down:  Let us keep No Rounding</t>
  </si>
  <si>
    <t>Plan Setup</t>
  </si>
  <si>
    <t>Status Change</t>
  </si>
  <si>
    <t xml:space="preserve">We need to add location groupings for Ohio, Oklahoma, and Other Locations in the plan eligibility setup. 
Ohio-Oklahoma - Employees can only see the HDHP Base and the Buy-Up plan 
Ohio-Oklahoma Mid-Plan – Location based rates, but we need to update $0 SimplePlan Tiered Mid-Plan contributions only for $1,000 PPO Buy-Up Plan. 
Other Locations -The $0 SimplePlan Tiered Mid-Plan is only available for TX, CO, and NM employees.</t>
  </si>
  <si>
    <t>True North</t>
  </si>
  <si>
    <t>to better fit the employee situation so it’s less confusing.</t>
  </si>
  <si>
    <t>Change Request Forms - 2025</t>
  </si>
  <si>
    <t>January</t>
  </si>
  <si>
    <t xml:space="preserve">Update rate for Basic Life and AD&amp;D - 50K plan to $0.14 (double check against docs) 
Update rate for UHC Basic Life &amp; AD&amp;D - 80K to $0.12 (double check against docs) 
Critical Illness plan rule update - Premium calculation for spouse should be based on spouse’s age.  
Remove Basic life plan from PT COBRA class.</t>
  </si>
  <si>
    <t xml:space="preserve">BETHANY LUTHERAN 
Basic Life and AD&amp;D - 50k – Update rate effective 1/1/2025 
Life - $0.12  ;AD&amp;D - 0.02 
Voluntary Critical Illness plan rule update - Premium calculation for spouse should be based on spouse’s age. 
Summit Pointe 
UHC Basic Life &amp; AD&amp;D - 80K – Update rate effective 1/1/2025 
Life - $0.10 
AD&amp;D - 0.02 
PT COBRA class  
Remove Basic life - Basic Life and AD&amp;D - 50k plan for this class from initial time. </t>
  </si>
  <si>
    <t xml:space="preserve">With this OE the carrier changed for LTD from Guardian to UNUM and there is only one LTD plan now.
We reviewed the records and found that currently 93 employees are in the LTD 2 division (attached). Can we do the following changes to the division -
Move all 93 employees from LTD 2 to LTD 1 effective 1/1/2025 there will not be any enrollment terminations since both the divisions are eligible for all plans.
After division changes, rename LTD 2 to "LTD 2 - Do Not Use"
Rename LTD 1 to "All Employees"</t>
  </si>
  <si>
    <t xml:space="preserve">HR is reporting a discrepancy in the rates, and provided a rate sheet. It looks like TN didn’t provide the new rates for the dental plan. </t>
  </si>
  <si>
    <t xml:space="preserve">Moved employees from class "Brightmark Plastics Renewal Services LLC - LTD 1" to "  Brightmark LLC - FT" effective 1/1/2025.
After moving the employees to the FT class we renamed the "Brightmark Plastics Renewal Services LLC - LTD 1" class to Do Not Use - BPRS LLC - LTD 1 effective 1/1/2025.
100002123,
100002392,
100002171,
100001414,
100002223,
100001415,
100002415
100001676,
100001413,
100002172,</t>
  </si>
  <si>
    <t xml:space="preserve">A and R team noticed a rate difference in the carrier site, and the broker confirmed the Basic AD&amp;D rate went down. Please update the AD&amp;D rate in BenJ for 2025 to .02 per $1,000. 
“Correct, Life / AD&amp;D is .095 / .02 (AD&amp;D went down a cent) and a 2 year Rate Guarantee.”
</t>
  </si>
  <si>
    <t xml:space="preserve">Please create two info plan pages for Healthiest You and AFLAC to the new hire enrolment workflow. Use the info from the Flimp site.
We already have AFLAC plan, so create Healthiest You Information Only plan and use info from Flimp
</t>
  </si>
  <si>
    <t xml:space="preserve">During admin training, we discovered that for employee terminations, the benefits term at the end of the month. 
Please update the all plans to terminated at the end of the month for terminations.  </t>
  </si>
  <si>
    <t xml:space="preserve">Updated Termination rules for all plans to be terminated at the end of the month. Even CLDD Terminations to end of the month. </t>
  </si>
  <si>
    <t xml:space="preserve">The broker confirmed the following:  
 “Eligibility is First of the Month Following or Coinciding with Date of Hire, for both Covered California medical plans and all lines of Principal Financial Group coverage. This same eligibility applies to both new hires and re-hires (e.g., if a former employee was rehired by/returned to TetraMem, they'd be eligible for all coverage the first of the month following their re-hire date OR, if their re-hire date fell on the first day of the month, their coverage would start that day).” 
Please update the new hire and rehire for medical and dental to First of the month following or coinciding 0 day(s) from Date of hire.</t>
  </si>
  <si>
    <t xml:space="preserve">Please update the new hire and rehire for medical (Blue Shield of California and Kaiser medical plans also) carrier and All Plan Types of Principal  carrier to “First of the month following or coinciding 0 day(s) from Date of hire”. 
Please also update the same rule for CLDD waiting period rule. No changes to Termination rules. </t>
  </si>
  <si>
    <t xml:space="preserve">Please make the necessary updates to the system to upload the employee records without SSN by the data team and make it mandatory to employees. Also make the demographic fields non editable to employees as we get the information from Lumber. </t>
  </si>
  <si>
    <t xml:space="preserve">Make the below fields non editable for employees as we are going to get demographic information from Lumber. 
First Name 
Middle Name 
Last Name 
DOB 
Home Address 1 
Home Address 2 
Home State 
Home City 
Home Zip 
Cell Phone 
Also, for admins removed the mandatory for SSN for uploads and adding employees. </t>
  </si>
  <si>
    <t xml:space="preserve">New departments have come over on the demographic file. Please add the following departments, eligibility should match the other departments:  
1) Strategic Client Services 
2) Marketing Channel 
3) Internal Apps </t>
  </si>
  <si>
    <t xml:space="preserve">New departments have come over on the demographic file. We added the following departments, eligibility matches the other departments:  
1) Strategic Client Services 
2) Marketing Channel 
3) Internal Apps </t>
  </si>
  <si>
    <t xml:space="preserve">Tim confirmed a new group of employees will be bi-weekly, and we only have twice per month pay cycle set up in the system.  
Please set up a bi-weekly pay cycle. 	 </t>
  </si>
  <si>
    <t xml:space="preserve">We have set up a bi-weekly pay cycle.
Hugoton employees should get Every Two Weeks Paycycle.  </t>
  </si>
  <si>
    <t>February</t>
  </si>
  <si>
    <t xml:space="preserve">Basic Life rate updated to $0.050 and the AD&amp;D rate is $0.030
</t>
  </si>
  <si>
    <t xml:space="preserve">Starting in 2025, we will be responsible for ICCSD ACA monthly tracking. We need to add CLDD to manage variable-hour and part-time employees.
Create the following Divisions 
Part Time No benefits- Not eligible for any plans 
VH Ineligible- Not eligible for any plans 
VH Eligible- make this eligible for medical plan- PPO plan. This division is not eligible for Retiree Medical  
The waiting period for division change should be the date of change.    </t>
  </si>
  <si>
    <t xml:space="preserve">Create the following Divisions 
Part Time No benefits- Not eligible for any plans 
VH Ineligible- Not eligible for any plans 
VH Eligible- make this eligible for medical plan- PPO plan. This division is not eligible for Retiree Medical  
The waiting period for division change should be the date of change. </t>
  </si>
  <si>
    <t xml:space="preserve">Data team received an error from MoO, and we discovered the dep overage limit is the last day of the month in which your eligible Dependent child reaches the age of 21, or age 25 if a Student for the Voluntary Life. </t>
  </si>
  <si>
    <t xml:space="preserve">Voluntary Life - Overage dependent limit is the last day of the month in which your eligible Dependent child reaches the age of 21, or age 25 if a Student for the Voluntary Life. 
Since we cannot do minimum age setup, we updated the overage setup to first day of the month following the 25th birthday. 
We set the maximum age as 25 for children and will closely monitor their status. Upon reaching the age of 21, CRM will contact the employee to verify the student's status. We will waive their coverage if the child is no longer a full-time student. 
Note: We added a task to do a manual Monthly audit until we develop the functionality. </t>
  </si>
  <si>
    <t xml:space="preserve">Dilip found discrepancies in the volumes while working on Noyo. We need to update the following for Basic Life:  
1) Benefit Rounding Rule - Next highest 1000 
2) Age Reduction Rounding Rule – No Rounding 
3) Age Reduction Schedule - Age 65 reduce by 35% and Age 70 reduce by 50% but will not go lower than $1,000 
4) Age Reduction Effective from - The age reduction is on the member date of birthday. 
</t>
  </si>
  <si>
    <t xml:space="preserve">Updated the below for Basic Life plan. 
1) Benefit Rounding Rule - Next highest 1000 
2) Age Reduction Rounding Rule – No Rounding 
3) Age Reduction Schedule - Age 65 reduce by 35% and Age 70 reduce by 50% but will not go lower than $1,000 
4) Age Reduction Effective from - The age reduction is on the member date of birthday. </t>
  </si>
  <si>
    <t xml:space="preserve">Create and setup the Group Life &amp; AD&amp;D and LTD plan. $15k AD&amp;D, $1k LTD, $15k LIFE and enable auto enrollment. </t>
  </si>
  <si>
    <t xml:space="preserve">Added Vision plan in Divorce and Death of Dependent status changes
Employee must only be able to remove the dependent from the Vision plan. Must not be able to newly enroll or waive the Vision plan</t>
  </si>
  <si>
    <t xml:space="preserve">Through invoice reconciliation, we discovered the premium for the Platinum plans needs to be updated.
Platinum Plan
Employee + Spouse should be $2,201.30
Employee + Child(ren) should be $1,927.31
</t>
  </si>
  <si>
    <t xml:space="preserve">Update the premiums for the Platinum plan to reflect below for the coverages mentioned.
Employee + Spouse should be $2,201.30 
Employee + Child(ren) should be $1,927.31 
</t>
  </si>
  <si>
    <t xml:space="preserve">Flora’s Cigna medical plan includes a vision benefit, and in our reconciliation process the is seeing the additional amount billed for the vision plan. 
Please update the medical premiums to include the vision premium: 
</t>
  </si>
  <si>
    <t xml:space="preserve">Please update the medical premiums to include the vision premium (Cigna Eye Exam Only rate): </t>
  </si>
  <si>
    <t xml:space="preserve"> March</t>
  </si>
  <si>
    <t xml:space="preserve">Please make demographic fields mandatory for Admins/HR’s excluding Marital Status. Also, the Benefits Company is now IMA Financial Group please update in BenJ. 
Please also update TP or Filmp for the same. </t>
  </si>
  <si>
    <t xml:space="preserve">We have made demographic fields mandatory for Admins/HR’s excluding Marital Status. 
Also, the Benefits Company is now IMA Financial Group please updated in BenJ. 
Also updated TP. </t>
  </si>
  <si>
    <t xml:space="preserve">Update notification recipients to include Haley New: haley.new@onesourcedat.com 
Update new hire elections so they don’t pend HR approval </t>
  </si>
  <si>
    <t xml:space="preserve">Updated notification recipients to include Haley New: haley.new@onesourcedat.com  
Updated new hire elections so they don’t pend HR approval </t>
  </si>
  <si>
    <t>March</t>
  </si>
  <si>
    <t xml:space="preserve">Need to update the premiums for HCI- Summit House
Employee deductions should remain the same.
</t>
  </si>
  <si>
    <t xml:space="preserve">Update the Basic Life child rates as mentioned below as requested by TransAmerica and Jasmin: 
Employee - $0.120
Spouse - $0.680
Child(ren) - $0.680</t>
  </si>
  <si>
    <t xml:space="preserve">Updated both the Basic Life plans child rates as mentioned below as requested by TransAmerica and Jasmin: 
Employee - $0.120
Spouse - $0.680
Child(ren) - $0.680</t>
  </si>
  <si>
    <t xml:space="preserve">Due to a COBRA error, we’ve determined that the medical plan premiums need to be set up in the system, which we previously believed was unnecessary. Since the premiums were not configured, COBRA reported a $0 premium, leading to the issue. 
Because the premiums are tied to Locations (Technology and Manufacturing), we will need to create duplicate medical plans to accommodate the correct premium setup.</t>
  </si>
  <si>
    <t xml:space="preserve">Created new plan based on location for medical plans and keep the existing plans for Technology Location and create new plan for Manufacturing and Engineering. Deductions rates are same only in invoice rates are changing and it is age based.
Moved employees to new plans with current enrollments.</t>
  </si>
  <si>
    <t xml:space="preserve">WEX flagged a discrepancy for Steve Carter (ID: 66968), stating his COBRA dental start date should be 3/17/2025. However, our system reflects his part-time status effective 3/17/2025, making him COBRA-eligible starting 4/1/2025 per the termination rule.  
Rikki confirmed “Everything should term on date of term, except vision which is end of month.” Please update the division termination rule to date of termination for all plans except for vision. Then correct Steve’s record to reflect the correct termination rules.  </t>
  </si>
  <si>
    <t xml:space="preserve">Updated the division termination rule to date of termination for all plans except for vision. Then corrected Steve’s record to reflect the correct termination rules. </t>
  </si>
  <si>
    <t xml:space="preserve">Please remove the PCP requirement from both Anthem plans. </t>
  </si>
  <si>
    <t xml:space="preserve">Update Status Termination date rule for Medical only to “Last day of month following date of termination”. </t>
  </si>
  <si>
    <t xml:space="preserve">Add HSA Plan – details are in renewal wizard.  </t>
  </si>
  <si>
    <t>April</t>
  </si>
  <si>
    <t xml:space="preserve">We received the demographic file dated 03/27/2025 with the new department "Technical Operations", "Cloud Operations". Please create the new departments; eligibility should match the other departments.  </t>
  </si>
  <si>
    <t xml:space="preserve">HR wants to update employee’s status from terminated to LOA, but we don’t have a CLDD for LOA. Please create a new division ‘LOA No Benefits’ that is not eligible for any plans.  
Then we need to correct Nancy Lopez, 12300, records; reinstate the record and move her to the new LOA division effective 3/24/2025.  
Benefits should term at the end of the month.</t>
  </si>
  <si>
    <t xml:space="preserve">Please create a new division ‘LOA No Benefits’ that is not eligible for any plans.   
Then we need to correct Nancy Lopez, 12300, records; reinstate the record and move her to the new LOA division effective 3/24/2025.   
Division termination rule should match with the status termination rule for all plans.</t>
  </si>
  <si>
    <t xml:space="preserve">The broker confirmed Aetna doesn’t have separate waiting periods for Executives. It should be First of the Month Following or Coinciding with 60 Day(s) from Date of Hire for them as well. Please update the medical plan waiting period. 
Also, please correct ID 1226 medical effective date to 4/1/2025. </t>
  </si>
  <si>
    <t xml:space="preserve">For Executives the rule should be First of the Month Following or Coinciding with 60 Day(s) from Date of Hire for Aetna Medical plan. Please update the medical plan waiting period.  
Also, please correct ID 1226 medical effective date to 4/1/2025. </t>
  </si>
  <si>
    <t xml:space="preserve">A department has been reported to us. Please add Safety as a new department; eligibility should match the other departments. </t>
  </si>
  <si>
    <t xml:space="preserve">Create a new Division “Leave without Benefits” and move him to that effective Feb 28. (Earlier he was “Termed” effective March 1. That was wrong, so that will need to be corrected on BenJ and with the carriers. 
I have reverted the Termination entry on BenJ. All you have to do is move employee to “Leave without Benefits” effective Feb 28.
Once changed to benefits not eligible we need to report this to COBRA.
</t>
  </si>
  <si>
    <t xml:space="preserve">While answering questions regarding the HSA, I noticed we were not accounting for the ER contributions in the maximum limits. 
Please adjust the HSA limit to include employer contribution amount in the annual elections. This adjustment will ensure our system limits the maximum contribution as specified in the setup for employees. 
The updated maximum limits are as follows for 2025:
- Single: $4,300 minus $600 equals $3,700
- Family: $8,550 minus $1,000 equals $7,550
</t>
  </si>
  <si>
    <t xml:space="preserve">The updated maximum limits are as follows for 2025: The ER contribution was reduced from max irs limits.
- Single: $4,300 minus $600 equals $3,700
- Family: $8,550 minus $1,000 equals $7,550
</t>
  </si>
  <si>
    <t xml:space="preserve">Ahern Identity Theft Enrollment
Final Plan of Action
- WFJ Population: current covered employees
- Enrollment Period: 4/14 -4/30
- Deductions: Updated deductions will need to be sent on our payroll advice files
- Communication: Enrollment Kick off email on 4/14, email details will be sent
Finalization rule for those that don't take action - keep their current enrollment.
If someone makes a change, it will be effective 4/14/2025. If they don’t make changes current coverage and effective date continues.
</t>
  </si>
  <si>
    <t xml:space="preserve">Create the OE setup for Ahern Identity Theft Enrollment.
Enrollment Period: 4/15 -4/30
Finalization rule for those that don't take action - keep their current enrollment.
If someone makes a change, it will be effective 4/15/2025. If they don’t make changes current coverage and effective date continues.
</t>
  </si>
  <si>
    <t xml:space="preserve">Add Department “Production” and “Default”  
Department is a 'required' field for Lumber and comes from other ERP system integrations. So we just need to add them. They don't impact eligibility. 
Additionally, we need to add a 'Default" department to assign employees to, if we get feeds with missing department info. This will get over written by later feeds from Lumber as and when they receive the Department from the ERP system You could add both these in a single CRF. </t>
  </si>
  <si>
    <t xml:space="preserve">Add Division “FT Office – Union Retiree” - They would have the exact same benefits offered through WFJ as the "Office Union" class. </t>
  </si>
  <si>
    <t xml:space="preserve">Added new Division “FT Office – Union Retiree” - It has the exact same benefits offered through WFJ as the "Office Union" class. </t>
  </si>
  <si>
    <t xml:space="preserve">HSA plan Employer Contribution setup disabled
and enrollments with HSA with $0 is changed declined</t>
  </si>
  <si>
    <t xml:space="preserve">We've identified discrepancies between our system rules and Guardian's policies via the API feed. Please update the coverage rules as follows: 
Guardian Basic Life and AD&amp;D – Termination Rule 
Current system logic: Coverage ends the last day of the month following the termination date. 
Correct rule (per Guardian): Coverage ends on the date of termination. 
Example: Jessica Jay, termed 04/02/2025, should have coverage end on 04/02/2025. </t>
  </si>
  <si>
    <t xml:space="preserve">Guardian Basic Life and AD&amp;D Coverage ends on the date of termination. 
Also, correct the impacted employees from Jan 2025. </t>
  </si>
  <si>
    <t xml:space="preserve">We’re phasing out the using of the COBRA cldds in BenJ which the broker used to track COBRA enrollments for ACA reporting purposes.
Please create a custom free text field called ’COBRA Status’
</t>
  </si>
  <si>
    <t xml:space="preserve">Create a custom free text field called ’COBRA Status’
Jeff Filippo should be listed under the COBRA Division effective 07/01/2024. He needs to be enrolled in Medical (Cigna POS 2500) with EE/SP for ACA Reporting purpose at the end of the year.
</t>
  </si>
  <si>
    <t xml:space="preserve">Outlined below are the Veris monthly charges for the health plan. Just as an FYI, our broker consulting fees will also be included going forward as well as a telehealth visit per month. These will be line items and not included in the employee monthly cost. Please let me know if you have any questions. 
Administrative Fee - $37.27 
Management Fee - $17.99 
Specific Stop Loss: Single - $101.47 
Family - $242.65 
Aggregate Stop Loss - $24.00 </t>
  </si>
  <si>
    <t xml:space="preserve">For Medical plans we have updated Invoice structure from Fully Insured to Self Funded and added the Admin Fees, Stop Loss to it
Administrative Fee - $37.27 
Management Fee - $17.99 
Specific Stop Loss: Single - $101.47 
Family - $242.65 
Aggregate Stop Loss - $24.00 </t>
  </si>
  <si>
    <t>May</t>
  </si>
  <si>
    <t xml:space="preserve">Please update QLE effective to FOMF QE
Except for birth, adoption, marriage, legal guardianship, and/or court order which should be Date of QE.
</t>
  </si>
  <si>
    <t xml:space="preserve">Please update QLE effective to FOMF QE. 
Except for birth, adoption, marriage, legal guardianship, and/or court order which should be Date of QE.=
All others QLE already have matching rules except for these 2 QLE. Update the above rule to Dependent loses Coverage and Employee lost Coverage for all plan types.
</t>
  </si>
  <si>
    <t xml:space="preserve">Jennifer has been auditing the Guardian invoices and discovered that the age reduction is missing from the Critical Illness plan. Please update the plan to include a 50% reduction in coverage at age 70 for both the employee and spouse, based on the employee’s age
The coverage reduces on the date the employee reaches age 70 (birthday) 
The reduced amounts need to be rounded to the nearest $1 but can’t not be less than $1,000.  </t>
  </si>
  <si>
    <t xml:space="preserve">For Critical Illness please update the plan to include a 50% reduction in coverage at age 70 for both the employee and spouse, based on the employee’s age.  
The coverage reduces on the date the employee reaches age 70 (birthday) 
The reduced amounts need to be rounded to the nearest $1 but can’t not be less than $1,000. Make it no rounding. </t>
  </si>
  <si>
    <t xml:space="preserve">Brightmark Plastics Renewal Services filed for bankruptcy and a new company has been created, Brightmark Plastics Ashley ServiceCo LLC.  
We’ll need to create a new class for the company. Please create the following class 
Brightmark Plastics Ashley HoldCo LLC - FT 
eligibility should match Brightmark Plastics Renewal Services LLC - FT 
Brightmark Plastics Ashley HoldCo LLC – PT 
eligibility should match Brightmark Plastics Renewal Services LLC – PT 
Brightmark Plastics Ashley HoldCo LLC LOA 
eligibility should match Brightmark Plastics Renewal Services LLC - FT LOA </t>
  </si>
  <si>
    <t xml:space="preserve">Brightmark Plastics Renewal Services filed for bankruptcy and a new company has been created, Brightmark Plastics Ashley ServiceCo LLC on their end.  
We created a new classes for the company. 
Brightmark Plastics Ashley HoldCo LLC - FT 
eligibility matchs Brightmark Plastics Renewal Services LLC - FT 
Brightmark Plastics Ashley HoldCo LLC – PT 
eligibility matchs Brightmark Plastics Renewal Services LLC – PT 
Brightmark Plastics Ashley HoldCo LLC LOA 
eligibility matchs Brightmark Plastics Renewal Services LLC - FT LOA </t>
  </si>
  <si>
    <t xml:space="preserve">We’ve received a request to add two new locations for O'Rourke Bros:
1.	30 Georgia
2.	RW Remote Work
Both locations will follow the same rules for eligibility, benefits offered, and premium deductions as the existing locations. They will also use the same class structure.
</t>
  </si>
  <si>
    <t xml:space="preserve">Add the below 2 locations. Both locations will follow the same rules for eligibility, benefits offered, and premium deductions as the existing locations. They will also use the same class structure.
1.	30 Georgia
2.	RW Remote Work
</t>
  </si>
  <si>
    <t xml:space="preserve">Starting in 2025, we will be responsible for ICCSD ACA monthly tracking. As we began to add part-time and VH employees, we realized that using the All-Employees division  for both eligible part-time and FT employees is confusing, and we should split the All-Employees Division into  
Part-Time Eligible  
Full-time 
Another change we need is to create three new classes and make them ineligible for any benefit. 
Substitutes 
Timesheet 
Coach/club </t>
  </si>
  <si>
    <t xml:space="preserve">We will be updating the following changes as per the above -
Current Division - "All Employees" renamed to "Full Time"
We added a new division "PT Eligible" - Eligibility  match "Full Time" division.
We added three new classes (Substitutes, Timesheet, Coach/club) which are not eligible for any plans.</t>
  </si>
  <si>
    <t xml:space="preserve">For medical, dental, and vision Rikki confirmed the following:  
“We have confirmed that the New Hire rule should be first of the month following Date of Hire unless hired on the first then it's effective date of hire.” </t>
  </si>
  <si>
    <t xml:space="preserve">On BenJ the rule should be as below for new hire and rehire:  
(First of the Month Following or Coinciding with 0 Day(s) from Date of Hire)  
Once updated, could you have the team correct Morgan, ID 850054, enrollment in the system, so medical, dental and Vision is effective 4/1/2025. </t>
  </si>
  <si>
    <t xml:space="preserve">An employee in the Full Time Dental Grandfathered division is declining the medical plan due to becoming eligible for Medicare effective 6/1/2025. They wish to continue their dental coverage; however, this division is currently not eligible for the Dental PPO Medical Waived plan, which is required for employees who opt out of medical coverage. 
Please update the division’s eligibility to include the Dental PPO Medical Waived plan and update the employee’s record accordingly. </t>
  </si>
  <si>
    <t xml:space="preserve">We updates the division’s eligibility of “Full Time Dental Grandfathered” to include the Dental PPO Medical Waived plan. Also, moved this in all the period plan years for this plan. </t>
  </si>
  <si>
    <t xml:space="preserve">From TrueNorth: 
Please add OH-AEP as a department for ATK.
The eligibility rules, benefit plans, and premiums are the same as all other departments.
This has been added to Paylocity and will be included on the demographic file as employees are hired.
</t>
  </si>
  <si>
    <t xml:space="preserve">
Please add OH-AEP as a department. The eligibility rules, benefit plans, and premiums are the same as all other departments.</t>
  </si>
  <si>
    <t>June</t>
  </si>
  <si>
    <t xml:space="preserve">No rounding on the Voluntary STD plan </t>
  </si>
  <si>
    <t xml:space="preserve">We need to create a class “Part-time” that is ineligible for benefits.  
Not sure if it should be class or division or what grouping it should be. 
 </t>
  </si>
  <si>
    <t xml:space="preserve">We renamed existing SAL – Salaried to Full Time SAL 
We renamed existing HR – Hourly to Full Time HR 
Added the below 2 classes that are ineligible for benefits- 
Part Time SAL 
Part Time HR 
Also, only for the Vision plan we updated the CLDD termination rule from Date of Termination to Last day of month following date of termination. All others plan rules are correct, NO changes done. 
Moved Alexander Cases to that class - Part Time HR effective 5/12/2025, which made him ineligible for benefits 6/1/2025. </t>
  </si>
  <si>
    <t xml:space="preserve">Update Auto Enrollment rule to setup to “Enrollment on the completion of due date” for Auto Enrollment Plans in the attached file: </t>
  </si>
  <si>
    <t xml:space="preserve">Add Aflac plans to Benefits Junction – create custom premium plans 
Mapping 
Aflac Cancer Protection Assurance = CANCER 
Aflac Accident Advantage = ACCA 
Aflac Critical Care Protection = SPEVNT 
Aflac Choice Hospital Insurance = HOSP 
Aflac Individual Juvenile Term Life = LIFE 
Aflac Short-Term Disability Insurance = STD 
Aflac Life Solutions Term Life = LIFE 
Aflac Life Solutions Whole Life = LIFE </t>
  </si>
  <si>
    <t xml:space="preserve">Created custom premium plans as mentioned below - 
Aflac Cancer Protection Assurance = CANCER 
Aflac Accident Advantage = ACCA 
Aflac Critical Care Protection = SPEVNT 
Aflac Choice Hospital Insurance = HOSP 
Aflac Individual Juvenile Term Life = LIFE 
Aflac Short-Term Disability Insurance = STD 
Aflac Life Solutions Term Life = LIFE 
Aflac Life Solutions Whole Life = LIFE </t>
  </si>
  <si>
    <t xml:space="preserve">Ellie reported that the contribution rate shown on the employee’s Enrollment Summary screen was incorrect. It displayed $710.16 instead of the correct employee-only contribution of $559.14.
After reviewing, team confirmed the system is currently configured to show Total Cost (EE + ER) on the employee view. However, Ellie confirmed that only the employee portion should be shown.
Please update the configuration for the TetraMem so that the employee Enrollment Summary screen displays only the employee-paid contribution (EE Pays), not the total cost (EE + ER).
•	Current behavior: Employee view shows total cost = $559.14 (EE) + $151.02 (ER) = $710.16
•	Requested behavior: Employee view should only show $559.14</t>
  </si>
  <si>
    <t xml:space="preserve">Emily confirmed that Kathy’s setup should mirror Retiree B (district-paid) but with rates effective 7/1/2024. To support this, a new retiree location is needed that reflects these terms. Kathy should also be eligible for employee-paid dental, COBRA vision, and basic life continuation. She should not be direct billed by Wellmark. 
Please create a new location in the system with the following configuration: 
Location Name: Retiree Dist-Pay 2025 
Eligibility: 
Medical: Retiree Medical – district-paid, using 2024 rates 
Other plans: match the Retiree OE Dist-Pay eligibility.  
Map this new location to: Retiree B account code for Wellmark reporting purposes (not direct billed) </t>
  </si>
  <si>
    <t xml:space="preserve">Added new location "Retiree Dist-Pay 2025" 
Medical: Retiree Medical – district-paid, using 2024 rates 
Eligible for employee-paid dental, COBRA vision, and basic life continuation 
Other plans: match the Retiree OE Dist-Pay eligibility. 
Kathy Jenkins is moved into Retiree Dist-Pay 2025 effective 6/30/2025. </t>
  </si>
  <si>
    <t xml:space="preserve">Please add a new department, eligibility should match the other departments:
June Bug
</t>
  </si>
  <si>
    <t xml:space="preserve">Update OAD rule so that dependent terminates EOM following turning 26.  </t>
  </si>
  <si>
    <t xml:space="preserve">Updated OAD rule so that dependent terminates EOM following turning 26 for Medical, Dental and Vision plans. </t>
  </si>
  <si>
    <t>July</t>
  </si>
  <si>
    <t xml:space="preserve">We need to enable documents required for QLEs. (except Child Birth) 
Add cbush1@hcamaryland.org to pending transactions and update CDS </t>
  </si>
  <si>
    <t xml:space="preserve">We need to enable documents required for QLEs. (except Child Birth). This applies to all plan types. 
Add cbush1@hcamaryland.org to pending transactions and update CDS </t>
  </si>
  <si>
    <t xml:space="preserve">Update the FSA termination rule for Location changes so that the termination date aligns with the end of the month.
Update Kathy Jenkins effective date if impacted.
</t>
  </si>
  <si>
    <t xml:space="preserve">Transaction Approval Setup needs to be enabled for New Hires. 
Select the option for New Hires - Only Enrollment Transactions needs approval
</t>
  </si>
  <si>
    <t xml:space="preserve">The request is to update the Medical Stop Loss premium rate for both medical plans, effective 6/1/2025, from the previously configured $323.63 to the correct amount of $327.38, based on True North’s confirmation.
The updated total premium includes:
•	Stop Loss Premium: $315.38
•	Admin Fee: $12.00
•	Total Monthly Premium: $327.38
</t>
  </si>
  <si>
    <t xml:space="preserve">	Johnson and Dugan</t>
  </si>
  <si>
    <t xml:space="preserve">Please change the classes name to Brightmark Plastics Ashley ServiceCo LLC.
Brightmark Plastics Ashley HoldCo LLC – FT to Brightmark Plastics Ashley ServiceCo LLC - FT
Brightmark Plastics Ashley HoldCo LLC – PT to Brightmark Plastics Ashley ServiceCo LLC - PT 
Brightmark Plastics Ashley HoldCo LLC LOA to Brightmark Plastics Ashley ServiceCo LLC - FT LOA
</t>
  </si>
  <si>
    <t xml:space="preserve">•	Remove the age reduction setup
•	Adjust the rate structure to reflect the age-based reduction through the rates themselves (see rates below)
•	Update the affected employee records to reflect the original elected volume after which review to see if the premium remains same after the setup change.
</t>
  </si>
  <si>
    <t xml:space="preserve">Update the eligibility in the system to ensure the Full Time Grandfather division is marked as eligible for Critical Illness coverage. This update aligns with the client’s intent for all divisions to have access to the Critical Illness benefit. </t>
  </si>
  <si>
    <t xml:space="preserve">Updated the eligibility in the system to ensure the Full Time Grandfather division is marked as eligible for Critical Illness coverage. This update aligns with the client’s intent for all divisions to have access to the Critical Illness benefit. </t>
  </si>
  <si>
    <t xml:space="preserve">	Alera Group</t>
  </si>
  <si>
    <t xml:space="preserve">Update Effective Date for Qualifying events
-	Birth, Adoption, and placement for adoption                should be Date of QE
-	The rest should be FOMF Date of QE
</t>
  </si>
  <si>
    <t xml:space="preserve">-	Update Marriage status change rule to FOMF Date of QE for all plan types. All other rules are correct
-	Enable Employee gained other Coverage for all the plan types with rule FOMF Date of QE
-	Setup Accident plan with status change and update rules same as other plan types.
</t>
  </si>
  <si>
    <t>August</t>
  </si>
  <si>
    <t xml:space="preserve">We have renamed the departments below as mentioned to match with Paycor.
Department Name	Renamed To
Administration	105 - Admin*Administration
MATCH - Foster Care	200 - MATCH*Foster Care
Care Coordination	201 - ACC*Care Coordinator
Connector	310 - Central*Connector Enrollment
Eligibility	602 - EL*Eligibility
Returning Citizens Health Link	902 - Centurion*
Community Diabetes Initiative	881 - CDI*Community Diabetes Initi
Recovery Care Services	501 - BHSB-SCC*State Care Coord
Population Health	202 - Exp-ACC*Supplemental (Exp)
Baltimore Health Corps	527 - BCo-SCC*Baltimore Co Care Coor
Added the below new departments- 
New Departments
9999 - Prior Terminated EEs
870 - Corizon Health*YesCare
314 - Mid West*Connector Modified
806 - MCH_HV*MCH Home Visiting
887 - BJA*
905 - MCHRC-Dental*
502 - BHSB-PPP*Preg Post Partum
904 - Neighborhood Nursing*Weinberg
906 - Neighbor Nursing*JHSON
889 - PIGF-RCCC*
Reference to this is https://secure.helpscout.net/conversation/2946482040/420654</t>
  </si>
  <si>
    <t xml:space="preserve">Please make the changes as mentioned above for Departments to match with Paycor.
After all the changes, move employees to BenJ as per Paycor report with Finch.
</t>
  </si>
  <si>
    <t xml:space="preserve">To update the email sent when an employee moves from VH Ineligible to benefit-eligible so it matches the New Hire Welcome Email. This ensures consistent messaging and clear instructions.
Employees transitioning to benefits are confused due to a lack of detailed instructions. Aligning the email content will reduce confusion and improve the onboarding experience.</t>
  </si>
  <si>
    <t xml:space="preserve">	Juan</t>
  </si>
  <si>
    <t xml:space="preserve">We have removed the SSN required for admins and employees (New Hire and Existing). </t>
  </si>
  <si>
    <t xml:space="preserve">Updated New Hire Window Rule to 90 Day(s) Following Date of Eligibility
Also, identify all the impacted employees new hire send to product team to provide the new hire window for the impacted employees.
</t>
  </si>
  <si>
    <t xml:space="preserve">What is the request?
Enable the status change option for Vision plan in the system. The functionality should mirror how status changes are currently handled for Medical and Dental.
Why is this needed?
HR has specifically requested that Vision be included in the status change workflow going forward. 
</t>
  </si>
  <si>
    <t xml:space="preserve">can we also a run a report and see who else should be enrolled?
Employee Name	Employee ID
Kurz, Robert	14611281-0838-3fd2-87a8-4524b558ea00
Forte, Bruno	1c33edef-5379-3123-8184-df240a7aec94
Rivera, Mario	49366098-2f3a-3e36-83ca-c669c12e0df2
Nelms, Jack	b2a5b42f-c7d0-3261-b564-b52ad6c6955f
Gonzalez, Cristian	b7a44430-bee7-3f6b-b47f-cffc481ab384
</t>
  </si>
  <si>
    <t>September</t>
  </si>
  <si>
    <t xml:space="preserve">We have received the demographic file dated 08/28/2025 with the new location "Northpointe".
Could you please update the new location in our system and confirm?</t>
  </si>
  <si>
    <t xml:space="preserve">Update the Basic Life plan setup so that Class 1 correctly reflects Executives (2x salary up to $400,000) and Class 2 reflects All Other FT Employees (1x salary up to $150,000). Move David Pritchard into Class 1 and remove the unused Class 3. 
David should remain in the Grandfathered Employee Class; so update the Class 1 plan to include his class.  </t>
  </si>
  <si>
    <t xml:space="preserve">The request is to update system setup values in WFJ to reflect the correct benefit premiums and coverage amounts. Specifically:
•	Update the Dental Buy-Up Employee Only premium to $48.78 (currently $48.48).
•	Update the Voluntary Life &amp; AD&amp;D Child rate to 0.200 per $1,000 (currently 0.249).
•	Update Michael Garrett’s Spouse coverage volume from $5,000 to $50,000.
</t>
  </si>
  <si>
    <t xml:space="preserve">The request is to update system setup values in WFJ to reflect the correct benefit premiums and coverage amounts. Specifically:
•	Update the Dental Buy-Up Employee Only premium to $48.78 (currently $48.48).
•	Update the Voluntary Life &amp; AD&amp;D Child rate to 0.200 per $1,000 (currently 0.249).
•	Update Michael Garrett’s Spouse coverage volume from $5,000 to $50,000.
</t>
  </si>
  <si>
    <t xml:space="preserve">New Departments are added, eligibility matches with other departments - 
Care Coordination
Recovery Care Services
Returning Citizens Health Link</t>
  </si>
  <si>
    <t xml:space="preserve">Update the rule to Plan Anniversary for Age band changes and Age reduction for the MOO plans. 
Basic Life and AD&amp;D - 50k – Age reduction setup from Birthday to Plan Anniversary.
Voluntary Short-Term Disability - Age band changes from Month following birthday to Plan anniversary.
Voluntary Life and AD&amp;D - Age band changes from Month following birthday to Plan Anniversary and Age reduction EE Birthday and SP Month following birthday to Plan Anniversary.
Voluntary Critical Illness – Add age reduction setup and update reduction rule to from Birthday to Plan Anniversary.
</t>
  </si>
  <si>
    <t xml:space="preserve">Please create these classes and make them eligible for the associated benefits.  
Part-Time (20-30hrs) - M/D/V/401k 
Part-Time &lt;20hrs) - 401k 
Casual - No benefits </t>
  </si>
  <si>
    <t xml:space="preserve">Rename Part Time SAL to Part Time (20-30hrs) – Eligible for M/D/V/401k, Part-time 20-30hrs class should be eligible for the same medical plan as the Full-time hourly. (Blue Choice Options MIBCO2040) 
Kurz, Robert should be moved to Part Time (20-30hrs) 
Rename Part Time HR to Part Time (&lt;20hrs) – Eligible for 401k Only. 
Add new Class named Casual – Not eligible for any benefits as they are College Students. </t>
  </si>
  <si>
    <t>October</t>
  </si>
  <si>
    <t xml:space="preserve">What is the request and why? 
Add a custom field called Cost Center for employees records which Flora Food will provide an 8-digit cost center code. The cost center data will be sourced from the demographic file feed.  
What problem is it trying to solve for? 
This change will allow Flora’s HR and accounting teams to allocate benefit costs accurately across internal entities. Currently, reconciliation reports do not distinguish which internal company or cost center an employee belongs to, making it difficult for the client to align payroll deductions and carrier billing with their internal accounting structure. </t>
  </si>
  <si>
    <t xml:space="preserve">Add a custom field called Cost Center for employees records which Flora Food will provide an 8-digit cost center code. The cost center data will be sourced from the demographic file feed. </t>
  </si>
  <si>
    <t xml:space="preserve">Currently system is set to employer does not contribute to HSA but they do contribute. We need to update change this in Benj.
From Client
Please update the system to reflect the following: Phillips May will contribute $200 initially plus $19.23 per pay period for a total of $1200 annually. Can we have this updated before tomorrow when Philip closes out payroll?
Update the setup in HSA plan Employer Contribution to “Yes”.
</t>
  </si>
  <si>
    <t xml:space="preserve">Update the setup in HSA plan Employer Contribution to “Yes”.
Also, update the above message in plan info sections.
Also, identify the impacted employees enrolled in Medical HDHP. Enroll them in HSA with zero amount.
This should be captured in EDI as enrolled
</t>
  </si>
  <si>
    <t xml:space="preserve">Disable same sex spouse, same sex marriage </t>
  </si>
  <si>
    <t xml:space="preserve">Disable same sex spouse, same sex marriage in the set up. </t>
  </si>
  <si>
    <t xml:space="preserve">Update rehire rule to FOMF 60 days of rehire  
For individuals being rehired within the same Employer Identification Number (EIN), if the Lumber feeds identify them as a rehire, we should check if it falls within 91 days. If it does, they should be eligible right away</t>
  </si>
  <si>
    <t xml:space="preserve">Update the rehire policy to FOMF: 60 days of rehire, regardless of when they are rehired.  
Rehires within 91 days (Date of Rehire) should be handled manually. When such cases occur, we may have to involve SaaS to get the waiting period to be  the rehire date. </t>
  </si>
  <si>
    <t xml:space="preserve">Update class rule for all plans to first of the month following 60 day rule </t>
  </si>
  <si>
    <t xml:space="preserve">We need to update the medical plan setup based on the new Cigna structure and the broker’s direction. 
For the four employees in Ohio and Oklahoma currently enrolled in the $0 SimplePlan Tiered Mid-Plan, we’ll need to move them into the $1,000 PPO Buy-Up Plan effective 10/1/25. However, they should keep their current (mid-tier) employee contribution rates even though they’re moving to the Buy-Up plan. Once updated, these enrollments should flow through on the next Cigna file. 
Employees affected: 
Benhoff, Aubrie L (ID: 54) 
Tucker, Dawnelle R (ID: 82) 
Franklin, Justin (ID: 60) 
Scace, Casey Dawn (ID: 166) 
We also need to update the medical plan eligibility rules so the system uses the employee’s home state to determine which plans they can see. Right now, there’s no location-based eligibility in place. The goal is to make sure: 
Ohio and Oklahoma employees can only see the HDHP Base and the Buy-Up plan 
The $0 SimplePlan Tiered Mid-Plan is only available for TX, CO, and NM employees 
As part of this, we’ll need to add location groupings for Ohio, Oklahoma, and Other Locations in the plan eligibility setup. </t>
  </si>
  <si>
    <t xml:space="preserve">We need to add location groupings for Ohio, Oklahoma, and Other Locations in the plan eligibility setup. 
Rename: All Employees to Other Locations 
Add 2 new Locations: Ohio and Oklahoma and Ohio and Oklahoma Mid-Plan 
Ohio-Oklahoma - Employees can only see the HDHP Base and the Buy-Up plan 
Ohio-Oklahoma Mid-Plan – Location based rates, but we need to update $0 SimplePlan Tiered Mid-Plan contributions only for $1,000 PPO Buy-Up Plan. 
Other Locations -The $0 SimplePlan Tiered Mid-Plan is only available for TX, CO, and NM employees. We don't need to remove the "Other Locations" from the $1,000 PPO Buy-Up Plan (Spouse Surcharge)/ $6,000 HDHP Base Plan (Spouse Surcharge) as they are eligible for all plans. 
For the four employees in Ohio and Oklahoma currently enrolled in the $0 SimplePlan Tiered Mid-Plan, we’ll need to move them into the $1,000 PPO Buy-Up Plan effective 10/1/25. However, they should keep their current (mid-tier) employee contribution rates even though they’re moving to the Buy-Up plan. Once updated, these enrollments should flow through on the next Cigna file. 
Employees affected: 
Benhoff, Aubrie L (ID: 54) 
Tucker, Dawnelle R (ID: 82) 
Franklin, Justin (ID: 60) 
Scace, Casey Dawn (ID: 166) 
Important Notes:  
Setting up Zip code eligibility is not recommended. I see demographic uploads. Data Integrations need to assign Location based on Home State. We will have to create two locations. 
Oklahoma-Ohio: For new hires, the client should include this in the feed. We also have to update the location of all existing employees who are not in OK or Ohio, and the other 4, to this new location. 
Oklahoma-Ohio Mid-plan: Assign this to the 4 employees </t>
  </si>
  <si>
    <t xml:space="preserve">Update rule for Critical Illness - Calculate using initial age rate. 
Identify the impacted employees and send to Nitya for her to review and confirm if we need to correct them. </t>
  </si>
  <si>
    <t xml:space="preserve">Please update the change eligibility notification message to better fit the employee situation so it’s less confusing. This language has been reviewed and approved by HR: 
Dear &lt;First Name&gt; &lt;Last Name&gt;, 
Your benefits eligibility status has recently changed. In some cases, this may require you to make new elections. In other cases—such as updates to employer-paid plans like Basic Life—no action is needed. 
Please log in to the Benefits Enrollment System to review your benefits: 
Benefits Enrollment System: &lt;Link&gt; 
Username: &lt;username&gt; 
If an enrollment is required, you’ll see a To-Do item or be guided through the enrollment steps after logging in. 
If no To-Do item appears, your record has already been updated automatically. You can view these changes under My Current Enrollment for confirmation. </t>
  </si>
  <si>
    <t xml:space="preserve">Update Eligibility for New plans email </t>
  </si>
  <si>
    <t xml:space="preserve">Please add a new division name 150 Supply Chain, eligibility should match the other divisions. </t>
  </si>
  <si>
    <t xml:space="preserve">We added a new division name 150 Supply Chain, eligibility should match the other divisions. </t>
  </si>
  <si>
    <t>November</t>
  </si>
  <si>
    <t xml:space="preserve">The Newly Enrolled Dependents report has now been developed and is live. This gives us the ability to run a weekly report to track any newly added dependents for verification.
Because we now have this report, we no longer need to use the workaround of pending new hire enrollments for ICCSD in order to monitor dependent activity. With that in place, we can go ahead and disable the pending option for new hire enrollments for Iowa City Community School District.
Note: statue changes should continue to pend for approval.
</t>
  </si>
  <si>
    <t xml:space="preserve">Update rules 
Critical illness - age reductions occur immediately following the member turning age 70. Change to month following birthday. 
Life Insurance – reduction become effective FOMF birthday. I think this is how it is but please check and let me know.  
 </t>
  </si>
  <si>
    <t xml:space="preserve">For Mutual of Omaha plan Voluntary Critical Illness and Basic Life and AD&amp;D - 50k plan, We have updated the age reduction effective rule to “Month Following Birthday” </t>
  </si>
  <si>
    <t xml:space="preserve">Employees have been updating their names in the portal without
providing the required documentation to HR first. This has
created discrepancies with the carriers—for example, employee
#15178 (Tiger Torres / Katalina Torres) updated their name in
the portal before submitting supporting documents, which
resulted in an incorrect name being sent to Delta Dental.</t>
  </si>
  <si>
    <t xml:space="preserve">We have updated that employees won't be able to edit their first
name, last name, and middle name. These can only be updated by
the HR Admin directly</t>
  </si>
  <si>
    <t xml:space="preserve">Update the voluntary life rounding rules for Pak-Lite as follows:
•	Employee Voluntary Life: Round the elected amount up to the next highest $10,000 increment.
o	Example: $202,384 → $210,000.
•	Spouse Voluntary Life: Round the elected amount up to the next highest $5,000 increment
</t>
  </si>
  <si>
    <t xml:space="preserve">Update the COVERAGE rounding rule for Voluntary Life plan for EE and SP as mentioned above.
Employee Voluntary Life: Round the elected amount up to the next highest $10,000 increment. 
Spouse Voluntary Life: Round the elected amount up to the next highest $5,000 increment </t>
  </si>
  <si>
    <t>December</t>
  </si>
  <si>
    <t xml:space="preserve">Please update 60 - 100 with a monthly rate of $6.19/1000 </t>
  </si>
  <si>
    <t xml:space="preserve">We have updated 60 - 100 with a monthly rate of $6.19/1000 </t>
  </si>
  <si>
    <t xml:space="preserve">Update Voluntary Life waiting period rule to First of the Month Following or Coinciding with 0 day(s) from Date of Hire. Also, update Coinciding for rehire rule as well. 
This should match the existing configuration for Dental and Vision. </t>
  </si>
  <si>
    <t xml:space="preserve">We have updated the  Voluntary Life waiting period rule to First of the Month Following or Coinciding with 0 day(s) from Date of Hire. Also, updated the Coinciding for rehire rule as well. </t>
  </si>
  <si>
    <t xml:space="preserve">	Jasmin Smith</t>
  </si>
  <si>
    <t xml:space="preserve">Domestic Partner (DP) coverage is currently enabled for Medical only. DP coverage needs to be enabled across all plans for ATK Energy Group, including Dental, Vision, and Voluntary Life (Principal).
The broker has confirmed that Principal allows Domestic Partner coverage, and this should apply to all applicable benefit plans for the 2026 plan year.
Requested Changes
1.	Update plan configuration to enable Domestic Partner coverage across all plans (Medical, Dental, Vision, and Voluntary Life), effective 1/1/2026.
</t>
  </si>
  <si>
    <t xml:space="preserve">Update rule for Critical Illness -  calculate using initial age rate 
12/124 update – it should be full amount at initial age.  </t>
  </si>
  <si>
    <t xml:space="preserve">Update rule for Critical Illness - Calculate using initial age rate. 
Identify the impacted employees and send to Nitya for her to review and confirm if we need to correct them. 
12/124 update – Frozen rate setup, it should be full amount at initial age 
Do an audit to see if the premiums are correct for 2026 as well. </t>
  </si>
  <si>
    <t xml:space="preserve">Create a department named “Executives” – EE pays $0 for all tiers and all plans except Vol Life. EE pays full cost. 
Move these employees to this new department:  
Haley Norman 
Kim Murphy (no benefit elections) 
Timothy Murphy 
Chandler Miller 
Plans to update: 
Medical, Dental and Vision, Accident with department based rates with $0 EE pays for department “Executives”.  
Vol STD, Vol LTD - Create a new plan with ER pays make it eligible for only department “Executives” 
Note: Leave HSA and FSA HC and DC. 
Note: Leave Critical Illness as client will add reimbursement for this benefit. </t>
  </si>
  <si>
    <t xml:space="preserve">Added new department named “Executives” – EE pays $0 for all tiers and all plans except Vol Life. EE pays full cost. 
Move these employees to this new department:  
Haley Norman 
Kim Murphy (no benefit elections) 
Timothy Murphy 
Chandler Miller 
Plans to update: 
Medical, Dental and Vision, Accident with department based rates with $0 EE pays for department “Executives”.  
Vol STD, Vol LTD - Create a new plan with ER pays make it eligible for only department “Executives” 
Note: Leave HSA and FSA HC and DC. 
Note: Leave Critical Illness as client will add reimbursement for this benefit. </t>
  </si>
  <si>
    <t xml:space="preserve">There are a group of people who are not eligible for HSAs - these include managers and non-managers. </t>
  </si>
  <si>
    <t xml:space="preserve">Reason: The below listed should not be offered the HSA plan because they are owners and family members of owners.
We needed to add 2 more benefits departments for Managers (non-HSA) and All Other Employees (non-HSA) to exclude the H.S.A option for the following employees:
Jason Shye -PEI - Managers (non-HSA)
Taylor Couch -PEI - Managers (non-HSA)
Jamie Gray -PEI - All Other Employees (non-HSA)
Todd Gray -PFC - Managers (non-HSA)
Bailey Civelli -PFC - Managers (non-HSA)
Deborah Gray -PFC All Other Employees (non-HSA)
Jacob Couch -PFC - All Other Employees (non-HSA)
Solution: 
Add 2 new departments
All Other Employees (Non-HSA)
Managers (Non-HSA)
Duplicate all the 3 Medical plans.
FHCP BNN HMO OI6/OF6 - No HSA
FL BLUE HMO 132/133 - No HSA
FL BLUE PPO 05194/05195 - No HSA
Do not make these plans eligible for HSA. Move the above listed employees effective 9/1/2025.
</t>
  </si>
  <si>
    <t>Change Request Forms - 2024</t>
  </si>
  <si>
    <t xml:space="preserve">Need to add 2 departments 
FLOWTRANS Driver 
OPTIX Driver </t>
  </si>
  <si>
    <t xml:space="preserve">Added 2 departments 
FLOWTRANS Driver 
OPTIX Driver 
And moved the respective EE's into the new Department</t>
  </si>
  <si>
    <t xml:space="preserve">Basic Life, STD, LTD, Voluntary Life, Hospital Indemnity, Accident Plan, Critical Illness and FSA Dependent Care should terminate date of termination. 
</t>
  </si>
  <si>
    <t xml:space="preserve">Updated the termination rule for Basic Life, STD, LTD, Voluntary Life, Hospital Indemnity, Accident Plan, Critical Illness and FSA Dependent Care to terminate date of termination. 
</t>
  </si>
  <si>
    <t xml:space="preserve">Katie confirmed that the employee moved to Professional eff on 11/16/2023. The waiting period rule for the Department should match the class change rule. 
Please update the department waiting rule for all plans to the following: 
First of the Month Following 30 Day(s) from Date of Department </t>
  </si>
  <si>
    <t xml:space="preserve">Update the below medical plan Employee only contribution rate to $78.65.
HDHP $3500 HDHP/HSA Plan Employee Single Non-Smoker</t>
  </si>
  <si>
    <t xml:space="preserve">Added new locations -
001 Cedar Rapids
002 Des Moines
003 Davenport
004 Waterloo
005 Dubuque
006 Madison
007 Green Bay
008 Milwaukee 
All locations are eligible for all plans
Moved employees into the given locations</t>
  </si>
  <si>
    <t xml:space="preserve">HMO plan is eligible for location “147283 – IL”. Remove other location from HMO plans. </t>
  </si>
  <si>
    <t xml:space="preserve">Need to add a new medical plan and employee grouping as Location – Illinois and Non-Illinois 
Medical plan details are provided in renewal wizard 
Effective date change rule is Date of Location 
New location is eligible for all plans 
Names can be distinguish as $1,000 Deductible Illinois and $1,000 Deductible Non-Illinois </t>
  </si>
  <si>
    <t xml:space="preserve">Added a new medical plan and employee grouping as Location – Illinois and Non-Illinois. 
New location - Non-Illinois is eligible for all plans.
Names of the Medical plans updated as $1,000 Deductible Illinois and $1,000 Deductible Non-Illinois</t>
  </si>
  <si>
    <t xml:space="preserve">Please update the Enrollment Waiting period to First of the Month Following or Coinciding with 61 Day(s) from Date of Hire 
This is for Basic Life &amp; AD&amp;D Plans, Voluntary Life and Short Term Disability. </t>
  </si>
  <si>
    <t xml:space="preserve">Updated the Enrollment Waiting period to First of the Month Following or Coinciding with 61 Day(s) from Date of Hire for the below plans -
 Basic Life &amp; AD&amp;D Plans, Voluntary Life and Short Term Disability.</t>
  </si>
  <si>
    <t xml:space="preserve">We received a new location in a recent demographic. Please add the location. Eligibility should match the other locations. 
New Location - "Green Bay"</t>
  </si>
  <si>
    <t xml:space="preserve">Please add the location. Eligibility should match the other locations. 
New Location - "Green Bay"</t>
  </si>
  <si>
    <t xml:space="preserve">We have received the following 1 new location in recent EOS Fitness Demographic file. Please add to BenJ.
Location - CAI1J
Description - CAI1J - Indio: Hwy 111/Jefferson</t>
  </si>
  <si>
    <t xml:space="preserve">Please add to BenJ. Eligibility is same as all other locations.
Location - CAI1J
Description - CAI1J - Indio: Hwy 111/Jefferson</t>
  </si>
  <si>
    <t xml:space="preserve">Need to update basic life rate
•	Life rate - $0.190 for each $1000
•	AD&amp;D rate - $0.039 for each $1000
</t>
  </si>
  <si>
    <t xml:space="preserve">Update basic life rate effective 1/1/2024.
•	Life rate - $0.190 for each $1000
•	AD&amp;D rate - $0.039 for each $1000
</t>
  </si>
  <si>
    <t xml:space="preserve">Please create a Monthly Payroll option in the Pay cycle drop down menu. 
This is for one employee John Ahern lll. 
Please move him to this pay cycle effective 01/01/2024 once the pay cycle has been set up. </t>
  </si>
  <si>
    <t xml:space="preserve">Created a Monthly Payroll option in the Pay cycle drop down menu. 
This is for one employee John Ahern lll. 
Moved him to this pay cycle effective 01/01/2024 once the pay cycle has been set up. </t>
  </si>
  <si>
    <t xml:space="preserve">Rename the current Voluntary Life and AD&amp;D - HS LLC into Voluntary Life and AD&amp;D. And move the enrollments from Voluntary Life and AD&amp;D - Dublin plan into the Voluntary Life and AD&amp;D.  34 employees are enrolled in the Voluntary Life and AD&amp;D - Dublin plan. 
Please update the system for anyone who has a CLASS Change.  The effective date of the class change should be First of the month following or coinciding Class change effective date. 
Are we able to combine the Voluntary STD plan HS and Dublin into one plan like the Vol Life &amp; AD&amp;D.  This will take care of the issues as the plan should just continue but moved to a new class?  If yes, please set this up as well. </t>
  </si>
  <si>
    <t xml:space="preserve">For the STD, late entrants need to pend for EOI approval, even at OE. Please update the Voluntary STD plans to require EOI if employees enroll after their new hire eligibility.  
Also, Jennifer provided a list of employees whose STD enrollment needs to be updated to reflect pending for EOI, eff 1/1/2024. Please update their enrollments.</t>
  </si>
  <si>
    <t xml:space="preserve">Fiore was able to negotiate Voluntary Life rates for spouse age over the age of 70. Please update the Voluntary Life plan for the following spouse ages:
Spouse Voluntary Life Rates w/ AD&amp;D: 
70-74: 4.795 
75+: $15.462 </t>
  </si>
  <si>
    <t xml:space="preserve">Fiore was able to negotiate Voluntary Life rates for spouse age over the age of 70. Updated the Voluntary Life plan for the following spouse ages:
Spouse Voluntary Life Rates w/ AD&amp;D: 
70-74: 4.795 
75+: $15.462 </t>
  </si>
  <si>
    <t xml:space="preserve">Through our audit of the carrier invoice, we found the rates are off by a few cents. Please update the vision rates for 2024. TrueNorth provided the following - 
EE 7.86
EE+SP 15.75
EE+CH 13.33
EE+FAM 21.99</t>
  </si>
  <si>
    <t xml:space="preserve">Need to update the rounding rule for Vol life plan to "Next Highest $10,000". </t>
  </si>
  <si>
    <t xml:space="preserve">Updated the rounding rule for Vol life plan to "Next Highest $10,000". </t>
  </si>
  <si>
    <t xml:space="preserve">Due to the high enrollment into the Accident Plan plan for Jiffy Air Tool, the carrier is giving a price reduction for the Accident Plan Employee only coverage.
Monthly premium is changing from 16.68 and the new amount is $13.69.</t>
  </si>
  <si>
    <t xml:space="preserve">What is the request and why? What problem is it trying to solve for?During implementation the CI plan was listed as an increment Plan.  It should have been set up as Coverage Tier.  The spouse should be 50% of the employee's election and the child should 25% of the employees cost.
There are 3 employees that we are waiting for confirmation back if they want to keep their spouse enrolled.</t>
  </si>
  <si>
    <t xml:space="preserve">The spouse setup should be 50% of the employee’s elected Coverage amount upto $15000
</t>
  </si>
  <si>
    <t xml:space="preserve">Voluntary Life &amp; AD&amp;D have rider rates that should not be in the setup. 
Please remove the rider rates and use the rates below from Broker. </t>
  </si>
  <si>
    <t xml:space="preserve">What is the request and why? What problem is it trying to solve for?
This needs to be set up on the 5 HMO plans that are in BenJ
PCP for the HMO Plan needs to be set up with PCP Required.
We need to require the Dr. name and the PCP Number.
Please add the following instructions on the Popup page with the link to the Provider finder online.
Here is the link to the provider page: Home (providerfinderonline.com)
Instructions:
Enter your location in the upper right corner of the provider search page to narrow the list of results.
Already have a primary care provider. Search by their name for the quickest return.
If the provider is truly a recognized PCP, the PCP number will be listed under the provider’s name and provider category.
To prevent errors entering the name or PCP number, you can highlight, copy, and then paste into Benefits Junction.</t>
  </si>
  <si>
    <t xml:space="preserve">First end the current period plan year with effective 2/29/2024 and then create new period plan year 3/1/2024 to 8/31/2099.
Then add the new premium. There is no changes in EE rates, so add the same rates for deductions. </t>
  </si>
  <si>
    <t xml:space="preserve">Setup all Bethany Lutheran plans new hire waiting period to First of the month following 63 days from Date of Hire. 
This rule applies to re-hire and class changes. </t>
  </si>
  <si>
    <t xml:space="preserve">Incorrect information was provided during implementation from the broker.
For all plans.
Employee terminates, changes to Part-time, QLE and employee, spouse or dependent losing coverage all plans should terminate on date of Termination.  Currently set to last day of the month following termination date and that is not correct</t>
  </si>
  <si>
    <t xml:space="preserve">All plan types.
1)	Status Termination rule “Date of Termination”
2)	Class Termination rule “Date of Termination”
3)	QLE and employee, spouse or dependent losing coverage all plans should terminate on date of Termination 
a.	Dependent loses Coverage
b.	Employee lost Coverage
c.	Divorce
d.	Death of Dependent
e.	Over-age Dependent</t>
  </si>
  <si>
    <t xml:space="preserve">The Medical Plans HDHP 3500 the single rate premiums needs to be changed from $868.56 to $868.66
Can you please update the rates tonight and confirm
</t>
  </si>
  <si>
    <t xml:space="preserve">For the voluntary Life, please update the spouse's age reduction schedule to match the employee’s age reduction schedule. </t>
  </si>
  <si>
    <t xml:space="preserve">We just found that the Voluntary STD plans have been set up incorrectly. Both plans should allow employees to elect a benefit amount; the minimum amount would be $100 up to $1050 (in $50 increments), without exceeding 60% of the weekly salary, rounded down to the next $50 increment. Jenn confirmed the rates are correct.  </t>
  </si>
  <si>
    <t xml:space="preserve">When there is a class change from PTwBenefits to Full time or vice vera the deduction rates are not associated with the class change.  EDI needs this as the rates are different by class. </t>
  </si>
  <si>
    <t xml:space="preserve">In current Medical plans keep only Full Time in eligibility and rates.  
High Deductible Plan (HDHP) - $3,200 
CoPay Plan - $3,200 
Duplicate the Medical plans and keep only Part Time w/Benefits in eligibility and rates. 
High Deductible Plan (HDHP) - $3,200 – PT w/Benefits 
CoPay Plan - $3,200 - PT w/Benefits 
Before doing the setup change. Download the rates from BenJ. 
Class change Eligibility and Class change Termination rule remains same as now. 
Move enrollments from current plan to new plans for PT w/Benefits employees. There are 20 records in this class out of which only 8 are enrolled so we need to move only the 8 records. The effective date should be the same as their current enrollment effective date. 
After making all these changes, we need to remove PT w/Benefits class from current plans. 
 </t>
  </si>
  <si>
    <t xml:space="preserve">Update the BRMS carrier plans rate to $942.07 effective 1/1/2024 </t>
  </si>
  <si>
    <t xml:space="preserve">When there is an overage Dependent looks like there are different end dates for plans.
The accident plan is ending on the last day of the month following termination date.
Dependent Life &amp; Critical Illness need to terminate on the last day of the month following termination date of the dependent.
Can you please make sure all overage dependent rules terminate the dependent on the last day of the month in which they become overaged.
</t>
  </si>
  <si>
    <t xml:space="preserve">Dependent Life &amp; Critical Illness update the overage dependent rule to “On the first day of the month following the 26 th birthday”.
Do an Audit impacted and also correct the employee records mentioned by Janice on the conversation
</t>
  </si>
  <si>
    <t xml:space="preserve">For the following groups – Jiffy Air Tools, Brookfield &amp; Shaw Engineering
All Elevated client’s Part-Time employees are eligible for all benefits except for the Medical Plan.
Can you please set these 3 groups up
</t>
  </si>
  <si>
    <t xml:space="preserve">For the Vision Plan, we need to set up 5 tier premiums and contributions.  Renuka found the error when reconciling the invoices that were just received.   We will need to move the employee + children into the correct coverage tier. 
Employee &amp; 1 child	$21.52					$21.52 </t>
  </si>
  <si>
    <t xml:space="preserve">For the Vision Plan, we set up 5 tier premiums and contributions. Below is the new tier that is added 
Employee &amp; 1 child	$21.52					$21.52 </t>
  </si>
  <si>
    <t xml:space="preserve">Lincoln provided a new invoice template, and I noticed the rates for the basic life were different. Please update the basic life rate.
Basic Life Non-Union : increased from $.175 to $.264 per $1,000 
Basic Life Union 25K : increased from $.094 to $.142 per $1,000 </t>
  </si>
  <si>
    <t xml:space="preserve">Updated the basic life rate.
Basic Life Non-Union : $.264 per $1,000 
Basic Life Union 25K : $.142 per $1,000 </t>
  </si>
  <si>
    <t xml:space="preserve">UHC Basic Life Plan Age reduction rules -
Benefits will be reduced to 65% of original amount at age 65 and 50% of the original amount at age 70.
The reductions will be effective on the first day of the month following the month in which your birthday occurs.
doesn't appear there is a rounding rule but to error on the side of caution, I would round down:  Let us keep No Rounding </t>
  </si>
  <si>
    <t xml:space="preserve">UHC Basic Life Plan Age reduction rules -
Benefits will be reduced to 65% of original amount at age 65 and 50% of the original amount at age 70.
The reductions will be effective on the first day of the month following the EE DOB.</t>
  </si>
  <si>
    <t xml:space="preserve">The Broker has received the final premiums based on open Enrollment elections.
Please update both medical plans with and without P/Time employees.
Premiums for all 4 plans should be updated.
Freedom 5000 POS
EE only $626.97
EE + Sp $1,253.97
EE = Children $1,191.25
Family $2,006.32
EE + DP $$1,253.97
EE+DP+children $2,153.97
HMO 6000 Plan
EE only $577.20
EE + Sp $1,154.43
EE = Children $1,096.70
Family $1,847.07
EE + DP $1,154.43
EE+DP+children $1,847.07
</t>
  </si>
  <si>
    <t xml:space="preserve">Please update CLDD end dates to the Last Day of the month following change date. 
For the following Plans: 
All Medical Plans, Dental Plan, Vision Plan and FSA Full Purpose FSA. </t>
  </si>
  <si>
    <t xml:space="preserve">Updated CLDD end dates to the Last Day of the month following change date. 
For the following Plans: 
All Medical Plans, Dental Plan, Vision Plan and FSA Full Purpose FSA. </t>
  </si>
  <si>
    <t xml:space="preserve">The broker noticed the number of enrolled in the Basic Life and EAP were not matching. I found two employees not enrolled in the EAP because they never logged in. It looks like we never set up an auto-enrollment for the EAP. Please update to match the auto-enrollment of the other plans. </t>
  </si>
  <si>
    <t xml:space="preserve">Enertia provides an employer contribution towards the HSA. As a result, they no longer want to allow employees in the HDHP to enroll in FSA Healthcare. Please update BenJ to prevent enrollment in the HDHP and FSA HC.  
Also, there are three employees who should remain in the FSA HC and HDHP due to tax documents having been already produced. The following employees need to stay enrolled in the HDHP and FSA HC: EE# 12, 184, 192</t>
  </si>
  <si>
    <t xml:space="preserve">Change rates from Fully Insured to Self-Funded for Medical. 
</t>
  </si>
  <si>
    <t xml:space="preserve">Change rates from Fully Insured to Self-Funded for Medical. 
Refer ticket helpscout #366857 for the Self-Funded rates</t>
  </si>
  <si>
    <t xml:space="preserve">Setup changes steps are listed below:
1)	Move Management Class to Plan 1
2)	Add class based waiting period rules in Plan 1
3)	Add deduction rates for latest period plan based on class
4)	Move enrollments from Plan 2 to Plan 1
5)	End Plan 2 with 3/31/2024 and terminate effective 4/1/2024
6)	Remove Plan 2 from OE profile</t>
  </si>
  <si>
    <t xml:space="preserve">Update the basic life plan setup and identify the impacted employees. System should update the impacted if not we need to do a datafix.
Minimum of $ 10000, and 1 x annual salary to a max of $50,000</t>
  </si>
  <si>
    <t xml:space="preserve">We received the demographic file dated 03/25/2024 with the new department "65". Please add the new department. </t>
  </si>
  <si>
    <t xml:space="preserve">We received the demographic file dated 03/25/2024 with the new department "72". Please update the new department on our system. </t>
  </si>
  <si>
    <t xml:space="preserve">Due to service issues, Unum has agreed to reduce the Employer Paid Plan LTD rate from $.16 to $.15 per $100 CMP as of May 1, 2024. Please update the rate effective 5/1/2024. </t>
  </si>
  <si>
    <t xml:space="preserve">Update Employer Paid Plan LTD rate to $0.15 per $100 effective 5/1/2024. </t>
  </si>
  <si>
    <t xml:space="preserve">In file testing, some discrepancies were discovered based on how we reported employees' Mutual of Omaha Class IDs. Class IDs are A001 = Executives and supervisors and A002=All other employees. We were reporting this based on the department:  
A001 = Executives, and supervisors 
1-Executive Officers 
5.10-Shop - Supervisor 
6.40-Operations - Supervision 
9.10-Trucking - Supervisor 
A002= All other employees 
All other departments 
However, we found out from the client that multiple departments may have supervisors. So, we need a different way to identify these employees.  
We can manage it by adding this to the division. There are Exempt and Nonexempt divisions, and we can add the following to map to the respective class ID. 
Exempt Manager 
Non-Exempt Manager 
Exempt Non-Manager. 
Non-Exempt Non-Manager </t>
  </si>
  <si>
    <t xml:space="preserve">In file testing, some discrepancies were discovered based on how we reported employees' Mutual of Omaha Class IDs. Class IDs are A001 = Executives and supervisors and A002=All other employees. We were reporting this based on the department:  
A001 = Executives, and supervisors 
1-Executive Officers 
5.10-Shop - Supervisor 
6.40-Operations - Supervision 
9.10-Trucking - Supervisor 
A002= All other employees 
All other departments 
However, we found out from the client that multiple departments may have supervisors. So, we need a different way to identify these employees.  
We can manage it by adding this to the division. There are Exempt and Nonexempt divisions, and we added the following to map to the respective class ID. 
Exempt Manager 
Non-Exempt Manager 
Exempt Non-Manager
Non-Exempt Non-Manager </t>
  </si>
  <si>
    <t xml:space="preserve">EE ID - 11294 (Marisol, Lopez) – Gender is Undisclosed
EE ID - 11715 (James, Runyon) – Gender is Non-Binary
</t>
  </si>
  <si>
    <t xml:space="preserve">We need to change the VSTD set up to 60% of Gross monthly salary from 67% of gross monthly salary. 
The set up should be Increments of 100 with a minimum of $400 and a maximum of 2500 not to exceed 60% of monthly salary. </t>
  </si>
  <si>
    <t xml:space="preserve">We changed the VSTD set up to 60% of Gross monthly salary from 67% of gross monthly salary. 
The setup is Increments of 100 with a minimum of $400 and a maximum of 2500 not to exceed 60% of monthly salary.</t>
  </si>
  <si>
    <t xml:space="preserve">Should be 60% of Monthly Salary to a maximum of $ 10,000.  The Maximum benefit is $6000.00 per month. </t>
  </si>
  <si>
    <t xml:space="preserve">LTD must be 60% of Monthly Salary to a maximum of $ 10,000. </t>
  </si>
  <si>
    <t xml:space="preserve">What is the request and why? What problem is it trying to solve for?
•	Duplicate the 3 medical plans – with the same premium and deductions. The only different is the group number. And need to add another group – “NorCal” and “SoCal”
•	Getting the details of which employees are in which group, but it’s based on zip codes.
NorCal Plans 
•	604102-000 Gold
•	604102 -001 Silver
•	604102-002 Bronze
SoCal Plans
•	234569-000 Gold
•	234569-001Silver
•	234569-002 Bronze
</t>
  </si>
  <si>
    <t xml:space="preserve">1)	Add locations named as below:
NorCal – Rename existing “All Employees” to NorCal
SoCal
2)	Update the existing plan names to below: All other employees are in the NorCal subgroup (Group #604102).
NorCal Plans
•	604102-000 Gold
•	604102 -001 Silver
•	604102-002 Bronze
3)	Duplicate new plan to below:
SoCal Plans
•	234569-000 Gold
•	234569-001Silver
•	234569-002 Bronze
Move the below employees to new location and new plans.
The following employees are in the SoCal Group (Group # 234569)
First Name	Middle Initial	Last Name	Account Role	Date of Birth	Gender	Kaiser Plan
Hector	 	Maldonado	Subscriber	6/26/1976	Male	Kaiser HMO Gold Plan
Miguel	A	Sebastian	Subscriber	7/9/2000	Male	Kaiser HMO Gold Plan
Kevin	 	Aguirre	Subscriber	12/11/2003	Female	Kaiser HMO Gold Plan
Joel	 	Leon	Subscriber	8/16/1986	Male	Kaiser HMO Gold Plan
Oliver	 	Vasquez	Subscriber	7/4/1996	Male	Kaiser HMO Gold Plan
Mario	J	Ortez	Subscriber	8/8/1985	Male	Kaiser HMO Gold Plan
Nicollette	 	Redfearn	Domestic Partner	3/4/1994	Female	Kaiser HMO Gold Plan
Addyson	M	Ortez	Family Member	10/15/2014	Female	Kaiser HMO Gold Plan
Fernando	 	Segura-donato	Subscriber	7/7/2003	Male	Kaiser HMO Bronze Plan
Alex	 	Saavedra	Subscriber	7/5/2003	Male	Kaiser HMO Bronze Plan
Gerado	 	Reyes Martinez Jr	Subscriber	3/20/2000	Male	Kaiser HMO Silver Plan
</t>
  </si>
  <si>
    <t xml:space="preserve">HR was expecting ER rates to come through the payroll file for the ER-Paid Hospital Indemnity plan for two employees, but it wasn’t reported because these employees had declined the plan.  
Employees enrolled in the HDHP are offered the ER-Paid Hospital Indemnity plan, and they should not be allowed to decline it. Please remove the decline option from the ER-Paid Hospital Indemnity plan. Also, the coverage level of the HDHP enrollment should match the coverage level enrollment for the ER-Paid Hospital Indemnity plan. 
 </t>
  </si>
  <si>
    <t xml:space="preserve">Added a new plan type “Hospital Indemnity ER Paid” and moved the Hospital Indemnity Employer Paid plan into the new plan type and removed the decline option from it. After that ended the existing Hospital Indemnity Employer Paid plan. 
Since, we do not have plan bundling functionality in system, we cannot match the coverage level of the HDHP enrollment to the ER-Paid Hospital Indemnity plan. Hence, added a task on Teamwork to handle process check on a weekly basis.</t>
  </si>
  <si>
    <t xml:space="preserve">Update rehire rule for Class Field to "Within 90 Days of termination date, First of the Month Following 0 Day(s) from Date of Rehire Others, First of the Month Following 60 Day(s) from Date of Rehire."
For management class rehire rules remains same as "Within 0 Days of termination date, First of the Month Following 0 Day(s) from Date of Rehire Others, First of the Month Following 0 Day(s) from Date of Rehire".
</t>
  </si>
  <si>
    <t xml:space="preserve">A new location was reported in the demographic file feed. Please add the following location: 
NVLRC - Las Vegas Rancho Dr
</t>
  </si>
  <si>
    <t xml:space="preserve">Please add the following location: Eligibility is same as all locations
NVLRC - Las Vegas Rancho Dr
</t>
  </si>
  <si>
    <t xml:space="preserve">Proposed solution to be presented to Requestor with justification of associated costs.
During a meeting with Truenorth and ABCM, the client clarified that Voluntary Life premium age bands are updated on the birthday, not the month following the birthday.
Please update the plan rules for the voluntary life to have age bands updated on the birthday.
Jenn pulled a report of all enrolled employees to identify anyone who is not in the correct rate per unit - and upcoming changes based on the updated rule.
“It's sorted by the date the change should occur; there are a few April birthdays. If the rule change is effective 04/01/2024 those employees will be adjusted, correct?
Then we should be clean going forward.”
</t>
  </si>
  <si>
    <t xml:space="preserve">1)Please update the plan rules for the Voluntary Life premium age bands to “Birthday”
2) The rule change is effective 04/01/2024, the below employees need to be updated with reason “Age Band Change” with below effective date.
Employee Id	Employee Name	Date to Change
2052479	Gbeynie, Richard	4/5/2024
102684	Spencer, Michelle	4/11/2024
120240	Khorll, Lou	4/12/2024
1061035	Brown, Nicholas	4/19/2024
</t>
  </si>
  <si>
    <t xml:space="preserve">Reminders emails should go out weekly </t>
  </si>
  <si>
    <t xml:space="preserve">Reminders emails should go out weekly. </t>
  </si>
  <si>
    <t xml:space="preserve">Need to set up a Limited FSA plan for this client.  </t>
  </si>
  <si>
    <t xml:space="preserve">We have added setup of Limited FSA plan for this client. </t>
  </si>
  <si>
    <t xml:space="preserve">Added 2 classes PRN COBRA and Temp/Part Time COBRA. First employee will be moved to either PRN or Temp/Part Time. After sending information to COBRA. Employee will be moved to new classes PRN COBRA or Temp/Part Time. 
Removed the Division Part Time COBRA and moved the respective employees accordingly. </t>
  </si>
  <si>
    <t xml:space="preserve">New Hire Waiting Period for Benefits to be Effective.
Anyone hired on or after 06/01/2024 their benefits should be effective their date of hire.
We are currently running the invoice reports for the client.  The broker is in the process of gathering the billing details.
•	So far – VSP has confirmed - Hire date on or before 15th of the month - billing starts the month of hire
Hire date after 15th of the month - billing starts the month following the month of hire.
•	Aetna – TBD
•	United Concordia - TBD
•	MOO - TBD
</t>
  </si>
  <si>
    <t xml:space="preserve">We have updated 1)	Add a new period plan year effective 6/1/2024 for Waiting Period rule change for all plan types and plans.
2)	Anyone hired on or after 06/01/2024 their benefits should be effective their Date of Hire. The same applies to Rehire rule as well.
3)	For VSP carrier update billing rule for Additions to “Full month premium if hired before 16th of month”. Do not change for Terminations.
</t>
  </si>
  <si>
    <t xml:space="preserve">The call center helped enroll an employee using the Employee gained other Coverage and sent the benefits enrollment statement to HR as confirmation. HR let us know that this specific status change should not have allowed the employee to elect new coverage. Per HR:  
“This Qualifying Life event only allows them to drop any existing coverage they currently have. It should not allow them to elect coverages that were previously offered but declined.” 
Please update this status change to only allow employees to decline coverage.</t>
  </si>
  <si>
    <t xml:space="preserve">Employee gained other Coverage – Unchecked the below option in all the Status Changes setup. 
New Enrollment 
Change Plans 
Change Coverage </t>
  </si>
  <si>
    <t xml:space="preserve">Need to correct the EE + Child(ren) rate on BenJ for "Wellmark 4000 HMO - WNH" Plan
It is currently, $1,104.04 and it should get updated to $1,104.07.</t>
  </si>
  <si>
    <t xml:space="preserve">Correct the EE + Spouse rate on BenJ for "Wellmark 4000 HMO - WNH" Plan
It is currently $1,104.04 and it should get updated to $1,104.07.</t>
  </si>
  <si>
    <t xml:space="preserve">Employees are electing that they want the FSA then entering 0.
Please enter a minimum of $1.00 for both FSA Health &amp; Dependent Care
Also we were just informed by WEX that the FSA Health Care Maximum is prorated for a short plan year.  Can you please enter a maximum contribution by the employee to 1866.67.
I have already updated the two employees in Benj to this maximum
Minxian Zhang and ChuHsiung Ho.
</t>
  </si>
  <si>
    <t xml:space="preserve">1)	Please enter a minimum of $1.00 for both FSA Health &amp; Dependent Care
2)	FSA Health Care Maximum is prorated for a short plan year.  Can you please enter a maximum contribution by the employee to 1866.67. Update this to Same Period plan year.
</t>
  </si>
  <si>
    <t xml:space="preserve">Through file testing we’ve discovered the Employer Paid STD and LTD should not have the “coinciding” rule. The new hire waiting period should match the basic life: 
First of the Month Following 60 Day(s) from Date of Hire
Please correct the Employer Paid STD and LTD. I’m confirming if the executive LTD should match this as well.
Please correct ID 1668 Employer Paid STD and LTD to be effective from 3/1/2024 instead of 2/1/2024
</t>
  </si>
  <si>
    <t xml:space="preserve">Update the new hire waiting period rule for the below plans to First of the Month Following 60 Day(s) from Date of Hire. Remove coinciding.
LTD Employer Paid
STD Employer Paid
Executive LTD Employer Paid
Please correct ID 1668 Employer Paid STD and LTD to be effective from 3/1/2024 instead of 2/1/2024
</t>
  </si>
  <si>
    <t xml:space="preserve">Message Setup </t>
  </si>
  <si>
    <t xml:space="preserve">HR wants the following wording added to the current Acknowledgement. Can we require employees to go through this acknowledgment again on their next login? 
By confirming my benefits and by providing my electronic signature below, I authorize the Company to deduct the employee portion of the cost of my medical, dental, and/or vision insurance premiums from any wages or other monies owed to me (including salary, bonuses, commissions, sick time, vacation time, personal time, etc.).
</t>
  </si>
  <si>
    <t xml:space="preserve">HR wants the following wording added to the current Acknowledgement. Require employees to go through this acknowledgment again on their next login. So, we need to end the existing one and create new one so that they all get new.
By confirming my benefits and by providing my electronic signature below, I authorize the Company to deduct the employee portion of the cost of my medical, dental, and/or vision insurance premiums from any wages or other monies owed to me (including salary, bonuses, commissions, sick time, vacation time, personal time, etc.).
</t>
  </si>
  <si>
    <t xml:space="preserve">Company is acquiring 60 new employees on or around 06/24.
Benefits are effective FOM following Hire Date – 07/01/2024 is their goal to have effective
Benefits and contributions are the same as the other locations.  
We just need to add a new location for client internal tracking
Please add Location – 147283 Acquired IL
EDI Team has been notified on the ticket that they need to map this new location to the current 147283 IL location.
</t>
  </si>
  <si>
    <t xml:space="preserve">Please add Location – 147283 - Acquired IL and the eligibility is same as current “147283 - IL”.
Refer to Grid: https://appriver3651007094.sharepoint.com/:x:/g/EZeR9B50DkJFtEbQ2Pxr1RkBK9dq8DEq_VzYIni6U43JOw?e=OFdAx8 
</t>
  </si>
  <si>
    <t xml:space="preserve">New Department - 64 add to the client
eligibility same as other departments</t>
  </si>
  <si>
    <t xml:space="preserve">A new department has been received in the demographic file. Please add the new department. 
New Department - CAJP6 - Jurupa Valley: Pyrite St/CA-60</t>
  </si>
  <si>
    <t xml:space="preserve">Currently, the plan is set up so that employees do not have edit access in any of the workflows or the summary screen. However, the plan does appear in the summary screen without edit access.
When admin users click on the edit link in the admin screen, the plan appears for enrollment.
Currently, there are 7 employees enrolled in it. In order for us to show this plan to only these employees, we should:
- Create a new class "Bethany Lutheran LTD" and update the class for these 7 employees to that.
- The rest of the Bethany employees will remain in the Fulltime class.
- Update the eligibility for the LTD plan to be eligible for only the "Bethany Lutheran LTD" class.</t>
  </si>
  <si>
    <t xml:space="preserve">Create a new class "Bethany Lutheran LTD" and update the class for these 7 employees to that. 
The rest of the Bethany employees will remain in the Fulltime class. 
Update the eligibility for the LTD plan to be eligible for only the "Bethany Lutheran LTD" class</t>
  </si>
  <si>
    <t xml:space="preserve">Remove the twice per month option from drop down and update all employees to weekly. Effective 4/1/2024. </t>
  </si>
  <si>
    <t xml:space="preserve">1. EE VTL/VAD&amp;D minimum benefit amount changed from $20k to $10k 
2. DP (child) VTL/VAD&amp;D minimum benefit amount changed from $10k to $5k 
3. DP (child) VTL/VAD&amp;D increments changed from $10k to $5k 
4. Change class with Effective 6/1/2024 and move all enrollments. Before that change the class change rule to Date of change and then move enrollments. Put back class rule after uploads of enrollments. 
5. Robert Jacobs - EE VTL/VAD&amp;D changed from $93,800 to $94,000 (rounding up to the nearest $1k) - Update original volume as per BenJ.  
6. Chester Randall - EE VTL/VAD&amp;D enrolled from $26,800 to $27,000 (rounding up to the nearest $1k) - Update original volume as per BenJ. 
7. Update rounding rule for age reduction for EE to Nearest $1000 
 </t>
  </si>
  <si>
    <t xml:space="preserve">GI rules for EE
65 years or under are $200,000  
65-69 years to $50,000 and  
70+ years to $10,000 
Any new hires with age 70, we need to monitor manually and update them to 10k.</t>
  </si>
  <si>
    <t xml:space="preserve">Update Status Termination and Work Country termination rule to “Last day of month following date of termination” for all the Medical plans with UHC. </t>
  </si>
  <si>
    <t xml:space="preserve">Long-Term Disability - 
The setup should be $0.231 per $100 of 100% of Monthly Salary. </t>
  </si>
  <si>
    <t xml:space="preserve">Long-Term Disability - 
The setup is changed to $0.231 per $100 of 100% of Monthly Salary. </t>
  </si>
  <si>
    <t xml:space="preserve">Please create this new location, and move Christina (10258) to this new location eff 7/1/2024, and enroll her in the medical plan with ee-only coverage and remove her from John’s (10334) medical plan with 7/1/2024. 
</t>
  </si>
  <si>
    <t xml:space="preserve">Added new location - Retiree OE Dist-Pay Couple, and moved Christina (10258) to this new location eff 7/1/2024, and enrolled her in the medical plan with ee-only coverage and removed her from John’s (10334) medical plan with 7/1/2024. 
</t>
  </si>
  <si>
    <t xml:space="preserve">Update Status Termination and Work Country termination rule to “date of termination ” for all the Medical plans with UHC. </t>
  </si>
  <si>
    <t xml:space="preserve">Updated Status Termination and Work Country termination rule to “date of termination ” for all the Medical plans with UHC. </t>
  </si>
  <si>
    <t xml:space="preserve">Update admin fees: 
</t>
  </si>
  <si>
    <t xml:space="preserve">If we have the medical FSA removed, what happens to those funds?
The funds are only pulled from Ahern when there is a claim processed.
We are able to delete/remove the MFSA due to the error.
My understanding is that the $10/week that was originally set-up for the LFSA was instead “moved” to the FSA when the April enrollment error occurred.
Nothing was moved from the LFSA to MFSA they were completely separate elections in the system. Nothing has changed for the LFSA and no adjustments are needed in our system.</t>
  </si>
  <si>
    <t xml:space="preserve">We have enabled the "Employer Contribution" setup for the HSA plan and made the enrollment corrections for the EE# Hanson, Allen (EE# 32980). Employee is in Limited FSA with $10 Per Paycheck.
https://secure.helpscout.net/conversation/2655928345/385371#thread-7999771946</t>
  </si>
  <si>
    <t xml:space="preserve">Create a custom field in work info named “Vol Life EE Original Volume” and Vol Life SP Original Volume, it should be captured in reports. (see the setup in staging) 
Also, we need to audit for age reduced employees and then flag their original volume in this custom field.  
Create a process and add a task to do an audit on a yearly basis to identify newly age reduced employees and then update the original volume in the custom field. This can be done during OE.</t>
  </si>
  <si>
    <t xml:space="preserve">Created 2 custom field in work info named “Vol Life EE Original Volume” and Vol Life SP Original Volume, it should be captured in reports.
Also, we audited for age reduced employees and then updated their original volume in this custom field.  
</t>
  </si>
  <si>
    <t xml:space="preserve">JREI wants to start using the "Leave of Absence without Benefits" class to track employees on leave without terminating them. 
Please remove FSA eligibility for this class. This Class should not be eligible for any benefits.</t>
  </si>
  <si>
    <t xml:space="preserve">WCI's employee Lydia Dudley (Employee ID: 2431) encountered an error indicating that her spouse's Voluntary Term Life/Voluntary AD&amp;D coverage could not be enrolled due to the spouse being 77 years old. 
The broker confirmed with Mutual of Omaha (MOO) that per policy, Spouse Voluntary Life/AD&amp;D coverage terminates when the employee reaches the age of 70, with termination effective 01/01/2025. 
Please update the Spouse Voluntary Life/AD&amp;D coverage to terminate at the end of the year when the employee turns 70 (1/1/2025),  </t>
  </si>
  <si>
    <t xml:space="preserve">	Arthur J Gallagher EBS</t>
  </si>
  <si>
    <t xml:space="preserve">Update rates for HMSA plan, this plan has a different renewal date than the others.  </t>
  </si>
  <si>
    <t xml:space="preserve">We need to change the Division change rule to "Date of Division" for additions. 
</t>
  </si>
  <si>
    <t xml:space="preserve">We changed the Division change rule to "Date of Division" for additions for all plans
</t>
  </si>
  <si>
    <t xml:space="preserve">We need to create a Part-Time class. There is an employee that is part-time and not yet eligible for benefits. </t>
  </si>
  <si>
    <r>
      <t>1)</t>
    </r>
    <r>
      <rPr>
        <color rgb="FF0D0D0D"/>
        <family val="2"/>
        <scheme val="minor"/>
        <sz val="7"/>
        <rFont val="Calibri"/>
      </rPr>
      <t xml:space="preserve"> </t>
    </r>
    <r>
      <rPr>
        <color rgb="FF0D0D0D"/>
        <family val="2"/>
        <scheme val="minor"/>
        <sz val="11"/>
        <rFont val="Calibri"/>
      </rPr>
      <t xml:space="preserve">Create a Part-Time class and it should not be eligible for any benefits
2) Class change eligibility remains “First of the Month Following 0 Day(s) from Date of Class”
3) Class change termination rule remains “Last day of month following date of termination”.</t>
    </r>
  </si>
  <si>
    <t xml:space="preserve">We have disabled the Transaction Approval setup of Demographic changes for existing employees. </t>
  </si>
  <si>
    <t xml:space="preserve">HR is proposing a new process for employees who change positions or increase their Full-Time Equivalent (FTE) status, enabling them to submit a status change. Currently, there isn't an effective option for allowing employees in these situations to enroll or make changes to their benefits.
They have several employees transitioning from positions such as paraeducator to teacher or building substitute to teacher or grant-funded roles. These employees will experience a significant increase in pay and a change from hourly to salaried positions, but since the eligibility remains the same, they are not allowed to enroll through an enrollment workflow. 
To address this limitation, we need to enable the "Special Event" status for medical and dental. Transaction approval is required, and new enrollment, change plans, change coverage, and waiving should be allowed. The effective date would be the date of QE. 
When an employee’s class changes and are allowed to enroll in the plans, HR will send them an email to use the special event status which they will review and approve in the system.
</t>
  </si>
  <si>
    <t xml:space="preserve">Enabled the "Special Event" status for medical and dental. Transaction approval is required, and new enrollment, change plans, change coverage, and waiving should be allowed. The effective date would be the date of QE.
</t>
  </si>
  <si>
    <t xml:space="preserve">Sunlife states they have the age reduction set up in their system for Critical Illness. Please remove the age reduction setup for the Critical Illness plan from BenJ. We can report the original volumes. </t>
  </si>
  <si>
    <t xml:space="preserve">Removed Employee and Spouse age reduction setup for CI plan as carrier is taking care of it at their end. We need to send original volumes. 
Update the original volumes for impacted employees. </t>
  </si>
  <si>
    <t xml:space="preserve">Through file testing, we've found an error in the age reduction schedule. Please correct the Voluntary Life age reduction schedule to reflect a 50% reduction at age 70 for both the employee and spouse. 
8/14/2024 Edit – Per broker, the spouse’s age reduction is based on the spouse’s age.    </t>
  </si>
  <si>
    <t xml:space="preserve">Voluntary Life age reduction schedule to reflect a 50% reduction at age 70 for both the Employee and Spouse. 
Spouse’s age reduction is based on the Spouse’s age.    
Updated Age Reduction Effective: Month following Birthday for both Employee and Spouse 
Corrected the existing employee/spouse above age 70 to 50% of original volume.</t>
  </si>
  <si>
    <t xml:space="preserve">Please create a new Division, "Comp Leave" and make it eligible for only Medical, Dental, and Vision plans.  
Please move the employee, EE# Collins, Lavell  to the new division effective 7/1/2024. </t>
  </si>
  <si>
    <t xml:space="preserve">Created a new Division, "Comp Leave" and made it eligible for only Medical, Dental, and Vision plans.  
Moved the employee, EE# Collins, Lavell  to the new division effective 7/1/2024. </t>
  </si>
  <si>
    <t xml:space="preserve">Need to update rounding rules:  
Company Paid Life and AD&amp;D - Update the Rounding Rule to "Next Highest $1,000" 
Short Term Disability - Update the Rounding rule to "No Rounding" 
Long Term Disability - Update the Rounding rule to "No Rounding" 
 </t>
  </si>
  <si>
    <t xml:space="preserve">Updated rounding rules:  
Company Paid Life and AD&amp;D - Update the Rounding Rule to "Next Highest $1,000" 
Short Term Disability - Update the Rounding rule to "No Rounding" 
Long Term Disability - Update the Rounding rule to "No Rounding" </t>
  </si>
  <si>
    <t xml:space="preserve">Update Dental premiums – all tiers are $7.56 effective 4/1/2024.
Change the setup from Fully Insured to Self-Funded.
Update the above amount under Admin Fee and Update the Total cost in FIE.
</t>
  </si>
  <si>
    <t xml:space="preserve">HR has informed us that employees are not correctly assigned to the appropriate billing units with the medical carrier. Currently, the custom field “Cost Center” is used to identify billing units. However, the data team has confirmed that we lack the functionality to update the “Cost Center” in our 834 EDI files. Instead, we were supposed to use the “Location” field, and the custom field was supposed to be removed. 
TrueNorth has now provided a revised account structure, and we need to add the new locations into our system. The data team has verified the account structure and highlighted the locations that need to be added. I will attach the list of new locations in the ticket for reference.
Once the new locations are added, we need to ensure that all employees’ “Location” fields match the values currently stored in the “Cost Center” custom field. After this is completed, please proceed with removing the custom field.
</t>
  </si>
  <si>
    <t xml:space="preserve">Add new locations as per the attached provided by Muniraju. And the eligibility is same as all others plans.
After this is completed, please proceed with removing the custom field.
</t>
  </si>
  <si>
    <t xml:space="preserve">Setup update:
1)	First of the Month Following or Coinciding with 0 Day(s) from Date of Hire. This is for all plan types. This is for New Hire and Rehire only.
2)	This rule change go into effect as of 10.1. So, no need to change past enrollments.
3)	Termination rules stay the same, no changes.
</t>
  </si>
  <si>
    <t xml:space="preserve">Removed the following departments  from FSA Healthcare and Dependnet access-
Part-Time Medical GF 
Part-Time 
Part-Time GF </t>
  </si>
  <si>
    <t xml:space="preserve">Please update the Welcome Email subject line to the following: 
Johnson Real Estate Investors - Important Benefit Information!</t>
  </si>
  <si>
    <t xml:space="preserve">Update the HSA Midyear change rule to “First of the Month Following 0 Day(s) from Date of Election”. 
Also correct the employee “Brandon Wesolowski " HSA plan effective date to 10/1/2024 from 09/23/2024.</t>
  </si>
  <si>
    <t xml:space="preserve">Updated the HSA Midyear change rule to “First of the Month Following 0 Day(s) from Date of Election”. </t>
  </si>
  <si>
    <t xml:space="preserve">The current Division rule in ABCM is causing issues in the EDI files, leading to coverage gaps. For example, when an employee terminates on 8/31/2024 and transitions to COBRA effective 9/1/2024, the system is incorrectly setting the enrollment effective date to 10/1/2024, creating a gap from 9/1/2024 to 9/30/2024. 
To resolve this, please update the Division rule to the first of the month following or coinciding with 0 days from the date of Division for medical, dental, and vision. 
</t>
  </si>
  <si>
    <t xml:space="preserve">Make the enrollment duration the same as the waiting period. 
So change eligibility enrollment duration to FOMF DOH for management class.
I don’t think we need to change for Field class. 
</t>
  </si>
  <si>
    <t xml:space="preserve">Refer to the notes above and make the enrollment duration the same as the waiting period. 
So change eligibility enrollment duration to FOMF DOH for management class.
No changes for the Field class. 
</t>
  </si>
  <si>
    <t xml:space="preserve">Update Allied Invoice rates to rates on sep/oct 2024 in table below effective 9/1/24: </t>
  </si>
  <si>
    <t xml:space="preserve">Update the rates as per above for the Medical MEC Green and MEC Blue plans. </t>
  </si>
  <si>
    <t xml:space="preserve">Change Voluntary Life &amp; AD&amp;D new hire age calculation to plan year/renewal date - "Age as on 01/01/2024"
</t>
  </si>
  <si>
    <t xml:space="preserve">he Age calculation for the New Hire is not by Plan Effective date, it should be age as on the Plan year which is 01/01/2024 for 2024. 
Change the Voluntary Life &amp; AD&amp;D new hire age calculation to plan year/renewal date - "Age as on 01/01/2024
</t>
  </si>
  <si>
    <t xml:space="preserve">The monthly premium rates for the Medical Buy- Up  plan are incorrect and need to be updated.
Employee only rate is $715.00
Emp + Spouse rate is $1490.00
Emp + Children rate is $1375.00
Family rate is $2165.00
</t>
  </si>
  <si>
    <t xml:space="preserve">Updated the monthly premium rates for the Medical Buy- Up  plan..
Employee only rate is $715.00
Emp + Spouse rate is $1490.00
Emp + Children rate is $1375.00
Family rate is $2165.00
</t>
  </si>
  <si>
    <t xml:space="preserve">Add a “Union” division, and make it eligible for all benefits except for Medical
Rikki will move people into the appropriate division.
</t>
  </si>
  <si>
    <t xml:space="preserve">Change waiting period for all plans to 31 days following DOH 
So benefits should be effective on the 31st day</t>
  </si>
  <si>
    <t xml:space="preserve">Change the waiting period and the new Hire for all plans to 31 days following DOH. 
So benefits should be effective on the 31st day.  </t>
  </si>
  <si>
    <t xml:space="preserve">Please update the division waiting period to "Date of Division" for ALL Plan Type to ensure COBRA enrollments align with eligibility requirements. 
Also, LaMunyon Drilling and Venture Enid 2013, Rename and add a prefix DO NOT USE.</t>
  </si>
  <si>
    <t xml:space="preserve">Updated the division waiting period to "Date of Division" for ALL Plan Type to ensure COBRA enrollments align with eligibility requirements. 
Also, LaMunyon Drilling and Venture Enid 2013, Rename and add a prefix DO NOT USE.</t>
  </si>
  <si>
    <t xml:space="preserve">Create a Class called “Owner” which is 100% EE paid for Medical. 
This Owners class is mapped for HCI Location Medical plans. Also, this class is eligible for all other plans same as full time. (it should match full-time except for the medical deductions)  
For HCI Location Medical plans update class based rates and update 100% EE paid for Medical, 
Owners: 100% EE paid 
All Other Classes: Same as current rates. 
UnitedHealthcare 2000 Choice Plus – HCI 
UnitedHealthcare 4000 Heritage Select Plus - HCI 
 </t>
  </si>
  <si>
    <t xml:space="preserve">Created a Class called “Owner” which is 100% EE paid for Medical. 
This Owners class is mapped for HCI Location Medical plans. Also, this class is eligible for all other plans same as full time. (it matchs full-time except for the medical deductions)  
For HCI Location Medical plans update class based rates and update 100% EE paid for Medical, 
Owners: 100% EE paid 
All Other Classes: Same as current rates. 
UnitedHealthcare 2000 Choice Plus – HCI 
UnitedHealthcare 4000 Heritage Select Plus - HCI 
 </t>
  </si>
  <si>
    <t xml:space="preserve">JREI wants to update the new hire duration period. Currently, it is sent to 90 days following the date of hire, and they want to change it to 30 days following the date of hire.  
They have already communicated the change to new hires currently in their new hire period of this change. 
Please update the new hire period.  </t>
  </si>
  <si>
    <t xml:space="preserve">New Hire duration change it to 30 days following the date of hire for all plans. </t>
  </si>
  <si>
    <t xml:space="preserve">Remove domestic partnerships for Medical UMR carrier. Setup from the below order:
1)	Rates, 
2)	Plan setup
</t>
  </si>
  <si>
    <t xml:space="preserve">The client confirms they will start reporting a new division, Hugoton. Please add the division; we’ll need to create two:  
Hugoton 
Direct Bill – Hugoton 
The eligibility should match the other divisions.  
</t>
  </si>
  <si>
    <t xml:space="preserve"> Added the division; 
Hugoton 
Direct Bill – Hugoton 
Renamed the Direct Bill (Do Not Use) to Direct Bill – Hugoton
The eligibility should match the other divisions.  </t>
  </si>
  <si>
    <t xml:space="preserve">Allstate has informed us there is a regulatory requirements regarding Medicare Duplication Notices. This affects several of their product lines, including Accident, Cancer, Critical Illness, and Hospital Indemnity products. Since WCI is offering at least one of these products on its platform, we must display the Medicare Duplication Notice. 
Can we add the links under plan page resources section, and can we display it the per the employee state? If not, please post both links. 
o	Accident Form (Most States)
o	Accident Form (Louisiana)
</t>
  </si>
  <si>
    <t xml:space="preserve">1)	Terminate employees in Aspen, Bavarian, Country Lane effective 11/30/2024
2)	After terminating the employees, add suffix as "Termed 12012024" for the locations that is getting terminated.
</t>
  </si>
  <si>
    <t xml:space="preserve">we need to change the eligibility rules for all of the plans. If an employees is rehired within 6 months of leaving, there is no waiting period and the plans pick up where they ended. If they are gone for over 6 months, there is a 90 day waiting period.
There is an employee Joseph Satterfield he was hired on 3/22/24 then termed on 9/11/24 and he was rehired on 10/22/24
</t>
  </si>
  <si>
    <t xml:space="preserve">The correct rate for the Plan 3 Non Wellness and Wellness - HSA MTBCP008H' Medical plan is $1550.48 not $1550.40. This is for Employee + Spouse and DP coverage.
Please update.
</t>
  </si>
  <si>
    <t xml:space="preserve">Update rate for the Plan 3 Non Wellness and Wellness - HSA MTBCP008H' Medical plan is $1550.48 not $1550.40.
This is for Employee + Spouse and DP coverage.
</t>
  </si>
  <si>
    <t xml:space="preserve">Disable employee EDIT Access for Personal Information for the below fields. 
First Name 
Middle Name 
Last Name 
SSN 
DOB 
Gender 
Address 1 
Address 2 
City 
State 
Zip 
Home Phone</t>
  </si>
  <si>
    <t xml:space="preserve">Effective 12/1/2024 we need to terminate all the employees in the Palos Heights location as that location has been sold off. You will then be able to inactivate that location. </t>
  </si>
  <si>
    <t xml:space="preserve">We need to change the Location waiting period rule to be same as New hire rule - "First of the Month Following 1 Month(s) from Date of Hire".  Correct 
This needs to be updated for all Medical plans of all locations including Bethany Lutheran except for Meadowview &amp; Ridgeview and STL West and TCC which will stay as "First of the Month Following 0 Day(s) from Date of Location" Correct 
No location waiting period changes for Dental, Vision, Basic Life etc. because change in location will not have any effect on these plans. or maybe as a standard we can keep "First of the Month Following 1 Month(s) from Date of Hire".  For this, the waiting period should be the same as bullet 1 with the exception of bullet 2. Essentially, if an employee moves from Anamosa to Elkader, they are considered a New Hire and have to meet the New Hire Waiting Period. But if an employee moves from Meadowview to Ridgeview or from STL West to TCC they do not have to re-meet a waiting period for any of the benefits. </t>
  </si>
  <si>
    <t xml:space="preserve">We changed the Location waiting period rule to be same as New hire rule - "First of the Month Following 1 Month(s) from Date of Hire". 
This is updated for all Medical plans of all locations including Bethany Lutheran except for Meadowview &amp; Ridgeview and STL West and TCC which will stay as "First of the Month Following 0 Day(s) from Date of Location". 
All the remaining plans (Dental, Vision, Basic Life, etc) rule is "First of the Month Following 1 Month(s) from Date of Hire". </t>
  </si>
  <si>
    <t xml:space="preserve">Current rates are incorrect, Terri has provided us with corrected rates. Can we please update.
</t>
  </si>
  <si>
    <t xml:space="preserve">“Reinstate” employees are allowed to enroll without a waiting period. Please create the new class with suffix "No Waiting Period." The existing classes will be considered for the "With Waiting Period" scenario. </t>
  </si>
  <si>
    <t xml:space="preserve">We have added new classes mentioned below - 
1. Hire date on or after 1/1/12 (Under 2 years) - NWP
2. Hired 3/1/03-12/31/11 - NWP
3. Hired 3/1/99 -2/28/03 - NWP
4. Hired before 3/1/99 - NWP
5. Hire date on or after 1/1/12 (2+ years) - NWP
And added Rehire waiting period rules based on Classes.
Reason - “Reinstate” employees are allowed to enroll without a waiting period.</t>
  </si>
  <si>
    <t xml:space="preserve">Term locations and employees in Aspen, Bavarian, Country Lane effective 12/31/2024 for all plans except Medical.
Term Medical plan effective 12/1/2024 and benefits should end 11/30/2024..
</t>
  </si>
  <si>
    <t xml:space="preserve">Term Medical plan (Enhanced Blue 3000 PPO - CBA) effective 12/1/2024 and benefits will automatically end effective 11/30/2024.
We need to take action on 12/31/2024. Please keep a task to do this.
1)	Terminate employees in Aspen, Bavarian, Country Lane effective 12/31/2024 which should be not eligible from 1/1/2025.
2)	After terminating the employees, add suffix as "Termed 01012025" for the locations that is getting terminated.
</t>
  </si>
  <si>
    <t xml:space="preserve">ICCSD has a retiree who has come back to work in a new capacity, and they would like to allow the employee to enroll in the medical and dental retiree plan, but also in FSA and basic life and AD&amp;D.  
Please create a new location "Retiree Rehired" and make it eligible for Retiree Medical, Retiree Dental, Vision, Voluntary Life, FSA HC, FSA DC and basic life. Please move the employee in this new location with the 8/16/2024  rehire date. </t>
  </si>
  <si>
    <t xml:space="preserve">Allow Domestic Partner Coverage for Medical plan and accordingly update the rates in Invoice and deductions. 
This applies to all 3 plans. </t>
  </si>
  <si>
    <t xml:space="preserve">Domestic Partner Coverage is added for Medical plan and accordingly updated the rates in Invoice and deductions. 
This applies to all 3 Medical plans. </t>
  </si>
  <si>
    <t xml:space="preserve">Please add an informational page in Benj and create a section in Flimp, with the details in this link; https://www.aflacenrollment.com/VICTORYPOWERLINESERVICE/P2L685933906 
This is for All employees. OSR/ATK/Victory. 
 </t>
  </si>
  <si>
    <t xml:space="preserve">Please create an informational page in Benj and create a section in Flimp, with the details in this link; https://www.aflacenrollment.com/VICTORYPOWERLINESERVICE/P2L685933906 
Name the plan type and Plan as “Aflac Information Only” with Carrier Aflac 
This is for All employees. OSR/ATK/Victory. 
This should also be added in New Hire Flow as well. </t>
  </si>
  <si>
    <t xml:space="preserve">Regarding the number of pay periods for certain classes. Specifically, making sure the start date entered for a new hire who is in an hourly position, such as the paraeducator class, is reflecting correctly for the per pay check cost. Currently, for those in an hourly position, we are manually calculating the employee premium costs when setting up their payroll deduction. 
</t>
  </si>
  <si>
    <t xml:space="preserve"> Added the below mentioned fields under Department, and we will be renaming the current department "All Employee" into "19 Paycycle" -
17 Paycycle
15 Paycycle
13 Paycycle
11 Paycycle
9 Paycycle
7 Paycycle
5 Paycycle
3 Paycycle
1 Paycycle
Rates for Medical, Dental and VIsion plans are updated based on the above paycycle for the below mentioned 3 classes -
School Year Secretary
Paraeducator
Nutrition Service</t>
  </si>
  <si>
    <t xml:space="preserve">Add the department "Michigan" </t>
  </si>
  <si>
    <t xml:space="preserve">Add the department "Michigan. 
Instead of adding, rename “DO NOT USE Orlando” to “Michigan”.  Eligibility is same as “Marinette” department. </t>
  </si>
  <si>
    <t>Change Request Forms</t>
  </si>
  <si>
    <t>Year</t>
  </si>
  <si>
    <t>Column1</t>
  </si>
  <si>
    <t xml:space="preserve">Please change the rule to “end of the calendar month”. </t>
  </si>
  <si>
    <t xml:space="preserve">Client would like to change waiting period. If hired on first of the month, benefits should be effective that day.
Hire date is 08/01/2017, benefits should be effective that day.</t>
  </si>
  <si>
    <t xml:space="preserve">Please change the rule for the Vol Life /AD&amp;D plan to reflect the following: 
Premium changes should only take place on the Policy’s Plan Anniversary Date 
It should be changed to “Plan Anniversary date” which is October 1st</t>
  </si>
  <si>
    <t xml:space="preserve">Please change the employee only contribution for the Plan 1 $2500 PPO medical plan to $247.00/month
The correct per pay period contribution should be $114.00 ($247.00 per month).</t>
  </si>
  <si>
    <t xml:space="preserve">For Weekly pay cycle Employees, only 1 deduction a month is taken out for their employee benefits cost and the Biweekly employees have 26 pay periods with only 24 deductions. This was not communicated to us in the implementation time. </t>
  </si>
  <si>
    <t xml:space="preserve">The Location MUD needs to be replaced with OTA.
New Location OTA has EIN # 41-2202007 if needed.</t>
  </si>
  <si>
    <t xml:space="preserve">Corrections to the Grid and when plans should end.
Changes were mainly made to the NTGS staffing.</t>
  </si>
  <si>
    <t xml:space="preserve">Please remove the Department “Special”
There should only be 4 department.  I have moved the two people out of Special and moved to the correct Department.
Plan end dates need to be updated as well.</t>
  </si>
  <si>
    <t xml:space="preserve">Trendsetter is adding a company paid Health Advocate Plan.
Carrier is Health Advocate</t>
  </si>
  <si>
    <t xml:space="preserve">Configuration Team – Please create a new Plan with the same plan rules as medical.
All employees should be auto enrolled into this plan if Benefits Eligible. </t>
  </si>
  <si>
    <r>
      <t xml:space="preserve">Termination date for the Symetra carrier has 2 plans in our system. Both the plans have the termination rule setup as </t>
    </r>
    <r>
      <rPr>
        <b/>
        <color theme="1"/>
        <family val="2"/>
        <scheme val="minor"/>
        <sz val="11"/>
        <rFont val="Calibri"/>
      </rPr>
      <t>Date of termination</t>
    </r>
    <r>
      <rPr>
        <color theme="1"/>
        <family val="2"/>
        <scheme val="minor"/>
        <sz val="11"/>
        <rFont val="Calibri"/>
      </rPr>
      <t xml:space="preserve">, however carrier is requesting for </t>
    </r>
    <r>
      <rPr>
        <b/>
        <color theme="1"/>
        <family val="2"/>
        <scheme val="minor"/>
        <sz val="11"/>
        <rFont val="Calibri"/>
      </rPr>
      <t>month end termination rule</t>
    </r>
    <r>
      <rPr>
        <color theme="1"/>
        <family val="2"/>
        <scheme val="minor"/>
        <sz val="11"/>
        <rFont val="Calibri"/>
      </rPr>
      <t>.</t>
    </r>
  </si>
  <si>
    <t xml:space="preserve">Please change termination date for the following two plans to end of the month following termination.
Select Benefits Plan 1
Select Benefits Plan 2</t>
  </si>
  <si>
    <t xml:space="preserve">Riebes Auto Parts </t>
  </si>
  <si>
    <t xml:space="preserve">Please add Division “39 WeLease Home Office” and Department Number “39”
All eligibility is the same as all other groups.</t>
  </si>
  <si>
    <t xml:space="preserve">Anyone who is hired within 90 days are eligible for benefits immediately. 
Anyone who is hired after 90 days  must wait 60 days before they are eligible for benefits.</t>
  </si>
  <si>
    <t xml:space="preserve">Anyone who is hired within 90 days are eligible for benefits immediately. 
Anyone who is hired after 90 days  must wait 60 days before they are eligible for benefits. </t>
  </si>
  <si>
    <t xml:space="preserve"> NHE period was updated as 40 days.</t>
  </si>
  <si>
    <t xml:space="preserve">Age as of rule for LTD is age as of 05/01/2017.  This will need to be updated each year to be effective 05/01.  All employees regardless if hired after 05/01/2017, their age should be based on 05/01/2017 for the 05/01/2017 – 04/30/2018 plan year. </t>
  </si>
  <si>
    <t xml:space="preserve">EE contributions have NOT changed- only Employer portion.
 A credit should not be given.
EE’s who are tobacco users need to have their contributions corrected</t>
  </si>
  <si>
    <t xml:space="preserve">Create new classes and rename the existing one   Ben J as follows:
-Moonraft
-Round Feather
-Media Services
-UST Global (instead of UST Expatriates)</t>
  </si>
  <si>
    <t xml:space="preserve">Update the New Hire Vol Life Rate Calculation </t>
  </si>
  <si>
    <t xml:space="preserve">When New Tech Global was implemented Voluntary Life &amp; AD&amp;D were given to us as a combined plan.
After going live and we started testing the Paylocity file, client noticed the Voluntary Life &amp; AD&amp;D contributions are being bundled.</t>
  </si>
  <si>
    <t xml:space="preserve">LBCT would like to add department numbers- all of these departments have the same eligibility as the LBCT department. – spreadsheet with mapping was provided. </t>
  </si>
  <si>
    <t xml:space="preserve">Change the set up to say if rehired within 90 days, eligible as of the rehire date
Change the set up to say if rehired after 90 days, then FOMF 59 days will be the effective date</t>
  </si>
  <si>
    <t xml:space="preserve">1. Delete the Medical plans with HC in the plan names
2. Remove the zipcode Eligibility for the other Medical plans
3. Enroll all the employees form the HC plan to the corresponding medical plans
4. Inform EDI of this change to configure the mapping based on Zipcode</t>
  </si>
  <si>
    <t xml:space="preserve">1. Delete the Dental plans with ‘out of Area ‘ in the plan names
2. Remove the zipcode Eligibility for the other Medical plans
3. Enroll all the employees form the ‘Out of Area’ plan to the corresponding medical plans
4. Inform EDI of this change to configure the mapping based on Zipcode</t>
  </si>
  <si>
    <t xml:space="preserve">Please add the number next to the text on the system.
KY - 1
Ohio - 3
South Carolina - 5       
TN - 2 
Virginia - 01
WV - 04 </t>
  </si>
  <si>
    <t xml:space="preserve">Client is requesting that in Benefits Passport under the location tab we enter a number next to the text.
Here is what the broker has submitted.</t>
  </si>
  <si>
    <t xml:space="preserve">Please add a new Division this division effective 11/01/2017
84 – Home Office</t>
  </si>
  <si>
    <t xml:space="preserve">
Set UST Media services up so they also have temporary workers with the same benefits as the current Temporary Workers.
</t>
  </si>
  <si>
    <t xml:space="preserve">Please add Part Time Class and the only benefit that should be allowed will be the 401k plan.
All other Benefits should term based on the rules in the system per plan.
</t>
  </si>
  <si>
    <t xml:space="preserve">Broker is requesting that we add additional departments </t>
  </si>
  <si>
    <t xml:space="preserve">BCBS has a plan termination rule of 1st of the following month but on Benefits Junction, the rule is “date of qualifying event”. </t>
  </si>
  <si>
    <t xml:space="preserve">Per the HR in CRM ticket 11512- Jambe Juice needs a new division created called 01595. This new division should mirror division 1523. </t>
  </si>
  <si>
    <t xml:space="preserve">Need to add a new division </t>
  </si>
  <si>
    <t xml:space="preserve">Please make the following medical plan name changes:
Plan A should be renamed to:  Plan A $1500 Deductible Plan
Plan B should remain as is
Plan C should be renamed to:  Plan C $2600 HDHP
</t>
  </si>
  <si>
    <t xml:space="preserve">Medical/Dental/Vision: coverage should end at the end of the month for which the child turns 26
Basic Life: coverage should end on the day the child turns 26</t>
  </si>
  <si>
    <t xml:space="preserve">New Location - Augusta
New Division - 400 Augusta Direct and 450 Augusta Indirect</t>
  </si>
  <si>
    <t xml:space="preserve">Rehire rule for Field employees should be FOMF if they are hired within 60 days. Outside of 60 days they are treated as New Hires and will need to wait 60 days.
Office staff is ALWAYS FOMF date of hire</t>
  </si>
  <si>
    <t xml:space="preserve">Please turn on the Beneficiary Reminder. The client would like it set up to remind employees daily until they have completed the task.  This should be for Basic Life &amp; Voluntary Life.
</t>
  </si>
  <si>
    <t xml:space="preserve">Create two disclaimer acknowledgment pages.
1)	For all except temporary Employees – wording attached
2)	For temporary employees only – wording attached
Update Welcome Back Email (same wording ok for all UST employees).
1)	Wording attached</t>
  </si>
  <si>
    <t xml:space="preserve">Welcome email wording has been updated to show consistency across all systems accessed by ee’s.
</t>
  </si>
  <si>
    <t xml:space="preserve">Jennifer from UST Global has requested a change in the Deduction Retro Rules for UST Global, with respect to Medical, Dental and Vision Plans from 01/01/2018. 
Currently employees are getting daily Pro-Rated deductions if they enroll or waive or make changes to the plan in the middle of a paycycle. </t>
  </si>
  <si>
    <t xml:space="preserve">Employee Retro Rules for Deduction Setup to be changed for Medical, Dental and Vision Plans as follows:
Addition Rules: Full cycle deduction
Termination Rules: Full cycle deduction</t>
  </si>
  <si>
    <t xml:space="preserve">Update the rule in the system for the Vol Life plan to show “no rounding” </t>
  </si>
  <si>
    <t xml:space="preserve">Add a new class titled “Owners” </t>
  </si>
  <si>
    <t xml:space="preserve">1. Add a new class “Owners” and make the class only eligible for $1500 Standard plan and the $3,000 CDHP plan
2. In the plan set up, change the set up to have deductions rate based on Class and add 0 cost to employees for this class
3. Please add this new class to all other set up screens
4. Please inform EDI</t>
  </si>
  <si>
    <t xml:space="preserve">RECON asked why the “Update Social Security Number” still displays after it’s checked.  Other “to do” items don’t display once completed.
This was set up incorrectly to show the to do list for 30 days.</t>
  </si>
  <si>
    <t xml:space="preserve">Change SSN to do list setup  – Select option "Remove from status page after completion". </t>
  </si>
  <si>
    <t xml:space="preserve">Two physicians do not participate in employer paid STD plan due to their unique pay structure.  Their enrollment should be terminated back to their hire dates as if never enrolled.  
1.Add a new Location ER paid STD- Not Eligible 
2.Make this class Not eligible for Company paid STD plans
3.Add this new class to all other plans as eligible and screens
4.Change the classes for the following two employees effective their hire date
EE id: 102-74-4540
EE Name: Sidharth Vumenthala Reddy
EE id: 434-55-6949
EE Name: Shamir Bhikha</t>
  </si>
  <si>
    <t xml:space="preserve">The vision rate for EE + Children needs to be corrected in BP to the below:
Current rate in BP: $14.48
Rate to be updated in BP: $14.84</t>
  </si>
  <si>
    <t xml:space="preserve">Employee Lost Coverage (and now needs Coverage with OOCL): Effective date is First of the following month
Employee gained other Coverage (meaning EE no longer needs Coverage with OOCL): Effective date is date of QE.</t>
  </si>
  <si>
    <t xml:space="preserve">Update Benefits Change Date to “Date of QE” for Vision plan </t>
  </si>
  <si>
    <t xml:space="preserve">The waiting period is FOMF 30 for all benefits including medical which currently shows 29 days. </t>
  </si>
  <si>
    <t xml:space="preserve">Update our system so that Jillian Streeper is alerted for any pending transactions. </t>
  </si>
  <si>
    <t xml:space="preserve">LTD Buy Up Plan – rate should be $0.233
Voluntary Child Life Plan – rate should be $0.10</t>
  </si>
  <si>
    <t xml:space="preserve">Per Kristen Daigle at Creare, Life, LTD and STD plans terminate the end of the month.  </t>
  </si>
  <si>
    <t xml:space="preserve">Request: Kelle’s has a new DBA and this needs to be updated on all applicable systems and forms.
Solution: Update the Company name for Kelle’s Transport Services to Soar Transportation.</t>
  </si>
  <si>
    <t xml:space="preserve">Remove the Questions and answer set up. Set up the Plan Dependency such a way that the Basic Life &amp;ADD plan will come up only if employee Enrolled for Ternian Medical Plan.  </t>
  </si>
  <si>
    <t xml:space="preserve">Update the current set up using new set up that will handle plan dependency.
All employee who are enrolled in the Ternian Medical Plan should be enrolled in the Basic Life &amp; AD&amp;D Plan.  Coverage Tier &amp; Dependents for Medical should be the same for Basic Life &amp; AD&amp;D
</t>
  </si>
  <si>
    <t xml:space="preserve">Change the number of days updated on system for OAD notification alerts. Currently notification alerts will be sent to employees before 5 days of the plan termination. 
This is not giving employees enough time to take action.</t>
  </si>
  <si>
    <t xml:space="preserve">Notification alerts should be sent 31 days before the Plan termination date
</t>
  </si>
  <si>
    <t xml:space="preserve">1. On the Employee “Work” Page please create a custom field where HR can track employees that have court ordered medical support orders.  HR would like the Field name “NMSN”.  You can set up a check box or yes/no.  As long as the field is captured when running reports.
2. On the Status Change set up pages
a. Medical Page – Please change child birth from First of the month following event date to “Date of Birth”
b. Medical Page - Overage Dependent – Benefits Change date should be last day of the month following birthdate
c. Medical, Dental, Vision Pages – please select the Event Employee Lost Coverage.  Please check the following boxes.  Transaction Approval Required, New Enrollment, Change Plans &amp; Change Coverages only.</t>
  </si>
  <si>
    <t xml:space="preserve">ADD A NEW DEPARTMENT </t>
  </si>
  <si>
    <t xml:space="preserve">Recon would like to be notified of anyone making a change that is outside of a life event/new hire enrollment period.  Currently Joy is notified by the pending transaction notification.
Since Recon allows employees to make changes to Voluntary Life, Critical Illness, Cancer, Accident &amp; Legal Shield without having a life event, Joy would like to be notified of these changes since they will not appear on the pending transaction notification. Please enable the “Enrollment Changes” notification under “Employee Alerts”.  The employee does not need to receive this notification on the employer.  Please check the “Other” box and enter Joy.gossett@reconservices.com in the email address.
Please confirm that Enrollment Changes that are not done as a life event will still trigger this notification.</t>
  </si>
  <si>
    <t xml:space="preserve">Please set up the “Enrollment Changes” email so that the email is send only to the email id populated in the “Other” field
The Subject and the body of the email is given below
Subj: Non-Life Event Enrollment Change 
Body: This is to notify you that an employee has made a non-life event required change to their benefits. Please "approve" or "Reject" this transaction.</t>
  </si>
  <si>
    <t xml:space="preserve">update the contact in BP for all notifications </t>
  </si>
  <si>
    <t xml:space="preserve">
Guri Mehta is requesting that we update our system so that Michelle Guzman is alerted for any pending transactions.
 </t>
  </si>
  <si>
    <t xml:space="preserve">Crane has a new employee located in Minnesota.  Auxiant has added a new network (America’s PPO) to accommodate this employee.  </t>
  </si>
  <si>
    <t xml:space="preserve">A new location needs to be added:  Americas PPO.  This location is eligible for all plans.  </t>
  </si>
  <si>
    <t xml:space="preserve">Discrepancy Report that the Qualifying Event for a Voluntary Plan – which the Dental Plan for this group is Voluntary, the effective date is First of the month following the QLE Date.  </t>
  </si>
  <si>
    <t xml:space="preserve">Most employees for this client do not have email addresses, so the client is requesting that we remove the New Hire welcome email that is sent to EE’s as this is causing confusion. Client will make sure that EE’s are aware of their enrollment period. </t>
  </si>
  <si>
    <t xml:space="preserve">The commuter benefit must calculated based on 24 pay cycles not 26. 
Do not advises deductions on pay date 6/29/2018 and 11/30/2018. </t>
  </si>
  <si>
    <t xml:space="preserve">The monthly commuter benefits amount must be reported to BRI based on 24 pay cycles instead of 26. Do not advises deductions on pay date 6/29/2018 and 11/30/2018. </t>
  </si>
  <si>
    <t xml:space="preserve">Ahern has quarterly HSA enrollment periods.  </t>
  </si>
  <si>
    <t xml:space="preserve">The broker sent us the rate contribution sheet in October which had a rate typo on it which needs to be corrected. </t>
  </si>
  <si>
    <t xml:space="preserve"> The only change is that the Blue Shield PPO, Employee + Spouse Employee Contribution should be $386.66, instead of $396.66. That also changes the employer contribution from $1465.86 to $1475.86.</t>
  </si>
  <si>
    <t xml:space="preserve">Client wants to populate Benefits Junction with the 
• Cost Center
• Workday ID
• Business Area
 This is mainly for reporting purposes. When we send the billing supporting documents they want us to include these data point so that they can do cost allocations correctly. Going forward all the new hires will be reported with these fields.</t>
  </si>
  <si>
    <t xml:space="preserve">Create the 3 custom fields in the work info screen as Text input fields
• Cost Center
• Workday ID
• Business Area</t>
  </si>
  <si>
    <t xml:space="preserve">Change the department change rule to date of event instead of first of the following month. </t>
  </si>
  <si>
    <t xml:space="preserve">HBC/TWL wants to move from Teladoc to MyTelemedicine effective 6/1/2018.  Current Teledoc participants should rollover to MyTelemedicine. The new plan should match exactly as what is in place with Teleadoc in terms of plan eligibility. There’s no cost to employees so keeping the current rates in the system is fine. </t>
  </si>
  <si>
    <t xml:space="preserve">Create a new plan and move all the enrollments. DO this in Teamwork project. New EDI need to be set up </t>
  </si>
  <si>
    <t xml:space="preserve">THE STD RATES NEED TO BE CHANGED IN OUR SYSTEM EFFECTIVE 05/01/2018 TO THE FOLLOWING AS WHAT WAS PROVIDED TO US DURING OPEN ENROLLMENT IS INCORRECT. </t>
  </si>
  <si>
    <t xml:space="preserve">HSA High Option Employee Only 	   2950	3200
HSA Low Option  Employee + Family  5900	6400</t>
  </si>
  <si>
    <t xml:space="preserve">Jamba Juice </t>
  </si>
  <si>
    <t xml:space="preserve">ADD A NEW DIVISION NAMED “20000” per client this division is for FT employees and should mimic the divisions of 7000 and 8000 </t>
  </si>
  <si>
    <t xml:space="preserve">During implementation the rule was setup correctly and it was changed to date of termination as per Jennifer Carrols email on May 11th 2017. Now broker(Val) confirmed that the rule must be end of the month for this plan. </t>
  </si>
  <si>
    <t xml:space="preserve">Change the termination rule to "Last day of month following Date of Termination" for Delta Dental plan. </t>
  </si>
  <si>
    <t xml:space="preserve">CHANGE THE WAITING PERIOD RULE TO FOMF 30 DAYS FOR ANY NEW HIRES/Rehires FOR LUMYOUNG DRILLING EMPLOYEES. CURRENTLY IT IS  FOMF 60 DAYS FROM DATE OF HIRE. </t>
  </si>
  <si>
    <t xml:space="preserve">Rate reduction for Total stop loss.  Client received a rate reduction for stop loss.
Stop Loss Rate needs to be adjusted in Benefits Passport.</t>
  </si>
  <si>
    <t xml:space="preserve">To correct the LTD premium rate for age bracket  45-49 </t>
  </si>
  <si>
    <t xml:space="preserve">Premium rate for "Long Term Disability - Class 3" for the age bracket 45-49 should be $0.42.
It is set up as $0.45 in Passport.</t>
  </si>
  <si>
    <t xml:space="preserve">The rates that were provided to us during Open Enrollment is not the same rates that we are being asked to change the rates to. </t>
  </si>
  <si>
    <t xml:space="preserve">The Voluntary STD rates needs to be changed in our system. </t>
  </si>
  <si>
    <t xml:space="preserve">UPDATE THE ELIGIBILITY RULE ON OUR SYSTEM FOR JUST THE MEDICAL PLAN TO “FIRST OF THE MONTH FOLLOWING OR COINCIDING 60 DAYS FROM THE DATE OF HIRE” 
THE CURRENT RULE IN THE SYSTEM IS FOMF DATE OF HIRE. </t>
  </si>
  <si>
    <t xml:space="preserve">Enable "Waive" option to allow employees to decline the plan when have QE “Employee Gained coverage” </t>
  </si>
  <si>
    <t xml:space="preserve">Create a new department:- 50Kbasic Life
Create a new Basic Life plan:- 50K Basic Life
Make the new department eligible for this plan.
The rate for the flat $50K basic life benefit would be the same as the current rate for Basic / company paid group term life Insurance. Which is $.03 / $1,000.</t>
  </si>
  <si>
    <t xml:space="preserve">Please turn off the email notification Under Employee Alerts – Eligibility For New Plans
Please remove the check next to employee.  The Broker &amp; Client do not want this activated.</t>
  </si>
  <si>
    <t xml:space="preserve">PLEASE UPDATE THE ELIGIBILITY RULE ON OUR SYSTEM FOR JUST THE MEDICAL PLAN TO “First of the month following or coinciding with 0 days from Date of Hire" / </t>
  </si>
  <si>
    <t xml:space="preserve">Please correct the QLE effective dates for 2 of the reasons on our system to “date of Qualifying event” Below is a snapshot of what the current rule is and what it needs to be changed to: </t>
  </si>
  <si>
    <t xml:space="preserve">Change the employment termination rule to " Date of Termination" for all plans. </t>
  </si>
  <si>
    <t xml:space="preserve">To add new division and made eligible for all benefits. 
102 - Corp Supply Chain/Indirect
106 - Product Dev
107 - HR
108 - Sales
110 - IT</t>
  </si>
  <si>
    <t xml:space="preserve">New department
</t>
  </si>
  <si>
    <t xml:space="preserve">To identify if an Employee has a spouse that works for the ICCSD District.
To track if an Employee &amp; Spouse who both work for the district and one spouse waives coverage and the other spouse enrolls family coverage for medical and/or dental</t>
  </si>
  <si>
    <t xml:space="preserve">Create 2 custom fields on the Work tab
1.	 Spouse Works for ICCSD School District
2.	EE has District Spouse enrolled in their benefits</t>
  </si>
  <si>
    <t xml:space="preserve">Benefit start needs to be updated for all plans: 
New Hire: FOMF 29 Day(s) from DOH.
Rehire: If rehired within 91 days, there is no waiting period, the effective date is the first day they return. After 91 days, the waiting period applies (1st of the month following 29 days from date of hire).
Class, Location, Department and Division: Date of change.</t>
  </si>
  <si>
    <t xml:space="preserve">Invoice Termination rule was incorrect on system </t>
  </si>
  <si>
    <t xml:space="preserve">Aetna invoice rule should be setup with 
Addition - No Premium for first month unless it is 1st
Termination - Full month premium and the retro cap should be 2 for both.</t>
  </si>
  <si>
    <t xml:space="preserve">All benefit plans, effective July 1, 2018 for all New Hire and Rehires:
• Benefits start date needs to be updated to 1st of the month following or coinciding with Date of Hire
• Benefits needs to term end of month following or coinciding with Termination Date.
UPDATE: Disability Plans need terminated on the last day worked. 
Change NH enrollment period from 30 days from date of hire to 14 days from date of hire.
•All supplemental plans should be available for election at any time throughout the plan year, effective 1st of the month following election.</t>
  </si>
  <si>
    <t xml:space="preserve">System is currently setup to 14 days. Correct out system to reflect 30 days from Date of Hire for all plans. </t>
  </si>
  <si>
    <t xml:space="preserve">1. Update rates for Medical, Dental and Vision.
2. Change new hire waiting period to FOM following 30 days/Coinciding effective 6/1/2018.
3. Change coverage effective dates per new rule for impacted employees.
4. Disable ER&amp;Total cost for employees. </t>
  </si>
  <si>
    <t xml:space="preserve">For few clients, Personal info fields are non-editable on system. In the activation email verbiage it is notified to employees that they can do changes to their personal information fields. </t>
  </si>
  <si>
    <t xml:space="preserve"> Earlier it was plan effective date (Default Setup).</t>
  </si>
  <si>
    <t xml:space="preserve">Create a new Acknowledgment screen with the name Kaiser Foundation Health Plan Arbitration Agreement
Enable it for Employee First Time Login.</t>
  </si>
  <si>
    <t xml:space="preserve">remove Virginia / Paul / Caitlin from the transaction approval distribution list and send notifications to Darlene. </t>
  </si>
  <si>
    <t xml:space="preserve">ADD 2 NEW DIVISIONS: 
82700 
82600 
These are full time positions and are eligible for all benefits.</t>
  </si>
  <si>
    <t xml:space="preserve">Update the overage dependent rule for Medical, Dental and Vision to terminate at the end of the month following 26th birthday. </t>
  </si>
  <si>
    <t xml:space="preserve">Age reduction should happen only based on plan anniversary. </t>
  </si>
  <si>
    <t xml:space="preserve">Remove the age reduction from the system for Basic Life and Voluntary Life. Identify the employees for whom the age should have reduced and update the volumes from the back end for the first of the year. </t>
  </si>
  <si>
    <t xml:space="preserve">Create a new "Part-time" class not eligible for any benefits. 
Effective 7/1/2018, Class, Location, Division, Department - First of the Month Following or coinciding with 0 Day(s) from Date of change. 
Before 7/1/2018, Class, Location, Division, Department – Date of change. </t>
  </si>
  <si>
    <t xml:space="preserve">1)	Change the cap to 0.011538
2)	Change the rounding rule to nearest $50
3)	Correct the volumes for the employees who have elected above 60% of weekly salary</t>
  </si>
  <si>
    <t xml:space="preserve">Jambe Juice needs a new division created called 1598. </t>
  </si>
  <si>
    <t xml:space="preserve">Need to add a new division </t>
  </si>
  <si>
    <t xml:space="preserve">No separate rehire rule, all employees will have waiting period of first of the month following 60 days of active employment”. </t>
  </si>
  <si>
    <t xml:space="preserve">CHANGE THE ENROLLMENT WINDOW FOR EMPLOYEES TO ENROLL IN THEIR BENEFITS FROM 31 DAYS TO 60 DAYS </t>
  </si>
  <si>
    <t xml:space="preserve">To add 2 new departments 450 and 451 and should mimic same as of 103 and 105. </t>
  </si>
  <si>
    <t xml:space="preserve">Create a new Division – “Eligible for Mini Med” </t>
  </si>
  <si>
    <t xml:space="preserve">Age reduction in the setup is for age 70 it is 50%, this was provided incorrectly during implementation </t>
  </si>
  <si>
    <t xml:space="preserve">Turn on waiver reason required for medical plans. </t>
  </si>
  <si>
    <t xml:space="preserve">THIS IS FOR THE LEGAL SHIELD PLAN; INITIALLY WHEN THIS PLAN WAS SETUP IT WAS DONE TO INCLUDE INDIVIDUAL AND FAMILY PLAN.
THIS HAS BEEN UPDATED TO ONLY OFFER ONE LEGAL PLAN AND THE RATE IS $18.95
BELOW ARE THE RATES THAT NEED TO BE UPDATED IN THE SYSTEM: </t>
  </si>
  <si>
    <t xml:space="preserve">For all status changes, the effective date needs to be changed to first of the following month for all plans except for Childbirth which remains effective date of the event. </t>
  </si>
  <si>
    <t xml:space="preserve">PLEASE CREATE A NEW DEPARTMENT TITLED “ITLYNK”.  THIS DEPARTMENT IS ELIGIBLE FOR ALL PLANS. </t>
  </si>
  <si>
    <t xml:space="preserve">Voluntary Life Rates Changes and added Ad&amp;D Rate </t>
  </si>
  <si>
    <t xml:space="preserve">Child birth/Adoption: Child eligible for voluntary benefit of $10,000 = This coverage is only available if the employee has voluntary life coverage.
Marriage: Voluntary life benefit available to spouse newly eligible if the employee has coverage under this plan. The benefit is $10,000 increments, guarantee issue is capped at $50,000 and up to 100% of the employee’s benefit. The maximum benefit is capped at $250,000 and up to 100% of the employee’s benefit.
Qualifying events do not allow any benefit changes to existing amounts without EOI and approval from Mutual of Omaha.</t>
  </si>
  <si>
    <t xml:space="preserve">Rename the existing department with the name “BP” to Business Innovation Services
Create a new Department “Involta One” with eligibility similar to “Regular FT”</t>
  </si>
  <si>
    <t xml:space="preserve">Replace all links in the system from www.benefitspassport.com with www.benefitsjunction.com. 
Also, we need to update the email domains in the system: 
•	support@workforcejunction.com 
•	enrollmentsupport@workforcejunction.com
•	ibm.benefits@workforcejunction.com</t>
  </si>
  <si>
    <t xml:space="preserve">Change current Division name ALL Employees to – 0001 Deerfield Management Company
Create new Division – 0002 Deerfield Discovery &amp; Development, LLC</t>
  </si>
  <si>
    <t xml:space="preserve">kiranmai </t>
  </si>
  <si>
    <t xml:space="preserve">Update the rounding rule to round down 10K for the vol Life plan for the benefit and for the GI. </t>
  </si>
  <si>
    <t xml:space="preserve">Met with the Ahern Team to review their CLDD.  They asked for the following changes to be made.
Under Division – Please add DO NOT USE next to – COBRA, COBRA OTHERS &amp; COBRA Terminated
Under Department – Please add DO NOT USE or INACTIVATE THE FOLLOWING DEPARTMENTS
Hill/Ahern, Marquette, Frank PRK, Orlando, Rockford</t>
  </si>
  <si>
    <t xml:space="preserve">Change the names for the following department by adding “DO NOT USE” to the existing names
Hill/Ahern, Marquette, Frank PRK, Orlando, Rockford
Change the name for the Following Division by adding “DO NOT USE” to the existing names
COBRA, COBRA OTHERS &amp; COBRA Terminated</t>
  </si>
  <si>
    <t xml:space="preserve">For the Identity Theft plan, updated the employee contribution for the EE only tier for “Combined” plan to $25.90
Updated the Legal plan EE tier rate to $16.95</t>
  </si>
  <si>
    <t xml:space="preserve">If a new hire elects HDHP, the workflow should not show the FSA healthcare in the workflow. We also to find a way to prevent employee from electing the HDHP at OE if they are already enrolled in FSA healthcare. </t>
  </si>
  <si>
    <t xml:space="preserve">Change the set up to have plan dependency between HDHP and FSA HC.  IF enrolled in HDHP, then they do not see FSA HC. </t>
  </si>
  <si>
    <t xml:space="preserve">Added the new Department 9911 to all the plans and all the screens. </t>
  </si>
  <si>
    <t xml:space="preserve">Fiore requires SSN for all employees and dependents but some employees have entered their ITIN number in place of their SSN. So HR wants to add an inline note indicating ITIN numbers are not allowed. </t>
  </si>
  <si>
    <t xml:space="preserve">Added the 2 new Departments 112 and 119 to all the plans and all the screens. </t>
  </si>
  <si>
    <t xml:space="preserve">Updated rounding rule to "round up 10K" for benefits amounts and the GI. </t>
  </si>
  <si>
    <t xml:space="preserve">Effective 7/1/2019, the basic life age reduction schedule is being replaced. The new schedule: At age 75+, benefit reduces to 50%. </t>
  </si>
  <si>
    <t xml:space="preserve">All fields  on the personal tab should be locked and not allwed to be edited by the empoyee. Employee should only be allowed to update the following fields - Personal email, home phone, cell phone, marital status and marital status effective date. </t>
  </si>
  <si>
    <t xml:space="preserve">Added the 2 new Classes  ProfessionaL 0.85 and Staff 0.85 to all the plans and all the screens. </t>
  </si>
  <si>
    <t xml:space="preserve">Add new departments
105, 123. 122, 460
All the departments are eligible for all the benefits.</t>
  </si>
  <si>
    <t xml:space="preserve">We have removed the age reduction setup because client wants reduction to be happen on Plan Anniversary (1/1)and not on Birthday. Since we do not have this functionality on our system we need to do this manually before the OE is started. (Passive Upload for the impacted records with reduced amounts OE effective date)
Employee: At age 65 - 35%, 70 - 55% and 75 - 75%
Spouse: At age 65 - 35% and 70 - 100%</t>
  </si>
  <si>
    <t xml:space="preserve">Add following departments which should be eligible for all plans :
TSS
Triangle
Evergreen
EOC</t>
  </si>
  <si>
    <t xml:space="preserve">Create a new class name ‘Employee ER LTD Eligible’. This class should match the Employee class except for  ER LTD needs to be add instead of the voluntary LTD.
Then, move Mary, ID 377607194, to the new class effective 1/1/2019. Enroll her in the same benefits and add the ER LTD plan.</t>
  </si>
  <si>
    <t xml:space="preserve">STD plans - Company Paid STD Plan 1 and Company Paid STD Plan 2 rate changed to .53 per $10.00 of coverage from 12/1/2018 to 11/30/2019.
Voluntary Life plans - Voluntary Life and AD&amp;D Plan 1 and Voluntary Life and AD&amp;D Plan 2 Child rate has been updated to 0.197 for the Dec 2018 to Nov 2019 period.</t>
  </si>
  <si>
    <t xml:space="preserve">Part of the ACA rules are that if an employee is currently enrolled in a medical plan and transition from FT to PT the employer must offer the employee medical coverage for 90 days.  If the employee works more than 30 hours in one week they must extend the medical plan for an additional amount of time.  This will be manually handled by the client.  </t>
  </si>
  <si>
    <t xml:space="preserve">We should delete/remove al the pending EOIs older than 90 days and then after OE, do an audit on multiple EOIs and remove the older EOIs and keep the latest. 
Remove the EOI's older than 90 days can be a system functionality. Add this to the backlog. Audit after Oe will be a task as part OE finalization</t>
  </si>
  <si>
    <t xml:space="preserve">Added the new Location " The Views Holding".This new location is the exactly the same as Meadowview with the same rates and contribution schedule.
We have removed - 1) "Wellmark CompleteBlue Silver 2800 HMO and Wellmark CompleteBlue Silver 2800 PPO" for the location Jersey ridge.
2)  "Wellmark CompleteBlue Silver 4000 HMO, Wellmark SimplyBlue Bronze 5500 HMO and Wellmark Complete Blue 4000 Silver PPO" for the locations Aspen Heights &amp; Bavarian Meadows.
3) "Wellmark SimplyBlue Bronze 5500 HMO" for the location Blair house and Rosebush and added ""Wellmark SimplyBlue Bronze 5500 PPO". 
</t>
  </si>
  <si>
    <t xml:space="preserve">Employee changed their PCP in our system but noticed this didn’t get updated with the carrier. Found out that while the PCP feature is on for dental, we are not sending PCP to the carrier. This is causing a confusion and needs to be corrected. </t>
  </si>
  <si>
    <t xml:space="preserve">Add new departments
127,134,340,449
All the departments are eligible for all the benefits.</t>
  </si>
  <si>
    <r>
      <t>Change Dental plan's overage rule to "</t>
    </r>
    <r>
      <rPr>
        <i/>
        <family val="2"/>
        <scheme val="minor"/>
        <sz val="11"/>
        <rFont val="Calibri"/>
      </rPr>
      <t>First of the Month following the 26th Birthday"</t>
    </r>
  </si>
  <si>
    <t xml:space="preserve">Iowa City Community School District (ICCSD) has adopted a new payroll system (eFinance, from
PowerSchool.) Some changes have been requested by the client to align the benefits administration
system, data and processes with the new payroll system.</t>
  </si>
  <si>
    <t xml:space="preserve">1.	Change the plan set up to make these classes not eligible for summer checks
2.	Change the plan set up for m/d/v  to make the rates based on class and update the new 19 based rate for employees in these classes
3.	Create another plan year for DC and update the DC numbers based on 19 pay period
4.	FSA- There are 25 employees enrolled in HC and 2 in Dep care. These employees will see incorrect per paycheck. All the new hires no issues because the remaining pay period are only 19 starting 9/1
5.	Vol Life update the information section to show the formula to calculate the premium
6.	Change the pay cycle for all the employees in this class to twice per month
7.	Add the new hires
</t>
  </si>
  <si>
    <t xml:space="preserve">TSS acquired two additional business entities earlier this year, named Evergreen, and EOC One,
with approximately 50 and 40 employees respectively. The employees of Evergreen and EOC One
will be offered the employee benefit program of TSS effective October 1, 2019. TSS would like to
have these employees also use Benefits Junction for enrollment, starting with the ‘Open
Enrollment’ of these employees into the TSS benefit program.</t>
  </si>
  <si>
    <t xml:space="preserve">We need to set up an open enrollment for Evergreen and EOC One. OE dates September 10th – 17th with benefits effective 10/1/2019. These employee don’t know that TSS bought them, so we need to remove all TSS branding. </t>
  </si>
  <si>
    <t xml:space="preserve">Employee questioned the client group number to fill out his EOI with SunLife. Voluntary Life is with Mutual Of Omaha. The EOI link text was correct but it was still linked to SunLIfe. Denna corrected the link but we still need to update client ID in the EOI message. </t>
  </si>
  <si>
    <t xml:space="preserve">Per Kelsea at Ahern all employees should receive the Welcome Letter.  All employees receive Legal Shield and will get the buy up option for PTO during open enrollment.   Once this has been set up can you please trigger the welcome letter to be sent to Josh Eveland.  He has not received the Welcome Letter only reminders.
</t>
  </si>
  <si>
    <t xml:space="preserve">Broker changed from TrueNorth to Holmes Murphy. </t>
  </si>
  <si>
    <t xml:space="preserve">Please change the support email address to support@workforcejunction.com . Change the contact number to 877-582-8165. Also, any reference to TrueNorth in the system and touchpoint should be changed to Holmes Murphy. </t>
  </si>
  <si>
    <r>
      <t xml:space="preserve">To create a new class, </t>
    </r>
    <r>
      <rPr>
        <b/>
        <family val="2"/>
        <scheme val="minor"/>
        <sz val="11"/>
        <rFont val="Calibri"/>
      </rPr>
      <t>Part Time COBRA</t>
    </r>
    <r>
      <rPr>
        <family val="2"/>
        <scheme val="minor"/>
        <sz val="11"/>
        <rFont val="Calibri"/>
      </rPr>
      <t>, and make it eligible for Medical, Dental, Vision, and FSA HC. The ee is not termed and need to be enrolled in COBRA.</t>
    </r>
  </si>
  <si>
    <t xml:space="preserve">The following Locations are having plan and rate changes effective 11/01/2019.  New Hampton, New Homestead/Winslow, Elkader/Great River, Edgewood, STL Care Centers.  </t>
  </si>
  <si>
    <t xml:space="preserve">Client required notifications on Pending Transaction </t>
  </si>
  <si>
    <t xml:space="preserve">On the enrollment screen for Voluntary Short-Term Disability please add this language as an alert:
Your Voluntary Disability benefit through Mutual of Omaha will be off-set by any other Disability plan you may have outside of Acme.</t>
  </si>
  <si>
    <t xml:space="preserve">HR has employees that live in location that are underliverable by USPS or use temporary address and because of this they receive a lot of returned ID cards. Most employees are entering their home address, not their mailing address.  </t>
  </si>
  <si>
    <t xml:space="preserve">Created a pending transaction alert with the following: 
Alexandra Flick – aflick@stellarindustries.com
Pam Jones – pjones@stellarindustries.com
Subject: New Pending Item to Review!
Body: Dear Admin,
You have a new pending item to review. Please login into the system to approve or reject this pending transaction.</t>
  </si>
  <si>
    <t xml:space="preserve">BAAS team noticed billing discrepancies regarding retro rule which required carrier confirmation. </t>
  </si>
  <si>
    <t xml:space="preserve">2 Locations names are changed </t>
  </si>
  <si>
    <t xml:space="preserve">Create the new class Officers set up the benefits as indicated above.
Change the class for the 3  employees to Officers effective 10/1/2019</t>
  </si>
  <si>
    <t xml:space="preserve">Broker noticed some employees were still receiving the Basic Life capped at $100K but employees hired after 1/1/2019 should be capped at $50K. New classes were created for this but we found out the client was not sending the new classes. </t>
  </si>
  <si>
    <t xml:space="preserve">Lincoln was confirming an employee’s work location and HR/Broker found out the home locations was reported instead of the work locations. We’ve ask Upfield to start sending us the work location for Location (cldd) in our system but we need to correct the current work locations in the system.  </t>
  </si>
  <si>
    <t xml:space="preserve">Per carrier Principal we need to send over the full Volume and not the reduced volume for Principal Plans.
Please remove all Principal Plans that have age reduction set up.</t>
  </si>
  <si>
    <t xml:space="preserve">The following Locations are having plan and rate changes effective 01/01/2020.
HCI/ ALP/Diversacre /Wellington Place/Ridgeview/Evans/Meadoview/The views of Marion.
Added 4 new medical plans effective 1/1/2020 and eligibility updated as per the grid and 2 plans are getting termed effective 1/1/2020.
Location "Wellington place" No change in plan and have rate changes.</t>
  </si>
  <si>
    <t xml:space="preserve">The following Locations are having plan and rate changes effective 01/01/2020.
HCI/ ALP/Diversacre /Wellington Place/Ridgeview/Evans/Meadoview/The views of Marion.</t>
  </si>
  <si>
    <t xml:space="preserve">BAAS Team found a mismatch in premium for the Basic Life/AD&amp;D. Jennifer confirmed the rates have changed effective 10/1/19. </t>
  </si>
  <si>
    <t xml:space="preserve">Due to billing discrepancies we found out the employees cannot make changes at any time to CI plan. They can make changes only through status change or OE. Critical Illness is currently set up as editable at any time. </t>
  </si>
  <si>
    <r>
      <t xml:space="preserve">Please create new departments which should be eligible for all plans:
</t>
    </r>
    <r>
      <rPr>
        <i/>
        <family val="2"/>
        <scheme val="minor"/>
        <sz val="11"/>
        <rFont val="Calibri"/>
      </rPr>
      <t xml:space="preserve">Network Operations
PolyOne
DC Network</t>
    </r>
  </si>
  <si>
    <t xml:space="preserve">We should update the flat amount of $776.01 for all tiers for both the BRMS plans under the EE premium column in the invoice rate structure. Our current rate structure do not have all the components that they have indicated. Because of this, we are unable to save the rate in the structure provided. However, what matters is the total premium for each employee. Just updating the total amount in the EE premium column will be sufficient. </t>
  </si>
  <si>
    <t xml:space="preserve">In review of FSA discrepancies, we found out from the client that when EEs move to LOA w/o benefits class, they keep the FSA active unless the employee request to terminate the benefit. </t>
  </si>
  <si>
    <t xml:space="preserve">Lincoln confirmed how the Dep Life for Basic Life should be processed but we missed it. The broker caught this and had us reconcile the dep life back to 1/1/19. Instead of billing per dep, we should be billing per family unit. So if the EE has 1, 2, or 3 deps, it’s only 1 family unit that we should be billing. </t>
  </si>
  <si>
    <t xml:space="preserve">For Basic Life and AD&amp;D - $25k, instead of billing per dependent we should be billing per family unit. So the number of deps doesn’t matter. If the ee has 1 dep or 4 deps, we should be billing per family unit of $1.58.
Update the invoice set up to have $1.58 for dependents. Instead of spouse and per child. Changes you make is Delete the entry for spoue and Per child add $1.58 and choose Dependents</t>
  </si>
  <si>
    <t xml:space="preserve">Please add the following departments: FP&amp;A, Finance, Private Cloud Services, Kent, Public Cloud Services, Architecture &amp; Orchestration, NOC, SOC, Legal, Strategic Accounts, Human Resources, Vendor Management, Consulting &amp; Hybrid Services, Strategic Verticals, Strategic Consulting, and Accounting </t>
  </si>
  <si>
    <t xml:space="preserve">Please create a pending transation notification for benefits@acmetruck.com. 
Subject: New Pending Item to Review!
Email: Dear Admin,
You have a new pending item to review. Please login into the system to approve or reject this pending transaction.</t>
  </si>
  <si>
    <t xml:space="preserve">Received updated rates for Jersey Ridge renewal – effective 3/1/2020 </t>
  </si>
  <si>
    <t xml:space="preserve">Please enable the electronic consent going forward for new hires.
We have added a new Electronic disclosure for 1/1/2020 for New hire and registered employees on the first login.</t>
  </si>
  <si>
    <t xml:space="preserve">New Locations to be added – Fort Madison and Montrose.  Same medical plans but different rates.  
Plans - Basic Life $10,000 Plan, Voluntary Dental, Voluntary Vision, Voluntary Life, Voluntary STD, Flex, Allstate Plans, Medical. Please see linked Grid for details</t>
  </si>
  <si>
    <t xml:space="preserve">Client is using a new HRIS system and we need to add new departments in our system. </t>
  </si>
  <si>
    <t xml:space="preserve">New departments to be added in the system: 
Facilities
Manufacturing
Sales
HR
IT
R&amp;D</t>
  </si>
  <si>
    <t xml:space="preserve">An employee’s salary was decreased and we found out that the system will not auto adjust the coverage for the voluntary LTD and we found out that the rounding rule should be rounding up to the nearest $100. SunLife confirmed this EE should be capped at $2000. </t>
  </si>
  <si>
    <t xml:space="preserve">Per Pratyush’s confirmation, please update the Medical - Traditional plan EE only to reflect $441.28 so the DC credit reflects $21.
(We have updated the rate to 478.05 after doing the calculations for 24 deductions).</t>
  </si>
  <si>
    <t xml:space="preserve">Wellmark is allowing FT unmarried students to remain on the plan. TrueNorth/Involta will track FT students’ marital status. Non-FT students lose coverage at the end of the month that they turn 26. We need to set up a minimum age limit for Involta. </t>
  </si>
  <si>
    <t xml:space="preserve">Data Integration is working a new carrier file for Involta. They found out from Lincoln that LTD is divided into two Class: Officers and All Other FT. Jennifer provided the list of officers but there is no way to map with our current CLDD offering. So we need to create a new class “Regular Full Time Officer”.  Involta will add this class in Paylocity and update officers in Palocity with the new class so it flows over to our system thru the demographic file. </t>
  </si>
  <si>
    <t xml:space="preserve">Reduction is based on employee age and the spouse ages for reductions match as follows: Reduce by 35% at age 65 Reduce an additional 25% at age 70 Reduce an additional 15% at age 75 Reduce an additional 10% at age 80 
EEID: 1408, we corrected the spouse voluntary life coverage in the system to the original volume.</t>
  </si>
  <si>
    <t xml:space="preserve">The changes made at open enrollment. If they didn’t have coverage, it should be $0. If they did have coverage and added/removed dependents or increased their benefits, that change should be reversed. 
New Enrollment setup for Status Changes are unchecked because the employee shouldn’t be able to enroll in the CI outside of the newhire period. If the employee is enrolled, and has a qualifying event to add spouse/child, they should be allowed to add the spouse/child within 30 days.</t>
  </si>
  <si>
    <t xml:space="preserve">All Demographic Fields are turned off for employees to update.
*Fields Employee cannot update:
First Name
Middle Name
Last Name
SSN
Date of Birth
Gender
Address
City
State
Zip</t>
  </si>
  <si>
    <t xml:space="preserve">In Employee login Personal Info the following fields are editable by employee - Personal Email
Home Phone
Mobile Phone
Marital Status
Marital Status Effective Date
Number of Children</t>
  </si>
  <si>
    <t xml:space="preserve">Update the Invoice set up as per CRF in #200431for all the Medical Plans.
The sum of Specific stop loss and Aggregae stop loss should be  added under Stop less.
And Claim Admin values under Admin Fee column.
The Benefit company commission and data analytics are not added in the system, they will be handled manually by A&amp;R Team.</t>
  </si>
  <si>
    <t xml:space="preserve">Updated the age reduction set up for Voluntary Life for both Employee and Spouse.
Benefits will reduce by 35% at age 65 and by 50% at age 70.</t>
  </si>
  <si>
    <t xml:space="preserve">Since the rate is Flat $3.27 per unit, we don’t need benefit percentage and weekly maximum benefit. Since we cannot have the setup without these options we have updated the dummy setup to capture premiums in invoice. </t>
  </si>
  <si>
    <t xml:space="preserve">The rule doesn’t take into account the dependence on EE’s coverage. </t>
  </si>
  <si>
    <t xml:space="preserve">Update the Invoice set up as below for all the Medical Plans
The sum of Specific stop loss and Aggregae stop loss should be  enerd under Stop less
The sum of  other 3, the claim admin, the Benefit company commission and data analytics to be entered as admin fee
</t>
  </si>
  <si>
    <t xml:space="preserve">Two new locations need to be added to Benefits Junction. Please add the following
ACC - Cactus and Cave Creek &amp; LVT - Las Vegas Tropicana.
</t>
  </si>
  <si>
    <t xml:space="preserve">Add the below two new locations to the system and update al the screens
ACC - Cactus and Cave Creek
LVT - Las Vegas Tropicana
</t>
  </si>
  <si>
    <t xml:space="preserve">Acquisition of a new Location and changing a division number and adding 3 divisons.  New Location is GA – 6, All the new employees coming on effective 08/03/2020 will be added to location GA - 6 They will also be added to one of the following divisions (that are new to WFJ): 
•	35 - Douglas GA
•	36 - Albany GA
•	37 - Valdosta GA*
The waiting period for this division for the acquisition employees should be set to DOH.  Employee will be effective 08/03/2020.  They want employees to be able to begin enrolling in their benefits next week, so they receive their cards before coverage begins.  All Rates and Contributions are the same as all other Divisions
See updated Grid attached to the Ticket as well.
</t>
  </si>
  <si>
    <t xml:space="preserve">Add a New Location 
   GA- 6
Add 3 new Divisions
   35 - Douglas GA
   36 - Albany GA
   37 - Valdosta GA
Rename 
   37- Charleston Parts to 99 - Charleston Parts
This is an acquisation and there are new employees that wil be added to the system. These new employees must be loaded with DOH eligibility. We will have to set up the waiting period by location and set up DOH eligibility for GA-6 for now. Later after all the new hires are loaded we can change the waiting period to match with other locations. 
</t>
  </si>
  <si>
    <t xml:space="preserve">1.Create a new Class “Workers Comp LOA” 
2. This Class will not be eligible for any benefits.
We are uing class for this because, when the ee returns from leave, the ee should have date of return eligibility. That is possible in the class because the class rules are set up with no waiting period. 
Employee Mike Nelson is currently terminated. The hr terminated this employee because this class did not exist. We should reverse his termination and change his class to workers comp LOA effective 6/9/2020. Also inform EDI that this employee was termed by hr in error and he should have been termed from benefits due to be on leave instead of employment termination. They should let the cobra vendor know that this was reported as employment termination, however it is a benefits termination due to LOA</t>
  </si>
  <si>
    <t xml:space="preserve">1. Create Affirmative election plan to come up right after H S A with the name HSA Account Set Up 2. The Information section should have the below text Involta offers all employees the option of using either Optum Bank or their own bank for health savings accounts.
Whether you choose to have payroll deductions or will make contributions through another method, you will need to have an account established 
3. Question to ask: Please select Yes if is you wish to open an account with Optum Bank. Select No if you prefer to use a different bank or wish not to contribute at this time
 4. Set up Plan Dependency such a way that,the plan will be presented to employees enrolled in the below two HDHP plans Plan 3 - $3000 Deductible Plan 4 - $5000 Deductible
 5. Inform EDI after the set up is completed.
6. We need to set the HSA question to yes for the employees that don't have data listed in Column K. Spreadsheet: https://appriver3651007094.sharepoint.com/:x:/g/EayiDufAYCpPmUoDVavdiasB3cweUO3BauMW5R-K_TQjgA?e=CsqEms
</t>
  </si>
  <si>
    <t xml:space="preserve">Two new locations need to be added to Benefits Junction. Please add the following
ACC - Cactus and Cave Creek &amp; LVT - Las Vegas Tropicana.
Add Additonal Location as indicated below in the solution
</t>
  </si>
  <si>
    <t xml:space="preserve">Add the below two new locations to the system and update al the screens
ACC - Cactus and Cave Creek
LVT - Las Vegas Tropicana
Add the below additional locations in the system
AZW - Tempe
CAG - Glendora
CLR - Ladera Ranch
C11
FBR - Boca Raton
FHC - Orlando
FLT - Tampa
FTT - Sarasota
FWE - Wellington
FWL - Tampa
LBD - Las Vegas
LCC - North Las Vegas
LND - Las Vegas
UTB - Bountiful
UTO - Orem
UTR - Roy
UTS - Murray
UTV - Taylorsville
CFL - Tampa
</t>
  </si>
  <si>
    <t xml:space="preserve">Create a new class PRN to Physician. 
The new class is eligible for all the benefits as Physicians
The class change rule for this class is FOMF 60 days with coinciding from change date
</t>
  </si>
  <si>
    <t xml:space="preserve">Updated the plan set up to have waiting period based on classes 
For the class “ Executive” the new hire and rehire  waiting period is first of the month following 30 days from DOH 
For the rest of the class the new hire waiting period remain as it is today first of the month following 60 days with coinciding
</t>
  </si>
  <si>
    <t xml:space="preserve">Shape​Plan renewal – need to update configuration for Penn Place &amp; The Gardens based on grid provided by Rikki. Rikki is still entering the rates. So only plan names need to be updated. Changes are highlight in red: https://appriver3651007094.sharepoint.com/:x:/g/EW9e5wk0BwxOlQGkSDZde7wBkflofvW4i1lTAfa3DJ83bg?e=ZaqmKP​ </t>
  </si>
  <si>
    <t xml:space="preserve">With this CRF we have updated the following –
1.	Added Locations The Gardens and Penn Place in Wellmark SimplyBlue Bronze 6000 HMO plan From 9/1/2020.
2.	Added new plan Wellmark myBlue HDHP Gold 4500 which starts from 9/1/2020 and has only Penn Place location in it.
3.	Wellmark $3000 PPO plan had Penn Place location in it, we have removed this location from 9/1/2020.
4.	We have removed Penn Place and The Gardens locations from Wellmark Simply Blue Bronze 5500 HMO plan starting from 9/1/2020.
**The locations The Gardens and Penn Place were already present in Wellmark Complete Blue Silver 4000 HMO plan.
</t>
  </si>
  <si>
    <t xml:space="preserve">Partner confirmed that Blue Shield changed its contract last year (and BenefitsJunction updated its system) as this has come up before. Coverage runs to the end of the month for life insurance. </t>
  </si>
  <si>
    <t xml:space="preserve">Please update the termination rules for Basic Life to Last day of month following date of termination (see screenshot below) and correct Erik Remoy’s record, EE ID: A788. </t>
  </si>
  <si>
    <t xml:space="preserve">ADP required ADP Position ID on the file.  The client is already using the EEID field and we need to create a new custom field “ADP Position ID Number” and upload the file with the ADP Position ID Numbers into Benefits Junction. </t>
  </si>
  <si>
    <t xml:space="preserve">Update the rate for Vol Life and Dental plans as per the rate sheet attached in the same conversation 214525 
The rates that need to be changed are in red font. Look in the ’ Medical Dental and Vision’ tab for the dental rate correction and in the ‘Voluntary Life ADD ‘ tab for the corrected rates for the Voluntary Life plan. </t>
  </si>
  <si>
    <t xml:space="preserve">CMTi </t>
  </si>
  <si>
    <t xml:space="preserve">Previously the carrier did not want us to apply the Age Reduction. They wanted us to provide the full amount and they would do the age reduction on their end.  EDI Team received an email that we need to now pass the approved amount.  Please apply the following Age Reduction confirmed with the client on the ticket.
We are currently setting up their OE for 10/01/2020.  The changes fees should be part of the OE fees.
</t>
  </si>
  <si>
    <t xml:space="preserve">Add the age reduction schedule for Employee for Basic Life
Benefit reduce to 65% at age 65
Benefit reduce to 50% at age 70
Add the age reduction schedule for Vol Life and ADD plan for both Employee and Spouse
Benefit reduce to 65% at age 65
Benefit reduce to 50% at age 70
</t>
  </si>
  <si>
    <t xml:space="preserve">1. Create a new class by the name “LOA with Medical Dental Vision” 
2. Change the class of this employee  040568- Sankaranarayanan, Selvakannan to “LOA with Medical Dental Vision” effective 9/16/2020. 
3. Rename the current “LOA with benefits” to “LOA with Medical”</t>
  </si>
  <si>
    <t xml:space="preserve">Update the LTD rate to 0.242 per covered payroll. It was communicated incorrectly to us at the time implementation. </t>
  </si>
  <si>
    <t xml:space="preserve">Create new plans with age rated premium for Medical
Load the enrollment to the new plans with the current coverage effective the current effective date on the system to the new plans.  Old plans are terminated effective 10/1/2020</t>
  </si>
  <si>
    <t xml:space="preserve">Overage Dependent rule for Medical, Dental and Vision should be changed from 26th birthdate to the “End of the month following 26th birthdate” </t>
  </si>
  <si>
    <t xml:space="preserve">Add a PRN eligible class and make the class eligible for Medical plans
The class change effective date rule should be data of class change
</t>
  </si>
  <si>
    <t xml:space="preserve">1.	Add a PRN eligible class and make the class eligible for Medical plans
2.	The waiting period for this new class should be data of class change
3.	The termination rule for this class is last day of the month following date of termination
</t>
  </si>
  <si>
    <t xml:space="preserve">November </t>
  </si>
  <si>
    <t xml:space="preserve">Homestead Hospice acquired a new location which has to be active and available for all the location as well </t>
  </si>
  <si>
    <t xml:space="preserve">The  new location need to be added to Benefits Junction. Please add the following . UPC – west Jordan Plaza Center Add Additional Location as indicated below in the solution </t>
  </si>
  <si>
    <t xml:space="preserve">Add the below the new location to the system and update at the screen UPC- west Jordon Plaza Center Add the below additional location in the system </t>
  </si>
  <si>
    <t xml:space="preserve">Create two Dental plans 
Retiree Dental ACH 
Retiree Dental Paper 
Only the Retired A and Retired B Locations will be eligible for these two plans. These two locations are only eligible for these two Dental plans and not the regular Dental plan. </t>
  </si>
  <si>
    <t xml:space="preserve">Update the Over age dependent rule so that the benefit end as of the 26th birthday for the dependents for all the plans. </t>
  </si>
  <si>
    <t xml:space="preserve">Updated the salary change rule for both the Voluntary plans in the system such a way that there is no eoi required for benefit increases due to salary. </t>
  </si>
  <si>
    <t xml:space="preserve">Currently, the age-band anniversary is set to Birthday but the carrier confirmed it should update on the plan anniversary. Please update the plan so the age-band anniversary is to plan anniversary. </t>
  </si>
  <si>
    <t xml:space="preserve">Beginning 01/01/2021 when an employee is terminated or moved to a non-benefit eligible class all benefits should term on date of termination or Date of CLDD change. 
This was part of OE changes, but we wanted to wait until OE was complete and files were sent to make the update for the new plan year.</t>
  </si>
  <si>
    <t xml:space="preserve">December </t>
  </si>
  <si>
    <t xml:space="preserve">Cottingham &amp; Buttler </t>
  </si>
  <si>
    <t xml:space="preserve">Kiranmai </t>
  </si>
  <si>
    <t xml:space="preserve">Update the premium rate to $874.65 for the Medical Plan </t>
  </si>
  <si>
    <t xml:space="preserve">QLE Rules update </t>
  </si>
  <si>
    <t xml:space="preserve">Adding a new location Summit Pointe with new plans for medical, dental, vision, and basic life. </t>
  </si>
  <si>
    <t xml:space="preserve">Nischith </t>
  </si>
  <si>
    <t xml:space="preserve">For the CHUBB voluntary Plans over age dependent termination date needs to be changed to end of the month following the 26th birthdate.
Critical Illness
Accident
Hospital Indemnity</t>
  </si>
  <si>
    <t xml:space="preserve">Update the Over age dependent rule to end of the month following the 26th birthday for the following plans
Critical Illness
Accident
Hospital Indemnity
</t>
  </si>
  <si>
    <t xml:space="preserve">January </t>
  </si>
  <si>
    <t xml:space="preserve">Client </t>
  </si>
  <si>
    <t xml:space="preserve">We found out that there’s subset of employees in Florida that require a Florida PPO plan. We need to add a new location ‘Sarasota’ so EDI can map the plan to this location. HR will be responsible of moving employees to this location.  </t>
  </si>
  <si>
    <t xml:space="preserve">Create the new location ‘Sarasota” and set up eligibility same as All Employees.  EDI will map the employees in Sarosota with a different code in EDI file. 
</t>
  </si>
  <si>
    <t xml:space="preserve">When employees move to the Retired location, Wellmark needs to the medical effective date updated to reflect this change as well. Similar to the dental issue recently, we need to create a retired medical plan to capture effective date change. 
This is coming up because employees were moved to RET B as of 1/1/2021 but we’re still sending the original effective date because there wasn’t a change to the medical plan. 
</t>
  </si>
  <si>
    <t xml:space="preserve">Added Medical plan Retiree Medical eligible for both Retired A and Retired B locations. </t>
  </si>
  <si>
    <t xml:space="preserve">Per the A&amp;R Audit looks like rates are off by one or 2 cents on the EE + spouse, EE + Children &amp; Family for the 2500 plan. </t>
  </si>
  <si>
    <t xml:space="preserve">Add the New department 360. Eligibility should match other departments.
</t>
  </si>
  <si>
    <t xml:space="preserve">Create a Leave of Absence status. 
Employees do go on leave of absence so to be able to indicate that on BenJ for payroll recon. 
</t>
  </si>
  <si>
    <t xml:space="preserve">Add a new class called “Leave of Absence with benefits”. The eligibility for this will be same as the Full time class.
</t>
  </si>
  <si>
    <t xml:space="preserve">Brightmark </t>
  </si>
  <si>
    <t xml:space="preserve">Dilip </t>
  </si>
  <si>
    <t xml:space="preserve">
New rates updated for the location Evans for the plan as per the CRF received.</t>
  </si>
  <si>
    <t xml:space="preserve">Shilpa </t>
  </si>
  <si>
    <t xml:space="preserve">Vision Deduction rates updated with Both EE and ER Share </t>
  </si>
  <si>
    <t xml:space="preserve">Rikki was initially not using the PT to FT status change on the system. Now Jen will be using it so we have to update the rules
PT to FT has a 60 day waiting period for all benefits, similar to new hires. Basic life should be auto-enrolled based on the waiting period. 
</t>
  </si>
  <si>
    <t xml:space="preserve">Update the Waiting Period for Class change to First of the month following 60 days from class eff date. This should be updated for all plans.
</t>
  </si>
  <si>
    <t xml:space="preserve">Add the New department 59. Eligibility should match other departments.
</t>
  </si>
  <si>
    <t xml:space="preserve">Upfield will be determining the employee’s years of services based on the Unum PEG mapping, and send us the PEG value that EDI will need to report to the carrier.  </t>
  </si>
  <si>
    <t xml:space="preserve">Update the rates for the Employer Paid STD Plan from $4.41 to $5.40 for the 2021 plan year.
</t>
  </si>
  <si>
    <t xml:space="preserve">A custom email was sent to employee’s using the Username tag, Upfield uses the SSN as the username, and because of this we emailed SSNs insecurely to employees. 
</t>
  </si>
  <si>
    <t xml:space="preserve">•Updated the Username format to Upfield_(Employee ID#). 
•Updated all system message that references username. See attached WFJ Upfield Employee Alerts. 
•Resent the ACA email using the attached Upfield ACA Email-RF 
•Created a tile on the touchpoint page for login help that opens a touchpoint page.</t>
  </si>
  <si>
    <t xml:space="preserve">A new department has come over one the demographic feed.  Please add the following departments:
•	Avient
•	HBK
Eligibility should match the other departments. 
</t>
  </si>
  <si>
    <t xml:space="preserve">There is an exception set up for a some of the BME Polyfuel employees.  Currently there are six employees that are Polyfuel employees.  However, they receive the LTD 1 plan which is for Brightmark employees only.  They appear on all carrier files as Brightmark employees.
We need to identify these employees so our Billing Team can identify these employees and include these employees under the BME Polyfuel reconciliation as BME Polyfuel is responsible to pay for these employees benefits on all carrier files.
Muniraju has a process to identify these employees on the demographic import file.  Instead of putting them in the Brightmark LLC Class he will put them under the BME Polyfuel LTD1 Class.
</t>
  </si>
  <si>
    <t xml:space="preserve">February </t>
  </si>
  <si>
    <t xml:space="preserve">We have changed the location name from UPC-West Jordan to UWJ- West Jordan </t>
  </si>
  <si>
    <t xml:space="preserve">Renaming the Polyfuel Classes to Brightmark Plastics Renewal Services LLC per legal name change of company
2.  Rename the new class for the special employees that get the LTD1 Benefits - new call name should be - Brightmark Plastics Renewal Services LLC LTD1
3. Effective anyone hired on or after 3/1 Benefits are no longer Date of Hire - changed to First of the month or coinciding Date of Hire
4. Effective anyone who is terminated on or after 3/1 Benefits will terminate at the end of the month following termination date
2.	we need to add the Special Events for FSA Health Care, FSA Dependent Care - Employees can elect, make changes or cancel their accounts without a QLE - please add the "Special Event" to the list of Status Changes.</t>
  </si>
  <si>
    <t xml:space="preserve">1.	Rename the Classes.
Rename the below listed classes to 
a)	BME Polyfuel Services LLC - Full Time
b)	BME Polyfuel Services LLC - Full Time LOA
c)	BME Polyfuel Services LLC - Part Time
d)	BME Polyfuel LTD 1
The ones listed below.
a)	Brightmark Plastics Renewal Services LLC - Full Time
b)	Brightmark Plastics Renewal Services LLC - Full Time LOA
c)	Brightmark Plastics Renewal Services LLC - Part Time
d)	Brightmark Plastics Renewal Services LLC - LTD 1
2.	Effective Date Rule changes
o	Effective 3/1/2021, the waiting period for all the benefits will be FOMF data of hire.
o	Effective 3/1/2021, the termination rule when the benefits will terminate for all the benefits will be  end of the month following date of termination. 
3.	Enable Special events for FSA plans.
o	Add the “Special Events” status change for FSA Health Care, FSA Dependent Care - Employees can elect, make changes or cancel their accounts without a QLE 
</t>
  </si>
  <si>
    <t xml:space="preserve">Ahern </t>
  </si>
  <si>
    <t xml:space="preserve">Per the IRS 969 - page 3 Qualifying for an HSA To be an eligible individual and qualify for an HSA, you must meet the following requirements.
•	You are covered under a high deductible health plan (HDHP), described later, on the first day of the month.
Please have Benefits junction updated for the HSA contribution to always be First of the month.  New hires are effective date of hire for benefits, but the HSA should be effective FOM following hire date.
</t>
  </si>
  <si>
    <t xml:space="preserve">Please proceed with having the voluntary plans through Standard Insurance CI, AP, and HI policies effective the first day after the 30 day waiting period. </t>
  </si>
  <si>
    <t xml:space="preserve">For the below plans update the New hire waiting period to 30 day following date of hire. The carrier rule is first day after the 30-day waiting period.  If the above rule doesn’t satisfy the requirement, please adjust the number of days. 
Group Hospital Indemnity 
Accident Protection Plan 
Group Voluntary Critical Illness </t>
  </si>
  <si>
    <t xml:space="preserve">on a call with Unum and Upfield, that the New Jersey employees are also eligible for the ASO STD. Currently, we have two STD plans: Employer Paid STD Plan and Employer Paid STD Plan – NJ. Employees in location New Jersey are only showing eligibility for Employer Paid STD Plan – NJ. It turns out, they should be enrolled in both plans. We need to update the system so New Jersey EEs are enrolled in both plans.  </t>
  </si>
  <si>
    <t xml:space="preserve">Employees in NJ location are eligible for both regular STD and the New Jersey (NJ) STD plan. 
1.Set up a custom STD plan for the NJ STD plan- name the plan as Employer Paid STD Plan – NJ. Use the rates and benefits and rules form the current Employer Paid STD Plan
2.Set up default enrollment for this plan and make the plan eligible only for NJ employees.
3.Update the regular STD plan- Employer Paid STD Plan with eligibility for NJ employees as well.
4.Ensure that all the Employees in NJ are auto enrolled to the new custom plan and the regular STD plan
</t>
  </si>
  <si>
    <t xml:space="preserve">March </t>
  </si>
  <si>
    <t xml:space="preserve">We have added New Location Tech Services and made it eligible </t>
  </si>
  <si>
    <t xml:space="preserve">Updated the LTD plans rounding rule to Round down to the nearest dollar. </t>
  </si>
  <si>
    <t xml:space="preserve">Pratyush </t>
  </si>
  <si>
    <t xml:space="preserve">We have added new location and made it eligible </t>
  </si>
  <si>
    <t xml:space="preserve">Due to a limitation in the system, we had not setup Custom Payroll for Clients with Defined Contribution Setup. With the recent development, now we have option to update Custom Payroll setup for plans which are not in DC setup of the client. 
Request is to setup Custom Payroll and update the Rates for the following plans to the actual values – Basic Life, Long-Term Disability, Voluntary Life, and Voluntary AD&amp;D Plan. 
*No changes to Medical, Dental and Vision plans. </t>
  </si>
  <si>
    <t xml:space="preserve">Added Custom Payroll for the below mentioned Plan Types – Basic Life  
Long-Term Disability
Voluntary Life 
Voluntary AD&amp;D Plan 
Correct the Rates in plan setups for the above-mentioned plan types as per the Rate</t>
  </si>
  <si>
    <t xml:space="preserve">Update the Age band Anniversary for the Short-Term Disability plan to be Plan Anniversary. </t>
  </si>
  <si>
    <t xml:space="preserve">Updated the Age band Anniversary for the Short-Term Disability plan to be Plan Anniversary. </t>
  </si>
  <si>
    <t xml:space="preserve">Implementation documents stated M/D/V benefits all terminate on Date of Event. Per Dental and Vision carrier, employee termination or Coverage Termination due to QLE all end at the end of the month following termination date. </t>
  </si>
  <si>
    <t xml:space="preserve">Update the Termination rule for Employment termination to be FOMF the termination date for Dental and Vision. 
QLE rules for the event where there is a lose of coverage is already set up with FOMF rule.</t>
  </si>
  <si>
    <t xml:space="preserve">Need to create a new Department “NonTXFTemp” 
This Department needs to be set up for Medical with no HMO option.  
Please see Grid for plans eligible – they should match the OKFTemp Department</t>
  </si>
  <si>
    <t xml:space="preserve">Created a New Department “NonTXFTemp” with eligibility same as “OKFTemp”- Similar to OKFTemp- This department is not eligible for Medical HMO plan and the LTD plan 
Please see Grid for plans eligible – https://appriver3651007094.sharepoint.com/:x:/g/EcuRqiBf-pxEmIVKBjXREWABTTNS1bWnGEc3n2k18P49TA?e=N2BQeU </t>
  </si>
  <si>
    <t xml:space="preserve">When an employee has a “Class” change from Non Benefit Eligible to a class 1 – 10 the employee must wait the new hire waiting period before being eligible.  First of the Month Following or Coinciding with 59 Day(s) from Class Change Date 
If someone has a class change that goes from class 1- 10 to another 1 – 10 class that change is effective the date of the “Class Change” </t>
  </si>
  <si>
    <t xml:space="preserve">1.	We have renamed Class - Non Benefit Eligible to PT VH
2.	We have renamed Division – All Employee to FT Eligible and added new Divisions - VH Eligible and Non-Benefits Eligible.
3.	We have setup waiting period rules for Medical plan based on Division. When an employee has a “Division” change from Non-Benefit Eligible to FT Eligible the employee will wait the new hire waiting period before being eligible.  First of the Month Following or Coinciding with 59 Day(s) from Division Change Date.
If someone has a Division change that goes to VH Eligible that change is effective the date of the “Division Change date”
4.	For the employees who were in Class - Non Benefit Eligible (i.e. PT VH) we have changed their Division to Non-Benefit Eligible so that remain not eligible in benefits.
5.	A PT VH employee will always be Non-Benefits Eligible initially. After the ACA measurement tracking, if they become eligible then the division will be updated to VH Eligible and can enroll in Medical benefit. Their class will remain PT VH.</t>
  </si>
  <si>
    <t xml:space="preserve">There are a few employees at Hilldrup that are currently in class 5, that their annual salary is based on W2 earnings. Due to this salary requirement Guardian needs them to come over as a class 10 on the EDI file.  We need to create a class 10 which matches the same enrollments as Class 5.  There is no other way to identify them in class 5 and the EDI Team would know to send as a class 10. 
Also in talking to Russ about this he said you need to know this for the API set up that for class 10 employees their salary should not be updated throughout the year.  It will be handed manually prior to each open enrollment</t>
  </si>
  <si>
    <t xml:space="preserve">Created a new class “Class10” with eligibility to match class 5. 
Changed the class for the below 4 employees to class 10 eff 4/1/2021. 
Michael Sandell 
Amy McKinney 
Thomas Leachman 
Jeffrey Salaita 
Link to the updated Grid 
https://appriver3651007094.sharepoint.com/:x:/g/EfImBZURT3dPscHcOdFSm1IBf9PPMOz43jOanoD4iyQrOQ?e=dNpBc7 </t>
  </si>
  <si>
    <t xml:space="preserve">1. Please revert the status change period back to 31 days for all status changes that were updated due to the Covid19 Relief. HR will assist employees if they need to make changes beyond the 31-day period.  
2. For the voluntary life plan, please update the Marriage status to allow a new spouse to enroll up to the GI. Please enable this by checking the option for Initial eligibility apply GI rules? </t>
  </si>
  <si>
    <t xml:space="preserve">Update the Benefits change date for Status change rules for Medical, Dental and Vision  for the following status changes to effective First of the month following  Divorce,Over-Age Dependent ,Dependent Gained Employment/other Coverage </t>
  </si>
  <si>
    <t xml:space="preserve">Updated the Benefits change date for Status change rules for Medical, Dental and Vision  for the following status changes to effective First of the month following  Divorce,Over-Age Dependent ,Dependent Gained Employment/other Coverage </t>
  </si>
  <si>
    <t xml:space="preserve">Updated the benefits change date for all the plans for the below status changes to First of the month following QLE
•	Divorce
•	Dependent Gained Employment/other Coverage.  
 We have Kept Overage Dependent Rule as it is </t>
  </si>
  <si>
    <t xml:space="preserve">April </t>
  </si>
  <si>
    <t xml:space="preserve">Per client during implementation, they were not going to hire anyone outside of the locations that were added in the system.  However, Tiffany confirmed today they have decided they will continue to hire remote employees across all 50 states.  Please add the following Locations in Benefits Junction.
AL, AK, AR, CT, DE FL, GA, HI, ID, IL, IN, KS, KY, LA, ME, MD, MA, MN, MS, MO, MT, NE, NV, NH,  NM,  ND, OK, RI, SC, SD, TN, VT, WA, WV, WI, WY
Currently these states are already in Benefits Junction:  AZ, CA, CO, IA, IN, NC, NJ, NY, OH, OR, PA, TX, UT, VA, MI
</t>
  </si>
  <si>
    <t xml:space="preserve">We have added this location made it eligible </t>
  </si>
  <si>
    <t xml:space="preserve">Per client there is an Employer Contribution HSA for the employees. Employees who are enrolled in HDHP plan must get Limited FSA plan. </t>
  </si>
  <si>
    <t xml:space="preserve">It has been identified that the Critical Illness reduces by 50% at age 70 for Employee and Spouse. We will be needing to ensure that the plan rules are programmed accordingly. 
Critical Illness reduces by 50% at age 70 for Employee and Spouse. 
Age reduction occur on the 70th birthday. 
Spouse’s age is based on employee’s age.</t>
  </si>
  <si>
    <t xml:space="preserve">Critical Illness reduces by 50% at age 70 for Employee and Spouse. 
Age reduction occur on the 70th birthday. 
Spouse’s age is based on employee’s age.</t>
  </si>
  <si>
    <t xml:space="preserve"> updated the billing rule for Medical plans to the 15th rule.  
For addition choose the Full month premium if hired before the 16th of the month and for termination choose full month premium if terminated after 15th of the month</t>
  </si>
  <si>
    <t xml:space="preserve"> Updated the billing rule for Medical plans to the 15th rule.  
For addition choose the Full month premium if hired before the 16th of the month and for termination choose full month premium if terminated after 15th of the month</t>
  </si>
  <si>
    <t xml:space="preserve">Guardian confirmed the STD/LTD terminates date of termination. </t>
  </si>
  <si>
    <t xml:space="preserve">updated the Waiting Period Rules &amp; Termination Rules for Department to be effective date of department. </t>
  </si>
  <si>
    <t xml:space="preserve">May </t>
  </si>
  <si>
    <t xml:space="preserve">Please add a new department 691, which was reported in the demographic feed recently. Eligibility should match the other departments. </t>
  </si>
  <si>
    <t xml:space="preserve">Updated the New hire window for all the benefit to 90 days form Eligibility date </t>
  </si>
  <si>
    <t xml:space="preserve">Hilldrup </t>
  </si>
  <si>
    <t xml:space="preserve">Please add the additional sentence added to the CLDD email that is sent to employees.  
Subject: You are now Eligible for Benefits
Email Content: Due to the change in your eligibility status, you are now eligible for additional benefits. Please login to the online benefits enrollment system using the link below to enroll for benefits.
URL: &lt;Link&gt;
Username: &lt;Username&gt;
Password: Employee date of birth in the following format = MMDDYYYY
You have 30 days from date of eligibility (date you changed to full-time status) to enroll in benefits. If you do not enroll during this period, your next enrollment eligibility period will be during the annual open enrollment event.
</t>
  </si>
  <si>
    <t xml:space="preserve">Updated the “Eligibility for New plans” email to 
Subject: You are now Eligible for Benefits
Email Content: Due to the change in your eligibility status, you are now eligible for additional benefits. Please login to the online benefits enrollment system using the link below to enroll for benefits.
URL: &lt;Link&gt;
Username: &lt;Username&gt;
Password: Employee date of birth in the following format = MMDDYYYY
You have 30 days from date of eligibility (date you changed to full-time status) to enroll in benefits. If you do not enroll during this period, your next enrollment eligibility period will be during the annual open enrollment event.
</t>
  </si>
  <si>
    <t xml:space="preserve">NIschith </t>
  </si>
  <si>
    <t xml:space="preserve">We have received the ACME Demographic file and found a new Department 47. </t>
  </si>
  <si>
    <t xml:space="preserve">We have received the Involta Demographic file and found a new Location Canton. </t>
  </si>
  <si>
    <t xml:space="preserve">Our suggestion would be to create a class that the employee would be moved into when the LTD Plan should terminate. All other benefits would remain active and continue. When the employee returns from their Leave of Absence, you would move them back into their class prior to the Leave and the system would enroll them back into the LTD plan again based on the class effective date you enter. </t>
  </si>
  <si>
    <t xml:space="preserve">Added two new classes "Management Committee LTD Ineligible LOA" and "All Others LTD Ineligible LOA" The eligibility is same as the respective classes. But 2 classes will not be eligible for LTD plan </t>
  </si>
  <si>
    <t xml:space="preserve">Enertia has an employee with dependents relocating to the US. The client wants to enable Dependent Relocating to US and Dependent Relocating out of US. The effective date should be set to First of the Month Following 0 Day(s) from Date of QE. This should be updated for medical, dental, vision, and FSA. </t>
  </si>
  <si>
    <t xml:space="preserve">Enabled the below two status changes for Medical Dental Vision and FSA plans 
Dependent Relocating to US 
Dependent Relocating out of US 
The effective date should be set to First of the Month Following 0 Day(s) from Date of QE.</t>
  </si>
  <si>
    <t xml:space="preserve">We have learned that the election of child voluntary life outside of the new hire waiting period or an approved qualifying event, will result in the children having to go through EOI.
This is even during the annual renewal.
Can you please update the plan to reflect that children will need to go through underwriting at renewal and that coverage ends at the end of the month that a child turns 19 unless they are a full-time student.
If they are a student, coverage remains in force through age 23.
</t>
  </si>
  <si>
    <t xml:space="preserve">June </t>
  </si>
  <si>
    <t xml:space="preserve">LTD plan ER rate update on Benefits Junction. There was no functionality till now. In last sprint we developed a ER paid rate table to update ER rates for LTD plan.
</t>
  </si>
  <si>
    <t xml:space="preserve">We have received the Stellar Industries Inc Demographic file and found a new division on file (Stellar Mason City) should be added as a new Division in Benefits Junction. There are 15 employees in this location.
Please add the new division, Stellar Mason City, which should match the eligibility of the current divisions. 
</t>
  </si>
  <si>
    <t xml:space="preserve">We need the Paylocity company code in the Benefits Junction to report in the Paylocity deduction changes report. We do receive the Company code in Demographic files and need to add a Custom Field in Benefits Junction so that we can update the code in the system and use it to report in deduction changes report. 
Please add a custom field name Paylocity Company Code with the following options: 
•	127481
•	127482
</t>
  </si>
  <si>
    <t xml:space="preserve">1)	Setup a custom field under work info named Paylocity Company Code.
2)	Select type Dropdown and then add these 2 values.
a.	127481
b.	127482
3)	Check show in reports.
4)	Do the testing to see if its capturing in reports.
</t>
  </si>
  <si>
    <t xml:space="preserve">Shilpa P </t>
  </si>
  <si>
    <t xml:space="preserve">We are in the process of setting up a payroll deduction file for this client.  We need to add a custom field to the Employee Work Info Tab:  ADP Position ID Number 
Also upload the ADP Position ID Number using the Attached Excel file. 
Broker also mentioned she may add some addresses that need to be updated for employees as well on the excel file – please update the home addresses as well if listed. </t>
  </si>
  <si>
    <t xml:space="preserve">Add new custom field under Work Info as mentioned above and upload them, respectively. 
Identify the address changes and upload them only for Employee and not dependents. For dependents check if the use employee address is check then only for them update EE address.</t>
  </si>
  <si>
    <t xml:space="preserve">We should turn off the anytime editable and enable the Status changes, where all the new election requires EOI.  
The child GI is set up to the maximum benefit amount so the child will never require an EOI. There is no change to this.  
Enable all the QLE’s same as the Medical plan 
The effective date rule for the QLE is Date of election. 
Check all the options under “Allowed Enrollment Changes”.  
Test to make sure the effective date is date of election. </t>
  </si>
  <si>
    <t xml:space="preserve">Updated status change rules to Date of QE for all plan types except for Overage dependent QE rule.
</t>
  </si>
  <si>
    <t xml:space="preserve">We are continuing to be off by .01 or .02 cents on the STD and LTD volumes.  I had a call with the carrier today and when we did the calculation, she had me multiply by 66.7% and in Benefits Junction we are calculating by 66.67%.  We did the calculation for an employee who has an annual salary of 163,000.  If we correct the % in Benefits Junction we will match the carrier invoice.
Please update the STD and LTD rate from 66.67 to 66.7% and this will correct the issue.
</t>
  </si>
  <si>
    <t xml:space="preserve">Updated the STD and LTD setup benefit percentage to 66.7%.
2) Audit to review if the volume is calculating correctly after the schedular tomorrow.
3) Confirm A and R and Janice and advise them to compare with Invoice report received from carrier.
</t>
  </si>
  <si>
    <t xml:space="preserve">PCP Information updated for the Locations New Hampton, STL,TCC,New Homstead and Winslow </t>
  </si>
  <si>
    <t xml:space="preserve">Any employee went from Full-time to part-time with no benefits so is eligible for COBRA. The employee enrolled in COBRA so we need to track it. 
Please create another class that is COBRA Part Time. 	
</t>
  </si>
  <si>
    <t xml:space="preserve">Change from "First of the Month Following or Coinciding with 60 Day(s) from Date of Hire". And change to:
"First of the Month Following 60 Day(s) from Date of Hire"  
</t>
  </si>
  <si>
    <t xml:space="preserve">July </t>
  </si>
  <si>
    <t xml:space="preserve">Dear &lt;&lt;Employee&gt;&gt;
A warm welcome to Acme Truck Line!
Acme Truck Line is excited to offer a limited healthcare option for you to enroll in through Ternian. This is a health reimbursement plan that provides you limited benefits in relation to doctor's visits, prescription drugs, telemedicine, emergency room, critical illness, and more. You may consider enrolling in this benefit until you are eligible for the Acme Major Medical plan.
Click Here to view a benefit summary and watch a brief video overview.
Click Here to enroll in the Ternian Reimbursement Health Benefit.
If you have any questions, please reach out to:
TrueAdvocate
Phone: (925) 332-7325
Email: benefitshelp@truenorthcompanies.com
Monday through Friday 9:30 am - 6:30 pm CST
</t>
  </si>
  <si>
    <t xml:space="preserve">We have Updated the Activation Email </t>
  </si>
  <si>
    <t xml:space="preserve">
 Retiree Basic Life 10k Plan does not include dependents only the employee.  Please remove spouses and dependents from plans and remove rate and setup. 
Age Reduction does not apply to the Retiree Basic Life Plan 
The rate for only the Retiree Basic Life is .165 per 1k 
For Yessica Lopez please make sure her child has coverage 
On the attached report from the billing Team can you review - Company Paid LTD - on the error report, filter by Expected Adjustment. Only include those that are $0.01 and $0.00.</t>
  </si>
  <si>
    <t xml:space="preserve">Per Anthem GGL for voluntary life plan if employee has a QLE GI should only be given for Marriage and Birth.  All other QLE’s require transaction to pending on pending EOI Tracker and EOI popup should appear. </t>
  </si>
  <si>
    <t xml:space="preserve">Status change Marriage and Childbirth to have GI for voluntary life setup and this setup is already there. For all other Stauts changes remove the Initial eligibility apply GI rules setup. </t>
  </si>
  <si>
    <t xml:space="preserve">KBI </t>
  </si>
  <si>
    <t xml:space="preserve">Through an EDI error we found that the overage dependents lose coverage at the end of the month they turn 26. Please update the medical and dental to remove coverage on the first day of the month following the 26 birthday. 
Also, please update the dependent Fitim Alaj term date, EEID 1167NJ.
</t>
  </si>
  <si>
    <t xml:space="preserve">Changed the overage dependent rule for Medical and Dental in Employee Alerts Setup  Overage dependents notification.
On the first day of the month following the 26 th birthday
</t>
  </si>
  <si>
    <t xml:space="preserve">Added  the below plans with 8/1/2021 and make it eligible for “Test” for now, once Juan confirms we can move live:
Parking Plan
Mass Transit Plan
The minimum amount an EE’s can elect at $1 and maximum EE’s can elect at $270.
</t>
  </si>
  <si>
    <t xml:space="preserve">We found out the dependent lose coverage didn’t allow employees to add or change dental or vision plans. They could only change their coverage. The carriers for Dental and Vision confirmed employees can add or change plans due to this status change. 
Please update the Dep Loses Coverage status change for dental and vision to match the medical setup. 
</t>
  </si>
  <si>
    <t xml:space="preserve">Updated the Dependent loses Coverage status change for dental and vision to match the medical setup. </t>
  </si>
  <si>
    <t xml:space="preserve">In my weekly meeting with Brightmark, we found an employee will be changing to part-time status. The broker confirmed the class change benefit termination should mirror the Status Termination. So all benefits except for STD &amp; LTD (date of class) should terminate on the last day of the month following the date of class change. Please update BenJ. 
</t>
  </si>
  <si>
    <t xml:space="preserve">Class change benefit termination should mirror the Status Termination for a respective plans.
Please go to each plan and see what is status termination rule and then update class termination rule, because few plans have different rules.
</t>
  </si>
  <si>
    <t xml:space="preserve">August </t>
  </si>
  <si>
    <t xml:space="preserve">Please change age reduction for Basic Life Class 1-7, 9 &amp; 10 from age reducing as of birthdate to plan anniversary. </t>
  </si>
  <si>
    <t xml:space="preserve">Changed age reduction for Basic Life Class 1-7, 9 &amp; 10 from age reducing as of birthdate to plan anniversary. </t>
  </si>
  <si>
    <t xml:space="preserve">The rates for The Views needs to be updated. Technically only the rate for a 47 year-old in the UHC Choice Plus 6000 CE-YO plan. 
It was 465.53 and needs to be changed to $465.43.</t>
  </si>
  <si>
    <t xml:space="preserve">Guardian plans and voluntary life is not anytime editable. This needs to be updated. 
I don’t think we should charge anything because we’re already charging for renewal updates.</t>
  </si>
  <si>
    <t xml:space="preserve">Guardian plans and Voluntary Life should not be anytime editable. Also, there is QLE setup for Guardian Plans, so no action required on QLE, however for Voluntary Life we need to do QLE setup. </t>
  </si>
  <si>
    <t xml:space="preserve">Upfield requested we add a new department, Data Management. They plan on sending employees in the demographic file under this department in the future. </t>
  </si>
  <si>
    <t xml:space="preserve">on Paid LOA should receive Basic Life &amp; AD&amp;D as it is a company paid benefit. </t>
  </si>
  <si>
    <t xml:space="preserve">HR is requesting we add the following classes to the system. Eligibility for these new classes should match Off Schedule - 5 Hours.
• Grant Off Schedule - 5 Hours
• District Administrator Off Schedule - 5 Hours
• Technical/Supervisory Off Schedule - 5 Hours
• Dean of Students Off Schedule - 5 Hours</t>
  </si>
  <si>
    <t xml:space="preserve">Added the below mentioned classes and the Eligibility for this new class should match Off Schedule - 5 Hours  
• Grant Off Schedule - 5 Hours
• District Administrator Off Schedule - 5 Hours
• Technical/Supervisory Off Schedule - 5 Hours
• Dean of Students Off Schedule - 5 Hours        </t>
  </si>
  <si>
    <t xml:space="preserve">September </t>
  </si>
  <si>
    <t xml:space="preserve">New MetLife Basic Life plan, Voluntary Life, STD &amp; LTD  termination date should be changed from last day of the month following termination date to DATE OF TERMINATION
</t>
  </si>
  <si>
    <t xml:space="preserve">Updated the termination rules for the plans Basic Life and AD&amp;D, STD, LTD and Vol Life to Date of Termination.
</t>
  </si>
  <si>
    <t xml:space="preserve">When Marci added the Voluntary Life Rates she did not add in the cost for the AD&amp;D Rate. 
Please add .035 per thousand for the Employee AD&amp;D coverage 
Please add .028 per thousand for the Spouse AD&amp;D coverage 
Please add .120 per thousand for the Child AD&amp;D coverage</t>
  </si>
  <si>
    <t xml:space="preserve">We have updated the Voluntary Life rates by adding the below AD&amp;D rates to the current rates -
Added 0.035 per thousand for the Employee AD&amp;D coverage 
Added 0.028 per thousand for the Spouse AD&amp;D coverage 
Added 0.120 per thousand for the Child AD&amp;D coverage</t>
  </si>
  <si>
    <t xml:space="preserve">Deerfield is creating a new entity (a wholly owned subsidiary) and we will need to add this new division to Workforce Junction. The new entity name is CURE EXPERIENCE SERVICES LLC. We will need to form two subgroups under the new CURE entity. 
Group 1: Cure Experience- There will be some current Deerfield employees that will need to be transferred into the new CURE subgroup and they will receive the same benefits as they do today under Deerfield. List will be sent shortly 
Group 2: Cure Experience - Low Option Med/No HRA - This group will have a different medical plan with Cigna (Low Option plan) and they will not have HRA benefits. All other benefits (Life, Dental, Voluntary Life, LTD, Commuter and 401k) will be the same as the Deerfield group. 
Effective 10/1/2021 
Need to update carrier EDI feeds and Benefits Junction configuration.</t>
  </si>
  <si>
    <t xml:space="preserve">We have added 2 new divisions -
Cure Experience 
Cure Experience - Low Option Med/No HRA. 
The division Cure Experience will be eligible same as division Deerfield group., but division Cure Experience - Low Option Med/No HRA is eligible same as division Deerfield group. except for the HRA and current medical plan is not eligible for this division. We have added new Medical plan - Medical Low Option Plan for this division Cure Experience - Low Option Med/No HRA</t>
  </si>
  <si>
    <t xml:space="preserve">Carrier reached out on employees whose volumes should have reduced due to age but the age reduction for Basic Life was not set up. For all three basic life plans, please set up the following age reduction schedule: The age reduction should happen on Plan Anniversary. 
Age 70 and over reduced by 50% 
Also, please correct the volume for the following employees:  
Virginia Elswick 
Kenneth Drolet 
Robin Katz </t>
  </si>
  <si>
    <t xml:space="preserve">For all three basic life plans,  set up is updated to following age reduction schedule: The age reduction should happen on Plan Anniversary. 
Age 70 and over reduced by 50% </t>
  </si>
  <si>
    <t xml:space="preserve">2 new Departments need to be added – “Rochester” and “Stevens Point” 
1 new Division needs to be added – “Field Union – PTO Buy Up Only” 
There should be no charge to this as it is part of the Open Enrollment fees</t>
  </si>
  <si>
    <t xml:space="preserve">Add 2 new Departments need to be added – “Rochester” and “Stevens Point”, This is eligible same as other departments. Instead of adding new please rename the current departments wellness and non-wellness to use as there are no employees in this department.
Add 1 new Division needs to be added – “Field Union - PTO Buy Up Only” 
These employees should only see the PTO Buy Up Option during open enrollment. New Hires are not eligible to receive this plan and employees can only see this plan during open enrollment. 
As discussed with Janice we will rename “DO NOT USE Union” to Field Union - PTO Buy Up Only. </t>
  </si>
  <si>
    <t xml:space="preserve">October </t>
  </si>
  <si>
    <t xml:space="preserve">When the Account Exec Jodie requested the rates she requested Voluntary Life &amp; AD&amp;D but the client was only paying for Voluntary Life, but told employees they had Voluntary Life &amp; AD&amp;D.  due to the mix up the new carrier is keeping the rate as what was submitted for open enrollment and will change the rates next year for open enrollment.  Therefore we need to change the rates back to the rates listed below from the Account Manager:
Ignore the volume row that was used by the broker for something else.
</t>
  </si>
  <si>
    <t xml:space="preserve">Updated the Voluntary Life and AD&amp;D Rates as above. Audit premiums after the scheduler runs.
</t>
  </si>
  <si>
    <t xml:space="preserve">For the voluntary Life plan the maximum allowed is up to 7 times salary rounding up to the next 25k.  We need to change the rounding to round down to the next 25k.
For the spouse life we also need to change the rounding.  The rule for spouse life is 25k increments and spouse cannot have more than 50% of the employee.  Employee elects 25k the maximum the spouse can be enrolled in is 10k, currently system is allowing 15k.  Please correct the rounding to go down currently it is set to the next highest 5,000 which is not correct per carrier.
I have corrected the two employees identified by the carrier.  I am not sure if there are any others that need to be corrected.
</t>
  </si>
  <si>
    <t xml:space="preserve">EOS is updating a location name in ADP and have requested we update the name in our system as well. </t>
  </si>
  <si>
    <t xml:space="preserve">Current name: LVD - Las Vegas Durango 
 New name: LVD - Las Vegas: South Durango/W Arby Ave </t>
  </si>
  <si>
    <t xml:space="preserve">The group’s waiting period is first of the month following 2 months and then even after that, they have a 30 day grace period to make their elections. 
We believe the new hire enrollment window should be 90 days to account for this, since there’s not coverage effective date rule.</t>
  </si>
  <si>
    <t xml:space="preserve">Howard Sheppard has decided they do not want to track employees that are on an unpaid leave.
They would like us to remove the Divisions FT on LOA and PT on LOA.  Please change to Do Not USE and if there is any way not to have them show in the drop down per TrueNorths request.
Howard Sheppard will be responsible for tracking these employees manually and keeping their monthly invoices updated as our EDI team will be sending them as active employees with benefits.
</t>
  </si>
  <si>
    <t xml:space="preserve">Removed Full Time on Leave and Part Time on Leave division from Benefits Junction. Currently in Full Time on Leave there an employee. Tammy, Green - EE ID 59404 should be moved to FT Employee like all other active FT employees.
</t>
  </si>
  <si>
    <t xml:space="preserve">When we received the Vision Invoice rates did not match.  Broker reached out to carrier to confirm that they provided a lower rate than indicated.  Please update Employee and Total rates per screenshot.
</t>
  </si>
  <si>
    <t xml:space="preserve">HR confirmed we need to create a new class called Building Subs, eligibility should match that of a Paraeducator – Fulltime.  </t>
  </si>
  <si>
    <t xml:space="preserve">Created a new class called Building Subs and it should mirror a class Paraeducator - Full Time. </t>
  </si>
  <si>
    <t xml:space="preserve">Recon </t>
  </si>
  <si>
    <t xml:space="preserve">Pet Insurance: 
1)	End the period plan year with effective 10/31/2021 
2)	Remove the plan type from new hire window setup
3)	Uncheck this plan type from Required Plan Types
4)	Test from employee web to see if the current enrollment is displaying and you should not be able to edit them or make any changes. Also add a new hire see if Per Insurance is appearing or not.
</t>
  </si>
  <si>
    <t xml:space="preserve">A new location was reported on the demographic file. The client confirmed we need to add the new location: FUR - Coral Springs/University Dr. Eligibility should match the other locations. 
</t>
  </si>
  <si>
    <t xml:space="preserve">Please add Andrea Berger, berger.andrea@iowacityschools.org to the benefits enrollment notifications.
</t>
  </si>
  <si>
    <t xml:space="preserve">Added Andrea Berger, berger.andrea@iowacityschools.org to the benefits enrollment notifications.
</t>
  </si>
  <si>
    <t xml:space="preserve">Please update the HSA plan so contribution changes are effective the Date of Election. We also need to update the HSA plan page. Please replace the last sentence in the third paragraph with the following:  
“Changes to your contributions need to be made through this enrollment system and will be effective the date it is submitted.”
</t>
  </si>
  <si>
    <t xml:space="preserve">Updated the HSA Changes to the Enrollments rule to Date of Election from Effective from the next Payroll Start date.
Also corrected the text in information section as stated above.
</t>
  </si>
  <si>
    <t xml:space="preserve">We need to add the EOI Knock out questions for the CHUBB Plan
https://secure.helpscout.net/conversation/1611789667/261994/#thread-4981317354</t>
  </si>
  <si>
    <t xml:space="preserve">1)	End the period plan year with effective 01/31/2022.
2)	Removed the plan type from new hire window setup
3)	Unchecked this plan type from Required Plan Types
4)	Unchecked anytime editable setup from custom plans screen</t>
  </si>
  <si>
    <t xml:space="preserve">Dependent and spouse SSN is not required. </t>
  </si>
  <si>
    <t xml:space="preserve">HR is requesting we update the class names to the following: 
Grant Off Schedule - 5 hour needs to be  Grant - 5 Hours
District Administrator Off Schedule - 5 hour needs to be  District Administrator - 5 Hours
Tech/Supervisory Off Schedule - 5 hour needs to be  Tech/Supervisory - 5 Hours
Dean of Students Off Schedule - 5 hour needs to be  Dean of Students - 5 Hours
</t>
  </si>
  <si>
    <t xml:space="preserve">Add two new divisions
•	The Deerfield Foundation
•	The Deerfield Foundation Low Option Med/No HRA
The first should have the medical OAP plan.
the second should have the medical OAPIN plan</t>
  </si>
  <si>
    <t xml:space="preserve">The broker is requesting that RPR Driving School be removed as a location. 
</t>
  </si>
  <si>
    <t xml:space="preserve">Removed RPR Driving School from Benefits Junction.
</t>
  </si>
  <si>
    <t xml:space="preserve">Please update the 2022 HSA maximums to reflect the new limits for 2022.  </t>
  </si>
  <si>
    <t xml:space="preserve">Updated the IRS HSA limits for 2022
Single = 3650
Family = 7300
</t>
  </si>
  <si>
    <t xml:space="preserve">Found out from the TrueNorth that dental and vision policies cover unmarried dependent children, up to age 26 or age 30 if a full-time student. Please set up the minimum age rule to term benefits at the end of the month a dep turns 26, and if a full-time, to term at the end of the month a dep turns 30. 
Please update EEID 1183’s enrollment based on the change to the rule.
</t>
  </si>
  <si>
    <t xml:space="preserve">Updated the Minimum age setup and review overage setup match if its correct. Also correct the above-mentioned employee coverage.
</t>
  </si>
  <si>
    <t xml:space="preserve">Updated the rounding rule as per above for LTD plan.
</t>
  </si>
  <si>
    <t xml:space="preserve">Update the waiting period: The rule should be 1st of the Month following 2 months of hire/rehire, change in Class for all plans
Do not make changes to Location, Department and Division. Leave that to FOFM Date of Change as the termination rule for LDD is Last day of the month following termination. Inform CRM on the same while confirmation in email.
</t>
  </si>
  <si>
    <t xml:space="preserve">Dietary Technician change to Dietary Technician(Dietech) 
Combined Admin Assist &amp; Office Manager and rename it as Admin Asst/Office Manager 
And remove we removed the Administrative Assistant from the Dept list. 
</t>
  </si>
  <si>
    <t xml:space="preserve">The Union Division, effective 1/1/2022 will be eligible for the Life AD&amp;D plan. 
So we need the current Enrollees in the Union Division to be enrolled in the Life AD&amp;D and the eligibility rule for Union employees to have Delta Dental and Life AD&amp;D as their only elections.
Class 1 is all employees 2x basic annual earnings to $500,000 - No change to this class 
Class 2 is Union employees only get $50,000 only - New effective 1/1/2022</t>
  </si>
  <si>
    <t xml:space="preserve">Add a new plan Basic Life/AD&amp;D Union 
The eligibility rules should be same as Delta Dental Union plan 
Union employees only get Flat $50,000 only for Basic Life &amp; AD&amp;D 
Age reduction, rounding rule and invoice setup should be same as the current basic life plan.</t>
  </si>
  <si>
    <t xml:space="preserve">Update spouse age reduction to be based on Employee Age for UNUM Vol life plan.
</t>
  </si>
  <si>
    <t xml:space="preserve">A new department was received in the demographic file. Please add 83 as a new department. Eligibility should match the other departments. 	
</t>
  </si>
  <si>
    <t xml:space="preserve">Please make Vision plan eligible for COBRA with effective 1/1/2022.
</t>
  </si>
  <si>
    <t xml:space="preserve">Terminated the Cancer Guardian plan with effective 1/5/2022 in both TP and Benefits Junction.
</t>
  </si>
  <si>
    <t xml:space="preserve">CRF is to have the rule for only the GGL Plans – Basic Life &amp; AD&amp;D, LTD, Voluntary Life &amp; AD&amp;D, Voluntary STD, Voluntary LTD &amp; dependent Basic Life plans only - Invoice Rule updated on Benefits Junction by @config. Currently the retro rule is 'Full Month Premium' for Additions/changes and Terminations and the retro cap is at 2 – set up needs to be changed to prorated premiums option for billing.
</t>
  </si>
  <si>
    <t xml:space="preserve">please update the termination rule for Critical Illness and Accident to be end of the month for Jit-Ex
</t>
  </si>
  <si>
    <t xml:space="preserve">Updated the status termination rule for Critical Illness and Accident to be end of the month
</t>
  </si>
  <si>
    <t xml:space="preserve">For the voluntary Life plan, please round up to the next 10k volume. 
Example – 
The GI for this employee based on the rules – Gi is 5 times earning to a max of 120k no rounding.
This employee’s earns 10.00 per hour times 2080 hours times 5 = 104,000 and the rule provided to us was no rounding. Therefore the employee can only be enrolled in 104k per the GI rule and needs to complete EOI for anything over the 5 times salary to max GI.
The broker replied back with please round the 5 times of multiple of salary up to the next 10k level.
Which would put this employee at the 110k that they elected with no EOI needed for 6k.
</t>
  </si>
  <si>
    <t xml:space="preserve">Updated the rounding rule to be "round up to the next 10k" volume for the GI setup for employees.
</t>
  </si>
  <si>
    <t xml:space="preserve">We found out that the voluntary life has multiple GIs at different ages. We need to set up the following GIs: 
Employee Voluntary Life:
•	Under age 65 $150,000
•	65-69 $50,000
•	70+ $10,000
Spouse Voluntary Life:
•	Under age 65 $50,000
•	65-69 $10,000
•	Spouse coverage terms at age 70
</t>
  </si>
  <si>
    <t xml:space="preserve">Setup multiple GI for Voluntary Life.
Employee Voluntary Life:
•	Under age 65 $150,000
•	65-69 $50,000
•	70+ $10,000 –We will do once functionality is developed. For now do an audit twice a month for impacted employees.
Spouse Voluntary Life:
•	Under age 65 $50,000
•	65-69 $10,000
•	Spouse coverage terms at age 70 – We will do once functionality is developed. For now, replace the current age reduction setup to term spouse coverage at 70. So, at the age of 70 – 100% will reduce.
</t>
  </si>
  <si>
    <t xml:space="preserve">Updated minimum election for the FSA Health Care and the FSA Limited Health Care to $50.00
</t>
  </si>
  <si>
    <t xml:space="preserve">Woodstock effective 01/01/2022 will begin charging Owner/Execs a portion for their benefits.
They all make over 60k so they can assigned to the other classes that have the rates for Over 60k.
I have also attached a rate sheet for you as well.
</t>
  </si>
  <si>
    <t xml:space="preserve">Updated the rates for Owner/Exec as per the attachment in the CRF.
</t>
  </si>
  <si>
    <t xml:space="preserve">Please add the following departments as listed below as this is how they will come over on the demographic Import file.
Administrative Assistant
Alzheimer Supervisor RN
AP Clerk/Clerical Suppt
AP Manager
AP Supervisor
Assisted Living Supervisor
CNA Registry
Environmental Aide
Marketing
Quality Assurance
Receptionist/Clerical Suppt
Resident Workers
Restorative/Rehab Nurse LPN
Restorative/Rehab Nurse RN
Trust Fund Clerk
VP Operations
Occupational Therapist
</t>
  </si>
  <si>
    <t xml:space="preserve">Nationwide Pet Insurance page is turned into an Information only page. Added the link for Ahern in the information section - https://benefits.petinsurance.com/jfahern 
Ended the current Pet Insurance plans with effective 12/31/2021 and made a note to Terminate the plan on February end and Inform CRM on the same.</t>
  </si>
  <si>
    <t xml:space="preserve">Nationwide Pet Insurance page should be turned into an Information only page.  We can use the Brightmark page.  We will need to add the link for EOS - https://benefits.petinsurance.com/eosfitnessft </t>
  </si>
  <si>
    <t xml:space="preserve">Nationwide Pet Insurance page is turned into an Information only page. Also, added the link for EOS in the information section - https://benefits.petinsurance.com/eosfitnessft 
Ended the current Pet Insurance plans with effective 12/31/2021 and made a note to Terminate the plan on February end.</t>
  </si>
  <si>
    <t xml:space="preserve">Worldclass would like to change all employee’s USERNAME from SSN to WorkEmail Address. </t>
  </si>
  <si>
    <t xml:space="preserve">We have changed the username of all emloyees from  SSN to WorkEmail Address. 
They would also like us to send an email out on Thursday morning to all employee: </t>
  </si>
  <si>
    <t xml:space="preserve">Please update the minimum on the FSA Dependent Care, FSA Health Care &amp; FSA Limited Health Care plans to be $250.00 instead of $100.00. </t>
  </si>
  <si>
    <t xml:space="preserve">Please change the waiting period for VSP &amp; Basic Life &amp; AD&amp;D, Voluntary Life &amp; Voluntary STD.
Waiting period should match Medical &amp; Dental.
Please change to:  first of the month following hire date.
Please change the Rehire rules for all plans – Medical, Dental, Vision, Basic Life &amp; AD&amp;D, Voluntary Life &amp; AD&amp;D and Voluntary STD.
Please change to:  first of the month following rehire date
</t>
  </si>
  <si>
    <t xml:space="preserve">Updated the waiting period rules as per CRF.
</t>
  </si>
  <si>
    <t xml:space="preserve">Based on the enrollment we should rename the existing HDHP plan as – HDHP EE contributing to HSA Plan 
We should create the new plan and name it – HDHP EE NOT contributing to HSA Plan 
Once the two plans have been set up and renamed, anyone who is showing electing a $0 or declining the contribute to the HSA plan, should be moved to the HDHP EE NOT CONTRIBUTIN TO THE HSA PLAN.</t>
  </si>
  <si>
    <t xml:space="preserve">Renamed the existing HDHP plan as – HDHP EE contributing to HSA Plan 
Created the new plan and name it – HDHP EE NOT contributing to HSA Plan 
Once the two plans have been set up and renamed, anyone who is showing electing a $0 or declining the contribute to the HSA plan, should be moved to the HDHP EE NOT contributing to HSA Plan </t>
  </si>
  <si>
    <t xml:space="preserve">Based on the enrollment we should rename the existing HDHP plan as – HDHP with ER Contribution Plan 
We should create the new plan and name it – HDHP without ER contribution
Once the two plans have been set up and renamed, anyone who is showing electing a $0 or declining the contribute to the HSA plan, should be moved to the HDHP without ER contribution.</t>
  </si>
  <si>
    <t xml:space="preserve">Renamed the existing HDHP plan as – HDHP with ER Contribution
Created the new plan and name it – HDHP without ER contribution
Once the two plans have been set up and renamed, anyone who is showing electing a $0 or declining the contribute to the HSA plan, should be moved to the HDHP without ER contribution Plan.</t>
  </si>
  <si>
    <t xml:space="preserve">Rate for STD was changed, and we were not notified – Rate increased from .14 to .20 – Jenn has attached the renewal document that they forgot to send us.
The Medical plans monthly premium amount was changed, and we were not notified.</t>
  </si>
  <si>
    <t xml:space="preserve">In a recent demographic file, we received a new department. Please add department, Development, with eligibility matching the other departments.
</t>
  </si>
  <si>
    <t xml:space="preserve">Added department, Development, with eligibility matching the other departments.
</t>
  </si>
  <si>
    <t xml:space="preserve">The Termination rules entered into the Renewal Wizard by Jennifer Carroll are not correct.  Please update the rules for termination and status changes that are removing an employees and dependents from the plans.  Leave Legal Shield as is for now and will update once client receives confirmation.
Plans in yellow need to be updated for Terminations and plan terminations for QLE.  Anyone coming of one of the plans, coverage should go through the end of the month. 
</t>
  </si>
  <si>
    <t xml:space="preserve">Updated the Termination rules for the above listed plans per Janice. Also updated the status changes that are removing an employees and dependents from the plans as per the CRF
</t>
  </si>
  <si>
    <t xml:space="preserve">Update the Voluntary Life setup for Employee, Spouse and Child as below. 
Employees can elect in $10K increments up to a maximum of $500,000
Spouses can elect in $5K increments up to a max of $250K but can’t have more than 50% of the EE amount. 
Children can elect in $1K increments up to a max of $10K but can’t have more than 50% of the EE amount.  </t>
  </si>
  <si>
    <t xml:space="preserve">Updated the Voluntary Life setup for Employee, Spouse and Child as below. 
Employees can elect in $10K increments up to a maximum of $500,000
Spouses can elect in $5K increments up to a max of $250K but can’t have more than 50% of the EE amount. 
Children can elect in $1K increments up to a max of $10K but can’t have more than 50% of the EE amount.  </t>
  </si>
  <si>
    <t xml:space="preserve">The broker has sent updates to the EOI and Rehire rules - 
https://appriver3651007094.sharepoint.com/:w:/g/EbxGSlJLFKNEoAl24VKBe2YBulb0Tcp9ac3JkUzfvS_LFQ?e=XlKJJ8</t>
  </si>
  <si>
    <t xml:space="preserve">Rate for STD was changed, and we were not notified – Rate increased from .14 to .20 – Jenn has attached the renewal document that they forgot to send us. See attachment on Ticket
The monthly premium amount was changed, and we were not notified.  See attachment on Ticket
2/17 – correct made to Employee Premium for HDHP with and without HAS should be 447.86.  It was entered on this request as 447.76
</t>
  </si>
  <si>
    <t xml:space="preserve">We need to ask a question prior to the medical plan.
Are electing one of the HDHP Health Plans and are at least 65 years old and accepting Medicare and therefore not eligible to have an HSA?
If Yes – then they should see the HDHP without ER Contribution – 2 new plans
If No – then they see the regular HDHP plan 2 plans already existing
We need to build 2 new plans: Open Access Plus In HSA 1500 High without ER contribution &amp; Open Access Plus In HSA 2500 Low without ER contribution
When the employee selects yes, they should not see the HSA page or if they do not contribute then they should see the FSA medical option.  Only if they answered yes to the question should they see the medical FSA option.  If they answer no to the question and do not contribute to the HSA they are still not eligible for the FSA medical option.
</t>
  </si>
  <si>
    <t xml:space="preserve">Work on the above changes as per the instructions. For the below create plan dependency as discussed over the call.
If they answer no to the question and do not contribute to the HSA they are still not eligible for the FSA medical option.
</t>
  </si>
  <si>
    <t xml:space="preserve">Extend all plans till 3/31/2023
Send Welcome emails to employees who did not receive the weclome emails from the system. 
Enable New Hire To Do List and send welcome emails who did not get chance to enroll into plans</t>
  </si>
  <si>
    <t xml:space="preserve">Extended all plans till 3/31/2023
Sent Welcome emails to employees who did not receive the weclome emails from the system. 
Enabled New Hire To Do List from back-end and sent welcome emails who did not get chance to enroll into plans</t>
  </si>
  <si>
    <t xml:space="preserve">The client doesn’t want to allow employees to have the option to waive the HSA. Please update the following: 
1. Remove Waive option from HSA plan election page.
2. Employees should still have the option to contribute $0 towards the HSA.
3. Add verbiage on this enrollment page:  "If you are not eligible to participate in the HSA, please contact the Stellar HR team to notify them of your waiver."
4. Update the plan detail for FSA HC and Limited FSA HC as shown in below screenshot. 
</t>
  </si>
  <si>
    <t xml:space="preserve">1. Enable Employer Contribution in HSA Plan Setups which will remove waive option in HSA election page.
2. Employees should still have the option to contribute $0 towards the HSA.
3. Add verbiage on this enrollment page:  "If you are not eligible to participate in the HSA, please contact the Stellar HR team to notify them of your waiver."
4. Update the plan detail for FSA HC and Limited FSA HC as shown in below screenshot.
</t>
  </si>
  <si>
    <t xml:space="preserve">Updated the addition rule for Metlife Billing rules as per above.
</t>
  </si>
  <si>
    <t xml:space="preserve">Age Reduction needs to be set up for Spouse voluntary Life.  </t>
  </si>
  <si>
    <t xml:space="preserve">Age Reduction needs to be set up for Spouse voluntary Life. 
Age reduction is based on employees age and spouse coverage terms when employee reaches age 70. 
Age Spouse Age Reductions schedule to below. 
At the age of 65 the benefit will reduce by 33% 
At the age of 70 the benefits will reduce by 100% and terminates</t>
  </si>
  <si>
    <t xml:space="preserve">We need to create an “Owners” Class. 
it should go under class as per EDI., as it was prompted by UNUM. I am charging $250 for this update
</t>
  </si>
  <si>
    <t xml:space="preserve">Prior to the new plan year, status changes were updated to reflect the effective date rule as 2 Day(s) Following Date of QE but during renewal, the renewal wizard was updated to be as Date of QE apart from Medical. Please update all status changes to match the medical status changes. 
Also, please update the medical Dep Gained Employment status change to 31 days</t>
  </si>
  <si>
    <t xml:space="preserve">Updated all status changes to match the medical status changes 
Also, updated the medical Dep Gained Employment status change to 31 days. </t>
  </si>
  <si>
    <t xml:space="preserve">The Basic Life &amp; AD&amp;D Plan as a Dependent Component to the plan.  Children are covered until the end of the month following their 26th birthday.  When this plan was implemented, the Overage Dependent rule should have been configured in the site.
Please set up the Overage Dependent Notification for Basic Life.
Also, there are 3 dependent that are over the age of 26 that need to be removed from coverage:
Vega, Leonard
Coley Enright, Faye
Collier, Shelby
</t>
  </si>
  <si>
    <t xml:space="preserve">Please set up the Overage Dependent Notification for Basic Life to end of the month following their 26th birthday.
Also, there are 3 dependent that are over the age of 26 that need to be removed from coverage:
Vega, Leonard
Coley Enright, Faye
Collier, Shelby
</t>
  </si>
  <si>
    <t xml:space="preserve">Healthcare of Iowa </t>
  </si>
  <si>
    <t xml:space="preserve">Effective 04/01/2022 any employee that is a new hire on or after 04/01/2022 that is a salary employee (Class = Salary) Benefits should be effective date of hire.  This should also include the rehire rule for salary employees as well – Class Salary – rehired on or after 04/01/2022 effective date of rehire. </t>
  </si>
  <si>
    <t xml:space="preserve">Update the Status Change Effective date Rules -
Child Birth &amp; Adoption should remain as Date of Event 
Anyone coming on to the plans the effective date is FOM following QLE date 
Anyone coming off the plans the effective date is the last day of the month following QLE date</t>
  </si>
  <si>
    <t xml:space="preserve">Updated the Status Change Effective date Rules -
Child Birth &amp; Adoption should remain as Date of Event 
Anyone coming on to the plans the effective date is FOM following QLE date 
Anyone coming off the plans the effective date is the last day of the month following QLE date</t>
  </si>
  <si>
    <t xml:space="preserve">Per Insurance employee can enroll and decline the coverage at any time. Please update the plan to allow enrollment or declining at any time.
</t>
  </si>
  <si>
    <t xml:space="preserve">Updated the rates for both mentioned Medical bronze plans.
</t>
  </si>
  <si>
    <t xml:space="preserve">Update medical rates. See rate sheet: https://appriver3651007094.sharepoint.com/:x:/g/EQ4BKHUryihNuGFPgMDNoXEBRG1wSGMfaaSO1lVtOqdVfQ?e=DUOqIF
Confirmed with Denna that no charge required
</t>
  </si>
  <si>
    <t xml:space="preserve">Update the invoice rates and then review if the ER Cost has changed in deductions setup. If not edit each tier rate and save the setup. This rate is effective 7/1/2022.
</t>
  </si>
  <si>
    <t xml:space="preserve">Effective 04/01/2022 the volume for Basic Life &amp; AD&amp;D have increased from 30k to 50k.
Basic Life is .106
Basic AD&amp;D remains the same at .034
</t>
  </si>
  <si>
    <t xml:space="preserve">Effective 04/01/2022 the volume for Basic Life &amp; AD&amp;D have increased from 30k to 50k.
Basic Life is .106
Basic AD&amp;D remains the same at .034
</t>
  </si>
  <si>
    <t xml:space="preserve">Waiting Period Rules changed for Manager to Date of Election for all MOO plans.
New Hire Enrollment setup has changed to 89 dates for MOO plans for both classes.
Add two Welcome emails as per Class.
Change New Hire Reminder email frequency to every two weeks 60 days before due date</t>
  </si>
  <si>
    <t xml:space="preserve">Through a Noyo discrepancy, we found out that the Employee Gained other Coverage status changes need to be updated to be effective the first of the following month. So coverage ends at the end of the month. This change needs to be updated for all plans that have status change enabled. 
Once this is updated, please correct EE#SHE0005 effective dates to match the new rule
</t>
  </si>
  <si>
    <t xml:space="preserve">Updated the status change rule for the above mention one status change for all the plan </t>
  </si>
  <si>
    <t xml:space="preserve">Please add two new Departments:  
 .
</t>
  </si>
  <si>
    <t xml:space="preserve">Please add the following 2 departments. Eligibility should be set similar to other departments.
•	ADON LPN
•	Corporate-Executive Level
</t>
  </si>
  <si>
    <t xml:space="preserve">Setup for both CI plans should be Critical Illness age bracket premium is based on age as of Plan Anniversary date 09/01.
Once this has been updated in the system, please ensure anyone that is enrolled in the plan and has had a birthday since 09/01/2021 that they are put back into the age bracket of age as of 09/01/2021.</t>
  </si>
  <si>
    <t xml:space="preserve">Until the June Release – please set new hire enrollment period to 120 days from date of hire.
Once we are able to set the New Hire Waiting period by CLDD we will need to update rules for Managers to be 30 days and keep Non Managers at 120 days.
</t>
  </si>
  <si>
    <t xml:space="preserve">Until the June Release – please set new hire enrollment period to 120 days from date of hire.
Please add a task on teamwork for July and add the below note in task.
Once we are able to set the New Hire Waiting period by CLDD we will need to update rules for Managers to be 30 days and keep Non Managers at 120 days.
</t>
  </si>
  <si>
    <t xml:space="preserve">The broker confirmed the following status changes doesn’t allow an employee to stop contribution to the FSA. Please update the FSA HC &amp; FSA DC status changes and remove the ‘Stop Contributions’ option for the following: 
•	Marriage/Domestic Partner
•	Birth
•	Adoption
</t>
  </si>
  <si>
    <t xml:space="preserve">Updated the FSA HC &amp; FSA DC status changes to remove the ‘Stop Contributions’ option for the following events: 
•	Marriage/Domestic Partner
•	Birth
•	Adoption
</t>
  </si>
  <si>
    <t xml:space="preserve">Added new 401k plan with Fedility and terminated the existing plan </t>
  </si>
  <si>
    <t xml:space="preserve">Client wants to add the new hires that are effective 07/01/2022.
She did not want to add these employees when they were hired as it would have been in the middle of OE and didn't want them to get confused.</t>
  </si>
  <si>
    <t xml:space="preserve">1. Turn off the - To Do List we do not want the date to show. They only want employees to have until June 3rd to complete their enrollment.
2. We need to add to the Welcome Email - Where we are currently showing the To Do List can you just add a sentence that says"
You must make your new hire benefits election no later than Friday June 3rd. Otherwise you will have to wait until the next open enrollment period or experience a Qualified Life Event that allows you to enroll in Benefits.</t>
  </si>
  <si>
    <t xml:space="preserve">Please set up ALL QLE to pend for HR approval.  The employees are not required to upload proof of QLE, but need to pend for HR approval of the event. </t>
  </si>
  <si>
    <t xml:space="preserve">We have set up ALL QLE to pend for HR approval (Status change, New Hire and all) </t>
  </si>
  <si>
    <t xml:space="preserve">Please set all rehire rules to be - 
Within 0 Days of termination date, Date of Rehire Otherwise First of the month following 60 days from Date of Hire
Also Please correct Starla Betu she is a rehire and we need to correct the effective dates for her coverage.  It should be FOM following 60 days from hire date.
</t>
  </si>
  <si>
    <t xml:space="preserve">Please set all rehire rules to be - 
Within 0 Days of termination date, Date of Rehire Otherwise First of the month following 60 days from Date of Hire
Also Please correct Starla Betu she is a rehire and we need to correct the effective dates for her coverage.  It should be FOM following 60 days from hire date. This has been corrected now to show 8/1/2022 as the effective date.
</t>
  </si>
  <si>
    <t xml:space="preserve">Per email today from Jennifer the Cancer Plan should be set up with the same enrollment limitations as medical.  It should only be able to have changes during the year if the employee has a QLE or is a new hire electing for the first time.  </t>
  </si>
  <si>
    <t xml:space="preserve">Updated New Hire Enrollment period changed to 60 days from date of hire for all the plan types.
</t>
  </si>
  <si>
    <t xml:space="preserve">I confirmed the rehire waiting rule for the medical plan, and HR wants the dental rehire waiting rule to match the medical plan. Please update the rule: 
•	If hired within 90 days of the termination date, the effective date is the date of rehire.
•	Or first of the month following or coinciding with 59 days (s) from the rehire date.
Also, please update the dental effective for ID 0016376 to match the medical plan. 
</t>
  </si>
  <si>
    <t xml:space="preserve">HR wants the dental rehire waiting rule to match the medical plan. Please update the rule: 
•	If hired within 90 days of the termination date, the effective date is the date of rehire.
•	Or first of the month following or coinciding with 59 days (s) from the rehire date.
Also, please update the dental effective for ID 0016376 to match the medical plan. 
</t>
  </si>
  <si>
    <t xml:space="preserve">A year or so ago Denna requested that we add an additional dropdown for Qualified Life Events.
This was set up and Config Team was instructed to update all clients with this as an allowable QLE.
Looks like some groups are not showing with this as a Qualified Life Event.
Please update Howard Sheppard for all plans = Employee Gained Other Coverage
Looks like Medical, Dental and Vision has already updated this but here is the CRF that Config Team requested.  There are some plans that still need to be added.
</t>
  </si>
  <si>
    <t xml:space="preserve"> Updated Howard Sheppard for all plans = Employee Gained Other Coverage</t>
  </si>
  <si>
    <t xml:space="preserve">Age Reduction for voluntary Life &amp; AD&amp;D should be set at Next Policy year.  Currently it is set at Birthday.  Please change to Next Policy Year.
Please correct William Redmon and make sure no other employees have turned age 65 or 70 since January 1, 2022.  Please correct any employee that was age reduced on birthday and correct so it will reduce on next policy renewal 01/01/2023.
</t>
  </si>
  <si>
    <t xml:space="preserve">Age Reduction for voluntary Life &amp; AD&amp;D should be set at Next Policy year for Employee and Spouse
Please correct William Redmon and make sure no other employees have turned age 65 or 70 since January 1, 2022.  Please correct any employee that was age reduced on birthday and correct so it will reduce on next policy renewal 01/01/2023.
Also can they please check and confirm no other employees reached age 65 or 70 so far this year. Please correct any other employees that were affected by this error.
</t>
  </si>
  <si>
    <t xml:space="preserve">Age Reduction for both Basic Life &amp; AD&amp;D Plans should reduce at plan anniversary and not on birthdate.  Please update BenJ to Age Reduce at Plan Anniversary.
Also please check to make sure it has not affected anyone yet this year.  If so please correct the employees record and update the volume if needed.
</t>
  </si>
  <si>
    <t xml:space="preserve">Medical Plans – The end date should be 1/31/2023 with a new PYP 02/01/2023
The Dental, Vision, Basic Life, Voluntary Life &amp; Voluntary STD should all have the plan year extended to 1/31/2023 end date with new PYP 02/01/2023</t>
  </si>
  <si>
    <t xml:space="preserve">Medical Plans – The end date is updated to 1/31/2023 with a new PYP 02/01/2023
The Dental, Vision, Basic Life, Voluntary Life &amp; Voluntary STD to all have the plan year extended to 1/31/2023 end date with new PYP 02/01/2023</t>
  </si>
  <si>
    <t xml:space="preserve">Effective 7/1/2022 add a new period plan year in Eligibility and Waiting Period, New Hire Window.
1)	Update waiting period to 1st of the month following date of hire
2)	Update New Hire Enrollment window to 10 days from date of hire
3)	All plans except Vision and Cancer plan will term on termination date. Vision and Cancer should term on last day of month following term date.</t>
  </si>
  <si>
    <t xml:space="preserve">Effective 7/1/2022 added a new period plan year in Eligibility and Waiting Period, New Hire Window.
1) Updated waiting period to 1st of the month following date of hire.
2) Updated New Hire Enrollment window to 10 days from date of hire.
3)All plans except Vision and Cancer plan will term on termination date. Vision and Cancer should term on last day of month following term date.</t>
  </si>
  <si>
    <t xml:space="preserve">We received a new location in demographic file that needs to be added. Please add CO7 - Corporate TX as a location with eligible matching the other locations. </t>
  </si>
  <si>
    <r>
      <rPr>
        <color rgb="FF000000"/>
        <family val="2"/>
        <sz val="11"/>
        <rFont val="Calibri"/>
      </rPr>
      <t xml:space="preserve">Please add </t>
    </r>
    <r>
      <rPr>
        <b/>
        <color rgb="FF000000"/>
        <family val="2"/>
        <sz val="11"/>
        <rFont val="Calibri"/>
      </rPr>
      <t>CO7 - Corporate TX</t>
    </r>
    <r>
      <rPr>
        <color rgb="FF000000"/>
        <family val="2"/>
        <sz val="11"/>
        <rFont val="Calibri"/>
      </rPr>
      <t xml:space="preserve"> as a location with eligible matching the other locations. </t>
    </r>
  </si>
  <si>
    <t xml:space="preserve">For Stellar, the broker confirmed any increases outside of the new hire period require an EOI. Please setup EOI for Critical Illness.  </t>
  </si>
  <si>
    <t xml:space="preserve">Setup EOI for Critical Illness all the 4 plans. Any increases outside of the new hire period require an EOI. </t>
  </si>
  <si>
    <t xml:space="preserve">Update waiting period rule should match medical plan for  below listed plans Except for LTD.
Voluntary Life 
EAP 
Travel Assistance 
Voluntary STD 
Accident </t>
  </si>
  <si>
    <t xml:space="preserve">Update waiting period rule should match medical plan for  below listed plans Except for LTD.
Voluntary Life 
EAP 
Travel Assistance 
Voluntary STD 
Accident 
For ER paid LTD: DEPTMGR - First of the Month Following 60 Day(s) from Date of Hire 
CEO, DIRECTOR - Date of Hire </t>
  </si>
  <si>
    <t xml:space="preserve">The new hires are being added within 30 days of the new hire to-do due dates, and the current settings for the reminder emails are set to send reminders weekly, 30 days before their due dates. Because of this, employees are receiving the first reminder email on their second day. 
HR confirmed new hires are entered on Mondays and HR would like the reminders to start on the following Monday, but since we can’t select a specific day, we need to reduce the time frame from 30 days to 23 days to start sending reminder emails before the due date.
Please update the Enroll/Waive Benefits for new hires to start sending reminders 23 days before due date
</t>
  </si>
  <si>
    <t xml:space="preserve">Setup up the To Do List email reminder email to as per below. This applies only to Enroll/Waive Benefits emails.
Send e-mails	23 days before due date
</t>
  </si>
  <si>
    <t xml:space="preserve">New Rules. 
If an employee rehires within 30 days of their termination date, they are eligible for benefits First of the month following rehire date.
If the rehire date is greater than 30 days from termination date they have to wait the full waiting period - First of the month following 60 days.
</t>
  </si>
  <si>
    <t xml:space="preserve">If an employee rehires within 30 days of their termination date, they are eligible for benefits First of the month following rehire date.
If the rehire date is greater than 30 days from termination date they have to wait the full waiting period - First of the month following 60 days.
</t>
  </si>
  <si>
    <t xml:space="preserve"> Added FLL - Lutz: SR 54/Oak Grove as a location with eligibility matching the other locations</t>
  </si>
  <si>
    <t xml:space="preserve">Please add the following locations 
 Austin Family Case Management &amp; HFA 
FIC Lab 
Lake Park Lab – This is already added on BenJ. 
Please remove CHN-Pitts.</t>
  </si>
  <si>
    <t xml:space="preserve">We have added below locations to system, these have same eligibility as other locations -
 Austin Family Case Management &amp; HFA 
FIC Lab 
Request to remove CHN-Pitts location from system will be done once the employees in this location are moved to the new location.</t>
  </si>
  <si>
    <t xml:space="preserve">We have updated the rehire rules for all plans to -
"Within 0 Days of termination date, First of the Month Following 0 Day(s) from Date of Rehire
Others, First of the Month Following 0 Day(s) from Date of Rehire"</t>
  </si>
  <si>
    <t xml:space="preserve">Our life insurance provider is no longer allowing paper forms for the Evidence of Insurability process and all requests must be done electronically. Many of our members have already been doing this but we still have the paper forms linked in the enrollment system. Can you please make the below changes?
•	Remove the form "Supplemental Life Evidence of Insurability (EOI) Form" from all areas in the benefit system (home page, Life Insurance pages, enrollment summary page)
•	Add the attached instructions to the home page and supplemental life page
•	Have this website - https://www.mylincolnportal.com/ - available on the supplemental life page for employees to complete.
</t>
  </si>
  <si>
    <t xml:space="preserve">Remove Evidence of Insurability (EOI) Form in all places in BenJ. Update the below link.
https://www.mylincolnportal.com
Add the attached instructions to the home page and supplemental life page
https://fs.benefitsjunction.com/186/EOI-Instructions-Flyer.pdf
</t>
  </si>
  <si>
    <t xml:space="preserve">Managers should have 31 days from date of hire to enroll in Benefits.
Non-Managers should have 90 days from date of hire to enroll in Benefits
*Please note - Enrollment Window: Mutual of Omaha states that employees have 31 days from their effective date to enroll in coverage. If employees make elections outside of the 31 days, they are considered a "late entrant". Late Entrants require Evidence of Insurability.
</t>
  </si>
  <si>
    <t xml:space="preserve">Managers should have 31 days from date of hire to enroll in Benefits.
Non-Managers should have 90 days from date of hire to enroll in Benefits
For MOO plans - Non-Managers should have 120 days from date of hire to enroll in Benefits
</t>
  </si>
  <si>
    <t xml:space="preserve">Hartford- For STD it is the date of termination and for CI/ACC/HI it is end of the month following date of termination.
Health Equity- With the HSAs you can terminate the account at any time. Please note that the termination only serves the ER relationship and makes the ee an individual in our system. Please use date of termination for Elath Equity
For MOO – see below from carrier
</t>
  </si>
  <si>
    <t xml:space="preserve">Hartford STD – Change status Termination and work country rule to Date of Termination for both STD plans.
QLE Rules:
Medical - First of the Month Following 0 Day(s) from Date of QE for Divorce, Dependent Gained Employment/Other Coverage
Dental - First of the Month Following 0 Day(s) from Date of QE for Divorce, Dependent Gained Employment/Other Coverage
Vision - First of the Month Following 0 Day(s) from Date of QE for Divorce, Dependent Gained Employment/Other Coverage
Voluntary Life, CI, HOSPITAL INDEM &amp; ACCIDENT - First of the Month Following 0 Day(s) from Date of QE for Divorce, Dependent Gained Employment/Other Coverage
No Changes to overage setup because the as OAD setup in plans will take care of removing dependents instead of QLE.
</t>
  </si>
  <si>
    <t xml:space="preserve">Higginbotham has acquired a portion on TrueNorth.  Gilbert May is moving from TN to Higginbotham effective 07/01/2022.  There are 3 employees at TN that are moving over to Higginbotham that should remain to have access in Benefits Junction as the Partner/Broker.  Please Keep the following 3 employees Active
•	Tiffanie Martinez
•	Carmen Ramos
•	Stephanie Price
The following partner’s Admins should no longer have access to Gilbert May.
</t>
  </si>
  <si>
    <t xml:space="preserve">Updated the about admin access.
</t>
  </si>
  <si>
    <t xml:space="preserve">Please update the STD rounding to “Conventional Rounding to the Next Whole Dollar"
</t>
  </si>
  <si>
    <t xml:space="preserve">Remove the special event status change </t>
  </si>
  <si>
    <t xml:space="preserve">Child voluntary Life volume is based on 10% of the employees approved amount.  Please correct the set up to only allow 10% of the amount the employee elects up to 10K for the child
Spouse could enroll up to 100% of the employees election.  Carrier has confirmed it is 50% of the employee election</t>
  </si>
  <si>
    <t xml:space="preserve">For the (1x salary up to $150,000) basic life plan, remove the rounding rule that occurs at age reduction.
After scheduler see if there is any impacted employee on this.
</t>
  </si>
  <si>
    <t xml:space="preserve">Please add the following new departments. They should be set up for all CLDD’s
• Connector Enrollment
• Connector Modified Midwest
• Connector Outreach
</t>
  </si>
  <si>
    <t xml:space="preserve">Please add the following new departments. They should be set up for all CLDD’s
• Connector Enrollment
• Connector Modified Midwest
• Connector Outreach</t>
  </si>
  <si>
    <t xml:space="preserve">Updated Employer paid LTD waiting period rule from 7/1/2022 First of month following 12 months of employment.
The employees with hire date July 2022 the effective date is changed to 8/1/2023.</t>
  </si>
  <si>
    <t xml:space="preserve">Gilbert May has moved from TN to Higginbotham
1.	 Add Higginbotham in Teamwork as a listed Partner
2.	Add Higginbotham in scout for EDI
3.	Add Higginbotham in Scout for Customer Success
4.	Update Benefits Junction Dashboard and change broker to Higginbotham
a.	Update Tiffanie Martinez’s email address to tmartinez@higginbotham.net on BenJ Dashboard
b.	Update her email address to tmartinez@higginbotham.net  Admin Access User
5.	Update the Logo on Benefits Junction
6.	Update the logo on touchpoint
7.	Update the Need Help – should no longer be the TN phone number and email address
a.	Phone number should be Enrollment Support – 925-332-2034
b.	Email address enrollmentsupport@workforcejunction.com
c.	Use the Flyer attached if you can post the flyer as the page and just add WFJ to the bottom of the page for Enrollment and Navigation Support
8.	Update the welcome email for Benefit Questions call the Employee Response Center at Call 866-419-3518 to speak with a representative Monday through Friday from 8:00 a.m. to 5:00 p.m. CT. or email helpline@higginbotham.net.  For Enrollment or Navigation Support call 925-332-2034 – Monday – Friday 9:30 am CT to 6:30 pm CT or email Enrollmentsupport@workforcejunction.com.
9.	 Make sure all reference to TrueNorth is removed from the site.
</t>
  </si>
  <si>
    <t xml:space="preserve">Voluntary Life is in increments of 25k with a maximum of 7 times salary.
The maximum salary of 7 times salary needs to be rounded down to the 25k increment.
Can you please update the site and correct the three employees below.
EE ID: 774321946 (GOMEZ LEMUS, JORGE) - Voluntary Life and AD&amp;D Volume - 393120 - reported in the file
EE ID: 260715642 (MENDOZA, BRENDA) - Voluntary Life and AD&amp;D Volume - 455000 - reported in the file
EE ID: 592046874 (TAYLOR, JAMEL) - Voluntary Life and AD&amp;D Volume - 247520 - reported in the file
Jorge Max should be $375k
Brenda Max should be $450k
Jamel Max should be $225k
</t>
  </si>
  <si>
    <t xml:space="preserve">Updated the Employee coverage rounding rule to rounded down to the 25k increment.
Also correct the below employee records coverage. 
EE ID: 774321946 (GOMEZ LEMUS, JORGE) - Voluntary Life and AD&amp;D Volume - 393120 - reported in the file
EE ID: 260715642 (MENDOZA, BRENDA) - Voluntary Life and AD&amp;D Volume - 455000 - reported in the file
EE ID: 592046874 (TAYLOR, JAMEL) - Voluntary Life and AD&amp;D Volume - 247520 - reported in the file
Jorge Max should be $375k
Brenda Max should be $450k
Jamel Max should be $225k
</t>
  </si>
  <si>
    <t xml:space="preserve">Need to update Locations rename, remove, and add see instructions on Grid as well. https://appriver3651007094.sharepoint.com/:x:/g/EYsjDjWOexhCoWGanhGESuwB5cvguz-QiVBLKlfydCZnqA?e=E6cMFE
</t>
  </si>
  <si>
    <t xml:space="preserve">Updated the Locations as per above information and Grid. Also, for Client HR users remove those Do Not Use Locations.
Review if there are any Active employees
</t>
  </si>
  <si>
    <t xml:space="preserve">As per Hartford carrier, TN provided the incorrect age band rules for new hires. 
Beginning 09/01/2021 which is their plan anniversary date – for the entire year Age is based on 09/01/2021.  New Hires are set up as age as of effective date of plan.  Per Hartford it should be age as of 09/01/2021. </t>
  </si>
  <si>
    <t xml:space="preserve">For Critical Illness and STD plans the Base Age for Rate Calculation for New Hires are changed to below -
For the new hire from 09/01/2021 - 08/31/2022 - the Base Age for Rate Calculation should be age as of 09/01/2021. 
For the new hire from 09/01/2022 - 08/31/2023 - the Base Age for Rate Calculation should be age as of 09/01/2022.
</t>
  </si>
  <si>
    <t xml:space="preserve">In the latest demographic file, a new department was added. Please add department 20 - Sentry Leasing with eligibility matching the other departments. </t>
  </si>
  <si>
    <t xml:space="preserve">Beneficiary reminder email setup update to “Monthly” and “23 Days” before the due date. 
Create a test case to see if the reminder goes monthly. See when the 1st reminder is going and next month we can check for another reminder. Add a task to follow up to see if it is sent.
</t>
  </si>
  <si>
    <t xml:space="preserve">Spouse ICCSD Employee plan doesn't come up for status changes, and so need to make it editable anytime, and effective immediately. </t>
  </si>
  <si>
    <t xml:space="preserve">Spouse ICCSD Employee plan is made always editable, and rule is updated to Date of Election. </t>
  </si>
  <si>
    <t xml:space="preserve">Basic Life plan and Voluntary Life plan to terminate date of termination.
</t>
  </si>
  <si>
    <t xml:space="preserve">Altitude changed from UMR to UHC for Dental &amp; Vision effective for new plan year 09/01/2022.  UMR owns UHC.  We currently have a file for medical, dental and vision already tested and in place for the current plan year.  UMR has indicated that we can continue to use the same file each week with the weekly eligibility for the new plan year.  UMR will upload the file and the two plans that are on the UHC platform will transfer automatically.  This way we do not need to create any new files.  Russ has discussed with Sheila from UMR and Russ and spoken with RAJ KUMAR and we would like to have the carrier’s for Dental and Vision changed to UMR.  I have updated the CRF to indicate why they are showing as UMR instead of UHC.
Please update the carriers back to UMR and notify Raj as soon as this has been completed so he can run the open enrollment file that is effective 09/01/2022 and get the file out to the carrier asap
</t>
  </si>
  <si>
    <t xml:space="preserve">Please change the carrier for Dental and Vision plans from UHC to UMR. Read the above description.
</t>
  </si>
  <si>
    <t xml:space="preserve">In a recent demographic file, we received two new locations that needs to be added. Please add the following locations, eligibility matching the other locations:  
THS - Louetta Rd/Stuebner Airline Rd 
CTX - Corporate Texas</t>
  </si>
  <si>
    <t xml:space="preserve">Added the following locations, eligibility matching the other locations:  
THS - Louetta Rd/Stuebner Airline Rd 
CTX - Corporate Texas</t>
  </si>
  <si>
    <t xml:space="preserve">Created two informational plan pages for Brella and Insurchoice using the given information. The following class should be eligible for the plans:  Full-Time, VH-Eligible, and FT Prior Enrolled. 
Also updated the Touchpoints. </t>
  </si>
  <si>
    <t xml:space="preserve">Please correct the rates for the Voluntary Long-Term Disability plan as follows for these two rate tiers: 
45-49 should be changed from $1.08 to $1.06 
55-59 should be changed from $1.58 to $1.56</t>
  </si>
  <si>
    <t xml:space="preserve">Corrected the rates for the Voluntary Long-Term Disability plan as follows for these two rate tiers: 
45-49 is changed from $1.08 to $1.06 
55-59 is changed from $1.58 to $1.56</t>
  </si>
  <si>
    <t xml:space="preserve">Please remove EOI request for Voluntary STD Plans. This includes both plan and also review the EOI setup in Plan details page as well is set to No. </t>
  </si>
  <si>
    <t xml:space="preserve">Upfield is adding Direct Bill through our Wex integration. The purpose of this service is to collect premiums from employees that are on an unpaid leave. Once Wex is notified of an employee that is on an unpaid leave, they will send a packet to the employee with instructions on how to make their payments.  
Upfield will notify WFJ of the change in employee status via our demographic file feed along with a separate notification from Tim at Upfield. Once the employee record is updated, data team will report the employee to Wex via file feed. 
We need to create a new division called Direct Bill. This new division will be eligible only for Medical, Dental, Vision, FSA, and the employer-paid plans (STD, LTD, Basic Life). When an employee is moved to this division, only these plans should remain active. Wex will take care of reporting the enrollments for Medical, Dental, Vision, and FSA. So, we need to ensure we’re not reporting these enrollments on our file feed. For the employer-paid plans, we’ll need to continue reporting the enrollments in our file feed.
Once the employee returns from their leave, we’ll be notified by Upfield via the demographic file to update the employee’s division back to All Employees.  
</t>
  </si>
  <si>
    <t xml:space="preserve">Read the above notes and then read the below.
We need to create a new division called Direct Bill. This new division will be eligible only for Medical, Dental, Vision, FSA, and the employer-paid plans (STD, LTD, Basic Life). When an employee is moved to this division, only these plans should remain active.
</t>
  </si>
  <si>
    <t xml:space="preserve">Please update the premiums for the Mec Plans as they are now self-insured plans
Plan			StopLoss	Admin Fee		FIE
MEC Bue		$16.18		$44.93			Keep what is already in BenJ	
MEC Green		$28.08		$47.93			Keep what is already in BenJ	
</t>
  </si>
  <si>
    <t xml:space="preserve">Please update all QLE rules for Assurity Plans -
 QLE is effective FOM following QLE date. 
This should be for Critical Illness, Hospital Indemnity &amp; Accident Plan </t>
  </si>
  <si>
    <r>
      <t xml:space="preserve">Updated all QLE rules for Assurity Plans -
 </t>
    </r>
    <r>
      <rPr>
        <i/>
        <family val="2"/>
        <scheme val="minor"/>
        <sz val="11"/>
        <rFont val="Calibri"/>
      </rPr>
      <t xml:space="preserve">QLE is effective FOM following QLE date. </t>
    </r>
    <r>
      <rPr>
        <family val="2"/>
        <scheme val="minor"/>
        <sz val="11"/>
        <rFont val="Calibri"/>
      </rPr>
      <t xml:space="preserve">
This is for Critical Illness, Hospital Indemnity &amp; Accident Plans</t>
    </r>
  </si>
  <si>
    <t xml:space="preserve">From the recent demographic file, we found two new locations. Please add the following locations, with eligibility matching the other locations.
•	F54- Lutz: SR 54/Ballantrae Blvd (Cypress Ranch)
•	TER - Euless
</t>
  </si>
  <si>
    <t xml:space="preserve">In the recent demographic file, we received new locations. The new locations are replacing locations already in the system. Please update BenJ. We also need the data team to update their mapping to these new locations for the file feeds.
Code	Previous Location	New Location	Code
APG	APG - Gilbert: S Power Rd/E Germann Rd	 to AZGPG - Gilbert: Power/Germann	AZGPG,
AZH	AZH - Higley	to AZGHP - Gilbert: Higley	AZGHP,
AZG	AZG - Gilbert, to AZMGB - Mesa: Baseline Rd	AZMGB,
AVV	AVV - Gilbert: S Val Vista Dr/E Pecos Rd,	to AZGVP - Gilbert: S. Val Vista	AZGVP,
AZS	AZS - North Scottsdale to AZSNR - Scottsdale: North Scottsdale	AZSNR,
AOT	AOT - Gilbert-Ocotillo	AZCGO - Chandler: Gilbert Rd.	AZCGO to
ARR	ARR - Chandler	AZCRR - Chandler: W Ray Rd	AZCRR
</t>
  </si>
  <si>
    <t xml:space="preserve">For all carriers effective 01/01/2023 anyone who is a new hire on or after 01/01/2023 should have the below waiting period rule. This rule applies to New Hire and Rehires. 
 First of the Month Following or Coinciding with 30 Day(s) from Date of Hire
 LTD - First of the Month Following 12 Months from Date of Hire</t>
  </si>
  <si>
    <t xml:space="preserve">The STD set up needs to change from
Change the weekly salary to weekly Benefit.</t>
  </si>
  <si>
    <t xml:space="preserve">
Changed the STD setup to weekly salary to weekly Benefit.</t>
  </si>
  <si>
    <t xml:space="preserve">HR moved an employee to a Part-Time class which terminated the benefits at the end of the month, and HR confirmed coverage should end on date of change.  
 Class changes that result in termination, should end date of the class for all plans. Please update rules in the system. </t>
  </si>
  <si>
    <t xml:space="preserve">Please rename All Employees to Full Time Class and create new Part Time Class.
Anyone who is currently active in BenJ should be under the FT Class.
Need to be able to track employees who went from FT to PT and back to FT on the demographic import file.  As it is easier for Data Team to track the changes</t>
  </si>
  <si>
    <t xml:space="preserve">Renamed All Employees to Full Time Class and created new Part Time Class.
Anyone who is currently active in BenJ should be under the FT Class.
Need to be able to track employees who went from FT to PT and back to FT on the demographic import file.  As it will be easier for Data Team to track the changes</t>
  </si>
  <si>
    <t xml:space="preserve">To Do List Setup update the Alert setup by adding the below above the username link.  
Class Code: Employee. 
The client is aware that we cannot display the class code in the reminder email by CLDD</t>
  </si>
  <si>
    <t xml:space="preserve">New departments were received in the demographic file. Please add department 417 and 137. Eligibility should match the other departments. </t>
  </si>
  <si>
    <t xml:space="preserve">Please add department 417 and 137. Eligibility should match the other departments. 
Make sure to move this is OE setup as well.
</t>
  </si>
  <si>
    <t xml:space="preserve">A new code has been received in the demographic file, please add the following location, eligibility should match the other locations. 
UTS1S - Sandy: S 1300 E</t>
  </si>
  <si>
    <t xml:space="preserve">Please add the following location, eligibility should match the other locations. 
UTS1S - Sandy: S 1300 E
</t>
  </si>
  <si>
    <t xml:space="preserve">Please enable the Employee Gained Other Coverage status change in the system and copy the setup from the status change Dependent Gained Employment/Other Coverage
Do this for all applicable plan types.</t>
  </si>
  <si>
    <t xml:space="preserve">Please add New department “147”. Eligibility should match the other plans.	
</t>
  </si>
  <si>
    <t xml:space="preserve">Updated the 3-character code to the new 5-character code. Below are renamed locations -
AZMGM - Mesa: Gilbert/McKellips
AZT1W - Tempe: Warner Rd/I-10
CATMT - Temecula Parkway
CAMMM - Murrieta
UTR15 - Roy: W 5700
AZPCC - Phoenix: Cactus Rd/Cave Creek
CALAW - Ladera Ranch: Antonio Pkwy/Windmill Ave
UTTR5 - Taylorsville: S Redwood Rd
CAHNC - Hawaiian Gardens: E Carson/Norwalk Blvd
FLTDB - Tampa: Midtown
AZG8C - Glendale: 83rd Ave/W Camelback Rd
CAFSC - Fullerton - E Chapman/State College Blvd
FLSTP - Sarasota: Tamiami Trail
AZSLW - Surprise: Litchfield/Waddell
AZQER - Queen Creek: Ellsworth/Riggs
AZP1B - Phoenix: S 19th Ave/W Baseline Rd
FLOHC - Orlando: Hiawassee Rd/Clarcona Rd
FLLO5 - Lutz: SR 54/Oak Grove</t>
  </si>
  <si>
    <t xml:space="preserve">Data team noticed a change in the department names received in the demographic file. The department on the left side was received from the file, and the data on the right side are the departments in our system. Please rename the departments to match new names on the left side: </t>
  </si>
  <si>
    <t xml:space="preserve">Avient Mgt – Avient
Vendor Mgt – Vendor Management
Allscripts Mgt – Allscripts Managed Services
Product Mgt – Product
Carrier Services Mgt – Carrier Services
HBK Mgt – HBK
OSP Mgt – OSP
Sales Engineering – SE
Kent Mgt - Kent
</t>
  </si>
  <si>
    <t xml:space="preserve">ased on set up for 2022 We needed to provide Department 1 or Department 2. 
New Plans for 2023 do not require 1 &amp; 2 and the import file coming in is Hourly &amp; Salary. 
Please update the Department in BENJ to “Hourly” and “Salary” 
Once this has been completed – Muniraju will upload the most current Data import file and update the fields with Hourly and Salary. </t>
  </si>
  <si>
    <t xml:space="preserve">Updated the Department names in BENJ to “Hourly” and “Salary” </t>
  </si>
  <si>
    <t xml:space="preserve">New location received in the demographic file. Please added NVHSS N Stephanie St/W Sunset Rd as a new location. Eligibility should match the other locations. </t>
  </si>
  <si>
    <t xml:space="preserve">Please added NVHSS N Stephanie St/W Sunset Rd as a new location. Eligibility should match the other locations </t>
  </si>
  <si>
    <t xml:space="preserve">We have added two new location  -
•	All Employees EESP wellness
•	All Employees SP wellness
The eligibility of these locations match with "All Employees EE wellness" location.
We have updated rates of the 2023 Medical plans based on location</t>
  </si>
  <si>
    <t xml:space="preserve">Current set up for Basic Life child life is the rate per child.
We have received confirmation that the rate is one rate for all Children and Spouse.
Can you please update the rates to – regardless of the number of children the premium is the same.  The rate should not be based on the number of children/spouse.</t>
  </si>
  <si>
    <t xml:space="preserve">We’ve received new departments in the demographic file. HR confirmed some need to replace the current departments and there two new departments that need to be added. The two new departments are Client Service Delivery and Modern Workplace. </t>
  </si>
  <si>
    <t xml:space="preserve">For Voluntary Life plan. Base age for new hires to be updated with 2 periods. 
1/1/2022 = 1/1/2022 t0 12/31/2022 
1/1/2023 = 1/1/2023 t0 12/31/2023 </t>
  </si>
  <si>
    <t xml:space="preserve">Please round volume for LTD down to the next whole dollar.
Please let Renuka know when this has been updated
</t>
  </si>
  <si>
    <t xml:space="preserve">Update the LTD plan rounding rules to “Round down to lower whole dollar”. This is for both the plans.
Client is ok with slight difference because of the rounding.</t>
  </si>
  <si>
    <t xml:space="preserve">Currently we have a CI plan set up with a drop down of 10k and 20k. 
However, based on 834 EDI structure we cannot pass the information based on current set up. 
We need to change to have 2 plans built</t>
  </si>
  <si>
    <t xml:space="preserve">We need to add a Department and we need to change the name of a Department	
New Department is O/O This is what will come on the demographic Import file it stands for owner/operator
We need to change the name of the Department “ADMIN” and change to “STAFF”</t>
  </si>
  <si>
    <t xml:space="preserve">We need to add a Department and we need to change the name of a Department	
New Department is O/O
We need to change the name of the Department “ADMIN” and change to “STAFF”
</t>
  </si>
  <si>
    <t xml:space="preserve">HR noticed an employee’s enrollment had a different effective date for the FSA due to the coinciding rule. HR is now confirming the FSA waiting rules should match the other plans. </t>
  </si>
  <si>
    <t xml:space="preserve">Updated Waiting period rules for New Hire, Rehire and Class changes to below. Just remove the Coinciding
First of the Month Following 60 Day(s) from Date of Hire
Also update Division, Department and Location rules to 
First of the Month Following 60 Day(s) from Date of Hire
And Termination rules to for Division, Department and Location
Last day of month following date of termination
Below employees' effective dates have been corrected to 1/1/2023.
Mac Schreuder
Romario
</t>
  </si>
  <si>
    <t xml:space="preserve">The plan that is being offered is only Voluntary Life.  Correcting the name of the plan so EDI only sends Voluntary Life on the spreadsheets and files. </t>
  </si>
  <si>
    <t xml:space="preserve">Renewal wizard shows Age Reduction for spouse based on Employees Age.  However plan document states spouse terminates at age 70. 
 Please make sure there are no spouses 70 or older enrolled in any plans. </t>
  </si>
  <si>
    <t xml:space="preserve">For Voluntary Life plan Remove spouse age reduction setup after 70+ and change 70 age to 100% reduction. </t>
  </si>
  <si>
    <t xml:space="preserve">Please add the following Departments for Hummer. 
Change All Employees to – One of the 3 new departments maybe Driver and add the other two: 
Driver 
Office  
Brokerage </t>
  </si>
  <si>
    <t xml:space="preserve">Please update the location based monthly EE medical contributions based on the rates below.   </t>
  </si>
  <si>
    <t xml:space="preserve">Updated the location based monthly EE medical contributions based on the rates given in CRF.   </t>
  </si>
  <si>
    <t xml:space="preserve">The broker confirmed the overage dep rule will be changing for 2023. When deps turn 26, the coverage should end date of event for all plans. </t>
  </si>
  <si>
    <t xml:space="preserve">The broker confirmed the overage dependent rule will be changing for 2023. When dependents turn 26, the coverage should end date of event for all plans. </t>
  </si>
  <si>
    <t xml:space="preserve">Mutual of Omaha informed TrueNorth of a rate correction that needs to be updated for the basic life - on both classes.
The total rate is $0.235 = $0.195 for the life insurance and $0.04 for the AD&amp;D insurance.
It appears that class 4 is under the correct rate; however, the other plan is showing a rate of $0.315. Please update the other plan to match Class 4 rate. This is effective from 1/1/2023. 
</t>
  </si>
  <si>
    <t xml:space="preserve">Update the Basic Life rate.
Basic Life &amp; AD&amp;D $15k rate should be $0.195 for the life insurance and $0.04 for the AD&amp;D insurance.
No changes to class 4 Basic Life.
</t>
  </si>
  <si>
    <t xml:space="preserve">With the new department that was added O/O for Owner Operator.  Jennifer confirmed this morning that if an employee is in this Department, they are not eligible for Benefits.
Please update eligibility for all plans.
</t>
  </si>
  <si>
    <t xml:space="preserve">New department that was added O/O for Owner Operator.  Jennifer confirmed this morning that if an employee is in this Department, they are not eligible for Benefits.
Please update eligibility for all plans.
</t>
  </si>
  <si>
    <t xml:space="preserve">Client has decided not to pend New Hire Enrollments for HR approval.
Also we need to add lschipper@midiowacoop.com. to receive any messages from the system.  Can you please make this update as well. Pending EOI, Pending QLE, Overage Dependent etc.
</t>
  </si>
  <si>
    <t xml:space="preserve">Transaction Approval Setup for New Hire/Eligibility Change update to Approval not required as the Client has decided not to pend New Hire Enrollments for HR approval.
Also we need to add lschipper@midiowacoop.com. to receive any messages from the system.  Can you please make this update as well. Pending EOI, Pending QLE, Overage Dependent etc.
</t>
  </si>
  <si>
    <t xml:space="preserve">We need to add a Location “New York”
We need this  location to be set up as employees who will be in the Location are not eligible to be enrolled in the Employer Paid CI Plan, they also are not eligible for EE paid Critical Illness plan and the Voluntary Accident Plan.  
There is one employee currently in NY – Richard Hutchinson we terminated him from EE Paid CI and Accident Plan.  Can you please see that he is removed from the ER paid CI plan.</t>
  </si>
  <si>
    <t xml:space="preserve">Added a Location “New York”
We need this location to be set up as employees who will be in the Location are not eligible to be enrolled in the Employer Paid CI Plan, EE paid Critical Illness plan and the Voluntary Accident Plan.  
There is one employee currently in NY – Richard Hutchinson we terminated him from EE Paid CI and Accident Plan.  Can you please see that he is removed from the ER paid CI plan.
</t>
  </si>
  <si>
    <t xml:space="preserve">Please set up the reminder for new hires. Frequency should be set to weekly and start sending the reminders 30 days before the due date. 
 Also, in activation email enable the To Do List setup.</t>
  </si>
  <si>
    <t xml:space="preserve">Updated the reminder email for new hires. Frequency is set to weekly and start sending the reminders 30 days before the due date. 
 Also, in activation email enabled the To Do List setup.</t>
  </si>
  <si>
    <t xml:space="preserve">Newborn SSNs are causing a problem for the client. Better to remove requirement for dependent SSN </t>
  </si>
  <si>
    <t xml:space="preserve">A new department came over on the file, please add department 156. Eligibility should match the other departments. </t>
  </si>
  <si>
    <t xml:space="preserve">	Tribridge Partners</t>
  </si>
  <si>
    <t xml:space="preserve">For status changes for the Critical Illness Plan.  Employees can enroll or decline with a QLE but if they are enrolled outside of the new hire window or Open Enrollment, they must pend for EOI.
Can you please update the set up for all QLE’s to go through EOI for Critical Illness.
</t>
  </si>
  <si>
    <t xml:space="preserve">Please update the set up that employees cannot update their home address, birthday, or SSN on the Personal Information Page.  We are receiving an import and the information should feed from the import only. </t>
  </si>
  <si>
    <t xml:space="preserve">Employees should not edit their home address, birthday, or SSN on the Personal Information Page.  We are receiving an import and the information should feed from the import only. 
Address Line 1
Address Line 2
State
City
Zip/Postal Code
Social Security #
Date of birth</t>
  </si>
  <si>
    <t xml:space="preserve">Please restrict employees from updating their address in Benefits Junction on the Personal Information page.  We are receiving a demographic import file and address changes need to come through on the file only.
2.	Please create a custom field on the Work Information Page.  Please name the field Paylocity Company Code.  This field needs to be captured in the Work Information report in Benefits Junction
</t>
  </si>
  <si>
    <t xml:space="preserve">1.	Please restrict employees from updating their address in Benefits Junction on the Personal Information page.  We are receiving a demographic import file and address changes need to come through on the file only. Just remove editable.
2.	Please create a custom field on the Work Information Page.  Please name the field Paylocity Company Code.  This field needs to be captured in the Work Information report in Benefits Junction.</t>
  </si>
  <si>
    <t xml:space="preserve">We need to build 3 additional classes for this group for ACA requirements.
Please add the following 3 classes and anyone in these classes should NOT receive any benefits.  These are non-benefit eligible classes.
•	PT Employees
•	PT Owners
•	PT TX Employees</t>
  </si>
  <si>
    <t xml:space="preserve">Please add the following 3 classes and anyone in these classes should NOT receive any benefits.  These are non-benefit eligible classes.
•	PT Employees
•	PT Owners
•	PT TX Employees
</t>
  </si>
  <si>
    <t xml:space="preserve">We received the demographic file dated 01/23/2023 with the new department 468 for one new hire record. Please add the new department.	</t>
  </si>
  <si>
    <t xml:space="preserve">The medical monthly premiums and ER cost need to be updated.
EE cost should remain as is.
https://appriver3651007094.sharepoint.com/:x:/g/EYj4AK-HXzxGnZMZflWIK2cB4lG7K8JyEuufbgZP_yrjHw?e=wkWUH8
</t>
  </si>
  <si>
    <t xml:space="preserve">Update rehire rules for AllOth and DeptMgr: 
•	If an employee returns within 13 weeks, All benefits are effective "First of the month following rehire"
•	If an employee returns after 13 weeks, All benefits are "First of the Month Following 60 Day(s) from Date of Rehire."
</t>
  </si>
  <si>
    <t xml:space="preserve">Update rehire rules for AllOth and DeptMgr: 
•	If an employee returns within 13 weeks, All benefits are effective "First of the month following rehire"
•	If an employee returns after 13 weeks, All benefits are "First of the Month Following 60 Day(s) from Date of Rehire."
Solution: Since there is no week’s option in the setup, we need update as 91 days which is 13 weeks. Inform CRM on the same.
Please update enrollment effective dates for Joseph Marks</t>
  </si>
  <si>
    <t xml:space="preserve">In preparing for the Noyo integration, we found that interns are not treated as new hires, so instead they convert to full-time employees, meaning their class would change in the system. Hence, we need to update the Waiting Period rules for class changes to be the following for all plans: 
First of the Month Following or Coinciding with 0 Day(s) from Date of Hire  
</t>
  </si>
  <si>
    <t xml:space="preserve">We need to update the Waiting Period rules for class changes to be the following for all plans: 
First of the Month Following or Coinciding with 0 Day(s) from Date of Hire  
</t>
  </si>
  <si>
    <t xml:space="preserve">	Hierl Insurance Inc</t>
  </si>
  <si>
    <t xml:space="preserve">Removed Special Event in Dropdown for QLE for all plan types.
</t>
  </si>
  <si>
    <t xml:space="preserve">Broker did not update the Premium and ER Contributions into the Renewal Wizard.
The employee contributions are correct it is just the Premium and ER Cost.
Please update for medical and dental</t>
  </si>
  <si>
    <t xml:space="preserve">The employee contributions are correct it is just the Premium and ER Cost.
Please update for medical and dental as per the attached spreadsheet
</t>
  </si>
  <si>
    <t xml:space="preserve">While correcting an employee’s benefits effective date, we found that Fiore has change the eligibility period for part-time to full-time changes. Employees are eligible for benefits the 1st of the month following the date of class change.   
Please updated the Class waiting period to be effective the 1st of the month following the date of class change for all benefits</t>
  </si>
  <si>
    <t xml:space="preserve">Please add the following Departments to Benefits junction.
      Department Number:                    
               4-7320                                   
                4-7360                                   
                4-7380                                   
                4-7390                                   
                4-7400                                   
                4-7420                                   
                 4-7460                                   
                  4-7480                                   
                 4-7500                                   
                4-7521                                   
               4-7590                                   
                   4-7595                                   
                4-7596                                   
                 4-7597                                   
                4-7598     
</t>
  </si>
  <si>
    <t xml:space="preserve">Please add the following Departments to Benefits junction
      Department Number:                    
               4-7320                                   
                4-7360                                   
                4-7380                                   
                4-7390                                   
                4-7400                                   
                4-7420                                   
                  4-7460                                   
              4-7480                                   
                 4-7500                                   
                 4-7521                                   
                  4-7590                                   
                   4-7595                                   
                 4-7596                                   
                 4-7597                                   
                 4-7598                                   
</t>
  </si>
  <si>
    <t xml:space="preserve">Add a new information only plan. PacifyR Page already created on Staging and approved by client. Move to production. This should be first page in workflow. </t>
  </si>
  <si>
    <t xml:space="preserve">Add a new information only plan. PacifyR Page already created on Staging and approved by client. Moved to production. This is the first page in workflow. </t>
  </si>
  <si>
    <r>
      <t xml:space="preserve">We Received the demographic file dated 02/20/2023 with the new department "159" for existing records. Please add </t>
    </r>
    <r>
      <rPr>
        <b/>
        <color rgb="FF000000"/>
        <family val="2"/>
        <sz val="11"/>
        <rFont val="Calibri"/>
      </rPr>
      <t>159</t>
    </r>
    <r>
      <rPr>
        <color rgb="FF000000"/>
        <family val="2"/>
        <sz val="11"/>
        <rFont val="Calibri"/>
      </rPr>
      <t xml:space="preserve"> as a new department, eligibility should match the other departments.</t>
    </r>
  </si>
  <si>
    <r>
      <t xml:space="preserve">Please add </t>
    </r>
    <r>
      <rPr>
        <b/>
        <color rgb="FF000000"/>
        <family val="2"/>
        <sz val="11"/>
        <rFont val="Calibri"/>
      </rPr>
      <t>159</t>
    </r>
    <r>
      <rPr>
        <color rgb="FF000000"/>
        <family val="2"/>
        <sz val="11"/>
        <rFont val="Calibri"/>
      </rPr>
      <t xml:space="preserve"> as a new department, eligibility should match the other departments.</t>
    </r>
  </si>
  <si>
    <t xml:space="preserve">We received the demographic file dated 02/15/2023 with the new department "161 Weld - Crane &amp; Demountable" for new hire records.
Please add the new department, eligibility should match the other plans.</t>
  </si>
  <si>
    <t xml:space="preserve">TrueNorth provided in the incorrect rates for 2023 Medical plan in the renewal wizard.
Error found in A&amp;R Audit.</t>
  </si>
  <si>
    <t xml:space="preserve">We found out from the broker that we need to update the basic life rate for Class 1, 2, and 3. The rate is $0.275 per $1,000 effective 1/1/2023. The AD&amp;D rate remains at $0.040. 	</t>
  </si>
  <si>
    <t xml:space="preserve">The rate for Basic Life &amp; AD&amp;D was reduced effective 01/01/2023 and the broker did not update us.
Basic Life is .43 per 1k = $4.30 and AD&amp;D rate is .03 per 1k = .30 per 1k
Total Life &amp; AD&amp;D total monthly amount should be 4.60
Please update system with corrected rates.
</t>
  </si>
  <si>
    <t xml:space="preserve">The rate for Basic Life &amp; AD&amp;D was reduced effective 01/01/2023 and the broker did not update us. Effective 1/1/2023 add a new period plan year.
Basic Life is 0.43 per and AD&amp;D rate is 0.03 per 1k 
</t>
  </si>
  <si>
    <t xml:space="preserve">Rates corrected for Medical -CompleteBlue 4000 HMO - MV </t>
  </si>
  <si>
    <t xml:space="preserve">Please increase the employee GI for New hires to 5 times annual salary to a max of 100k. for Voluntary Life &amp; AD&amp;D.
</t>
  </si>
  <si>
    <t xml:space="preserve">Please increase the employee GI for New hires 5 times annual salary to a max of 100k for Voluntary Life.
The Employee GI for New Hires EE is being increased from 75k to 100k</t>
  </si>
  <si>
    <t xml:space="preserve">Brightmark is offering employees that waive medical coverage and have other group coverage a cash benefit that benefits desk (BD) has to track. The BD must review the employee record if the coverage was waived and determine if they’re eligible for the cash benefit based on the submitted documentation. Then they need to notify HR to update payroll and track these employees in a master list. When these employees enroll in the medical plan, the BD must notify HR to update payroll again. 
Therefore, we need to turn on pending transaction for the medical plan for new hire enrollments, and for midyear changes so the BD can track the changes and notify HR accordingly. 
Since we can’t do only for Medical plan. We need to do pending for all plans for new hires.</t>
  </si>
  <si>
    <t xml:space="preserve">Turn on pending transaction for the medical plan for new hire enrollments, and for midyear changes so the BD can track the changes and notify HR accordingly. 
Since we can’t do only for Medical plan. We need to do pending for all plans for new hires.
So update “Transaction Approval Setup” to “Only Enrollment Transactions needs approval”
</t>
  </si>
  <si>
    <t xml:space="preserve">New departments received in the demographic file. Please add the following, eligibility should match the other plans:
Marketing
Human Resources
Facilities Management
Technology
Accounting
Growth
Stretch
</t>
  </si>
  <si>
    <t xml:space="preserve">HR is requesting we update the medical waiting period for class changes. Currently the rate is reduced on the employee's anniversary, and they would like to update this to update the 1st of the month following their 2-year anniversary. This is currently being handled by the employee’s Class. 
So, for medical class changes, please change the current rule, date of class, to 1sf of the following month. HR will report the class change in the Paylocity file
</t>
  </si>
  <si>
    <t xml:space="preserve">The client noticed HSA contributions changes are effective the 1st of the following month. They want to update this to date of contribution change. Please update the rule in the system.	</t>
  </si>
  <si>
    <t xml:space="preserve">Please add a Part Time Class to Benefits Junction.
No Benefits are Eligible for employees.
If someone goes from FT to PT Benefits should terminate the last day of the month following the class change date.
Rebecca Hoppenrath is a PT employee so she should not receive any CEC benefits (including life and STD/LTD). I noticed that James Jankunas is enrolled in those benefits - he is also a PT employee. Can you remove him from benefits as well.  Please remove benefits for these two employees back to their hire date
These two employees should never have been enrolled in benefits.  Therefore we need to make sure they are not sent COBRA notices.
</t>
  </si>
  <si>
    <t xml:space="preserve">Please update all notifications being sent to Ahern from Jordan Shaw to Kelsea Murphy.
Kelsea’s email address is = kmurphy@jfahern.com.  
Jordan should remain active with Admin access; however she is moving from Benefits to another role in HR and will be training the new hire.  This should take affect on Monday 03/13/2023.
Please post the updated CDS as I have removed Jordan as the contact</t>
  </si>
  <si>
    <t xml:space="preserve">Please update all notifications being sent to Ahern from Jordan Shaw to Kelsea Murphy.
Kelsea’s email address is = kmurphy@jfahern.com.  
Jordan should remain active with Admin access; however she is moving from Benefits to another role in HR and will be training the new hire.  This should take affect on Monday 03/13/2023.
</t>
  </si>
  <si>
    <t xml:space="preserve">Please remove the “Special Event” that was set up under Status Change for multiple clients due to COVID Rules. </t>
  </si>
  <si>
    <t xml:space="preserve">Please set rounding rule for the Basic Life &amp; AD&amp;D plan to - round to the next higher multiple of $1,000.
Next Highest $1,000 on BenJ.</t>
  </si>
  <si>
    <t xml:space="preserve">	Assured Partners</t>
  </si>
  <si>
    <t xml:space="preserve">We need to add another Division and update the EDI feeds. We’ll also need to set up a new Paylocity feed once we get confirmation that the account has been set up on Paylocity. 
New Division name is Genscience
Benefits should mirror Deerfield Management. 
I discussed with Russ already and estimated $1250 for the paylocity feed, and $1250 for the edi carrier updates, and $250 to update Benefits Junction.</t>
  </si>
  <si>
    <t xml:space="preserve">Add “American Logistics, Inc” as a Division in Benefits Junction. Same plans as Network. 
I already charge $250 for this update.
</t>
  </si>
  <si>
    <t xml:space="preserve">Add “American Logistics, Inc” as a Division in Benefits Junction. Same plans as Network.
We will need a unique touchpoints portal for American - myamericanlogisticsbenefits.com. All benefit information will be exactly the same as Network - just a different company name and branding. The logos are attached is Helpscout.
</t>
  </si>
  <si>
    <t xml:space="preserve">Rakshith </t>
  </si>
  <si>
    <t xml:space="preserve">A new location has been received in the demographic file. Please add the location; eligibility matches the other locations. 
FLKKR Kendall: Mills Dr
</t>
  </si>
  <si>
    <t xml:space="preserve">Rehire Benefit effective date for all plans except for Basic Life, STD, LTD &amp; Voluntary Life plans should be - 
First of the Month Following 30 Day(s) from Date of Hire
CDS is correct, but the Renewal Wizard was not for 01/01/2023.
Please update all benefits except for Basic Life, STD, LTD &amp; Voluntary Life plans to be effective - 
First of the Month Following 30 Day(s) from Date of Hire</t>
  </si>
  <si>
    <t xml:space="preserve">First of the Month Following 30 Day(s) from Date of Hire
Aaron Campbell – Verify this employee is having correct effective dates as per rehire rule. Review future dated elections and correct the enrollment
</t>
  </si>
  <si>
    <t xml:space="preserve">HR reached out that we need to add new divisions -500 SCI Direct
550 SCI Indirect
 and update the names of two current divisions. Please below:800 IPC Direct
850 IPC Indirect</t>
  </si>
  <si>
    <t xml:space="preserve">HR reached out that we need to add new divisions -500 SCI Direct
550 SCI Indirect
 and update the names of two current divisions to below:
800 IPC Direct
850 IPC Indirect</t>
  </si>
  <si>
    <t xml:space="preserve">Please update the Class Change Rule to Date of Class Change instead of FOM following class change date.  The client has decided that most employees will be going from PT or Intern to FT position which their benefits should be active the date of FT employment.  Please update CLASS only.
Location, Division and Department can stay set as they are.
Also please post the updated CDS in Benefits Junction.</t>
  </si>
  <si>
    <t xml:space="preserve">They have employees in a UNION that are moving to EE.
We need to add them to BenJ using the Union Class  “Union Transfers” to capture original hire date.
Then we will use the Class change to Employees on the date they are to receive Benefits.
</t>
  </si>
  <si>
    <t xml:space="preserve">Please update LTD rate change from .350 to .356
Please have this updated before Sunday evening before the jobs run.  
Broker needs to run a report first thing Monday morning with the new LTD rate for each employee</t>
  </si>
  <si>
    <t xml:space="preserve">New locations were received in the demographic file. Please add the new locations in the system; eligibility should match the other plans.
TXHEB - Houston: Endicott Ln/Beechnut St
TXKS1 - Katy: Spring Green Blvd/FM 1463
TXR27 - Rosenberg: FM 2977 Rd/FM Highway 762 Rd 
</t>
  </si>
  <si>
    <t xml:space="preserve">Please add the new locations in the system; eligibility should match the other plans.
TXHEB - Houston: Endicott Ln/Beechnut St
TXKS1 - Katy: Spring Green Blvd/FM 1463
TXR27 - Rosenberg: FM 2977 Rd/FM Highway 762 Rd 
</t>
  </si>
  <si>
    <t xml:space="preserve">Turn on the waiver reason for the medical plan.
</t>
  </si>
  <si>
    <t xml:space="preserve">HR confirmed that domestic partners cannot enroll in the voluntary life plan. Please update the plan to prevent domestic partners from enrolling. </t>
  </si>
  <si>
    <t xml:space="preserve">HR confirmed that domestic partners cannot enroll in the voluntary life plan. Please update the plan to prevent domestic partners from enrolling. 
Remove the below setup in both the Voluntary Life plans and Voluntary AD&amp;D Plan.</t>
  </si>
  <si>
    <t xml:space="preserve">A new location was received in the demographic file. Please added the following location: 
TXHGA - Houston: Gillette st/Allen Pkwy
</t>
  </si>
  <si>
    <t xml:space="preserve">Can we please create a new Location - Washington 
​The employer paid 5k CI plan should be a monthly flat fate of 10.71</t>
  </si>
  <si>
    <t xml:space="preserve">Please create the following Divisions in BenJ due to Upfield - Aetna - 834 – Mapping. 
Upfield Hackensack Office 
Remote - USA 
New Century -27080 West 159th 
Upfield Rogers Office 
Direct Bill - Upfield Hackensack Office 
Direct Bill - Remote - USA 
Direct Bill - New Century - 27080 West 159th 
Direct Bill - Upfield Rogers Office </t>
  </si>
  <si>
    <t xml:space="preserve">created the following Divisions in BenJ due to Upfield - Aetna - 834 – Mapping. 
Upfield Hackensack Office 
Remote - USA 
New Century -27080 West 159th 
Upfield Rogers Office 
Direct Bill - Upfield Hackensack Office 
Direct Bill - Remote - USA 
Direct Bill - New Century - 27080 West 159th 
Direct Bill - Upfield Rogers Office 
Prepared the upload template</t>
  </si>
  <si>
    <t xml:space="preserve">Created 2 new Location – Washington Tobacco and Washington Non-Tobacco. All other benefits remain the same as Location All Employees. 
 Created 2 plans with age banded rates
Employer Paid Critical Illness $5,000 – WA Non-Tobacco 
Employer Paid Critical Illness $5,000 – WA Tobacco </t>
  </si>
  <si>
    <t xml:space="preserve">Need to add three departments - receive all benefits
Executive Staff
Nurse Manager LPN
Nurse Manager RN</t>
  </si>
  <si>
    <t xml:space="preserve">We need to add a new Department in Benefits Junction for Ahern.
New Department name is “Mason City”
All plans are eligible for this department.</t>
  </si>
  <si>
    <t xml:space="preserve">All of the Direct Bill divisions to include the following plans:  
Voluntary AD&amp;D 
Voluntary Life 
Pet Benefits 
BuyUp LTD 
Accident 
Critical Illness 
FSA HC 
FSA DC 
FMLA 
EAP 
Hospital Indemnity 
Parking Plan 
Mass Transit </t>
  </si>
  <si>
    <t xml:space="preserve">We have received the demographic file for Acme and noticed a new department mentioned below.
Please add the new department: 141.</t>
  </si>
  <si>
    <t xml:space="preserve">Please add the following contacts along with Jean for Overage Dependent Notifications and Pending QLE approvals.
Jean.kosiara@naturalfiberwelding.com
Marty Smith marty.smith@naturalfiberwelding.com 
jerrica.kunkel@naturalfiberwelding.com
</t>
  </si>
  <si>
    <t xml:space="preserve">Update class termination rule for all plans to “Last day of month following date of termination.” </t>
  </si>
  <si>
    <t xml:space="preserve">Updated class termination rule for all plans to “Last day of month following date of termination.” </t>
  </si>
  <si>
    <t xml:space="preserve">We have received the demographic file for Acme and noticed a new department mentioned below.
Please add the new department: 165.</t>
  </si>
  <si>
    <t xml:space="preserve">For the Critical Illness Plan per carrier age for new hires is plan year start date. If employee was hired after 07.01.2022 and before 07.01.2023 the employees age should have been based on plan year start date and not age as of effective date. 
Example - Jasmine Pierce was effective 02/01/2023 and was 30 years old. We are basing premium on age as of effective date so 6.50 per month. Carrier has her at 29 at premium 4.90 per month. </t>
  </si>
  <si>
    <t xml:space="preserve">For the Critical Illness Plan per carrier age for new hires is plan year start date. If employee was hired after 07.01.2022 and before 07.01.2023 the employees age should have been based on plan year start date and not age as of effective date. </t>
  </si>
  <si>
    <t xml:space="preserve">Please move all employees that are in the following Departments to Department “Connector”.
Connector Modified Midwest
Connector Outreach
Connector Enrollment
2.	Remove or inactivate the 3 Departments above so HR no longer sees these departments.
</t>
  </si>
  <si>
    <t xml:space="preserve">1.	Please move all employees that are in the following Departments to Department “Connector” effective use same department effective dates currently there. Those who do not have a department effective date use their hire date.
PLEASE MAKE SURE NO EMAILS GO OUT WHEN YOU MAKE THIS CHANGE and NO TERMINATION OF BENEFITS. For uploads select process changing results termination to “NO”.
Connector Modified Midwest
Connector Outreach
Connector Enrollment
2.	Remove or inactivate the 3 Departments above so HR no longer sees these departments. or Add as DO NOT USE for these 3 Departments.
</t>
  </si>
  <si>
    <t xml:space="preserve">Please switch off emails for Locations changes. </t>
  </si>
  <si>
    <t xml:space="preserve">An employee moved to part-time and enrolled in COBRA. We've received his COBRA enrollment to update his record, which the AR team needs in BenJ for invoice reconciliation, but since the record is still active, the data team can't process the COBRA enrollment. I spoke to Denna, and she confirmed we need to set up two part-time COBRA classes to track this in BenJ. These new classes must be eligible for medical, dental, and vision for invoice reconciliation only, no need to report these enrollments to the carriers.   
COBRA Brightmark Plastics Renewal Services LLC – PT 
COBRA Brightmark LLC - PT </t>
  </si>
  <si>
    <t xml:space="preserve">We have added new classes mentioned below eligible for medical, dental, and vision for invoice reconciliation only, no need to report these enrollments to the carriers -
COBRA Brightmark Plastics Renewal Services LLC – PT 
COBRA Brightmark LLC - PT </t>
  </si>
  <si>
    <t xml:space="preserve">Per carrier the termination date for FSA plan is the last day of the month following termination date.  Please change set up from Date of Termination to Last day of the month following termination date. </t>
  </si>
  <si>
    <t xml:space="preserve">For FSA Healthcare plan we changed set up from Date of Termination to Last day of the month following termination date. </t>
  </si>
  <si>
    <t xml:space="preserve">An employee moved to part-time and enrolled in COBRA. We've received his COBRA enrollment to update his record, which the AR team needs in BenJ for invoice reconciliation, but since the record is still active, the data team can't process the COBRA enrollment. I spoke to Denna, and she confirmed we need to set up two part-time COBRA divisions to track this in BenJ. These new divisions  must be eligible for medical, dental, and vision for invoice reconciliation only, no need to report these enrollments to the carriers.   
COBRA Brightmark Plastics Renewal Services LLC – PT 
COBRA Brightmark LLC - PT </t>
  </si>
  <si>
    <t xml:space="preserve">We have added new divisions mentioned below eligible for medical, dental, and vision for invoice reconciliation only, no need to report these enrollments to the carriers -
COBRA Brightmark Plastics Renewal Services LLC – PT 
COBRA Brightmark LLC - PT </t>
  </si>
  <si>
    <t xml:space="preserve">New locations received in the demographic file. Please add the following locations: 
•	TXFMA - Fort Worth: Altamesa Blvd / McCart Ave (TFA)
•	TXPPP - Plano: Preston Rd / W Parker Rd (TPP)
•	AZPCO - Phoenix: N Central Ave / Osborn Rd
</t>
  </si>
  <si>
    <t xml:space="preserve">Work on the above CRF as per above.
</t>
  </si>
  <si>
    <t xml:space="preserve">Please change the name under Medical as displayed in Touchpoint
HMO ACCESS SHOULD BE CORRECTED TO HMO ACCESS + FULL NETWORK
HMO ACCESS + FULL NETWORK SHOULD BE CORRECTED TO HMO ACCESS.
All the documents are correct so if you just change the Plan Name everything else will be correct.</t>
  </si>
  <si>
    <t xml:space="preserve">Add a new division, "Transfers", to the client Soar Transport. And update the waiting period rule to “Date of hire” for this new Division for all plan types. No changes to rule for other divisions.
While doing Division based waiting period make sure previous plan year setup is updated with previous setup and not the new setup
Upload the attached employees in the conversation as per the process discussed
</t>
  </si>
  <si>
    <t xml:space="preserve">Two employees are no longer reported on the demographic file. We found out that these employees are still active but are now Board Members. We need to create a new class classed Board Member; the eligibility should match Regular Full-Time Class. </t>
  </si>
  <si>
    <t xml:space="preserve">Please change Class change from PT to FT to have to wait the 60 days from their full time hire period date.
Please change Class change from FT to PT to be last day of the month following class change date
Please change Location changes to be Date of Location Change</t>
  </si>
  <si>
    <t xml:space="preserve">please update this for all the plan types.
Please change Location changes to be “Date of Location Change”
Please change Class change from PT to FT to have to wait the 60 days from their full time hire period date
Please change Class change Termination rule from FT to PT to be last day of the month following class change date</t>
  </si>
  <si>
    <t xml:space="preserve">Build the plans like this and update the rates as per ratesheet. Please create a new plan type as Legal Shield same as HCAM client. After moving the enrollments to new plans delete the existing plans from BenJ.
Legal Shield Only
ID Shield Only
Legal Shield &amp; ID Shield
Legal Shield Family &amp; ID Shield Single
ID Shield Family and Legal Shield Single
</t>
  </si>
  <si>
    <t xml:space="preserve">The client is requesting that benefits end date of termination. Please update the termination rule to Date of termination. </t>
  </si>
  <si>
    <t xml:space="preserve">They have employees in a UNION that are moving to EE.
We need to add them to BenJ using the Union Class  “Union Transfers” to capture original hire date.
Then we will use the Class change to Employees on the date they are to receive Benefits.
06/22/2023 - update to request
PLEASE SET UP AUTO ENROLLMENT.  WHEN AN EMPLOYEE IS ENTED IN THE CLASS UNION TRANSFER, PLEASE AUTO ENROLL INTO BASIC LIFE, STD, LTD.  THEY SHOULD ONLY RECEIVE EMPLOYER PAID BENEFITS WHILE THEY ARE IN THE UNION TRANSFER CLASS.  ONCE THEY ARE ENTERED INTO THE CLASS ALL EMPLOYEES OR EXEC CLASS THEY SHOULD BE OFFERED ALL BENFEFITS AT THAT TIME.  
Please allow employees to remain in FSA’s &amp; Voluntary Life if they are currently enrolled.
Basically – Medical, Dental and Vision are not eligible when you are in the Union Transfer class
Thanks
Janice 
</t>
  </si>
  <si>
    <t xml:space="preserve">Add a Class “Union Transfers” which is not eligible for benefits and move is applicable setups. Refer to grid.
Update Dated: 6/22/2023
Add Union Transfer for FSA and Voluntary Life, Basic Life, STD and LTD and move them in auto enrollment and other places
</t>
  </si>
  <si>
    <t xml:space="preserve">The rate for child voluntary life was provided as 0.19 per 1k.  
The Broker received confirmation today that the rate was reduced to 0.17 per 1k.
Please update the child voluntary rate to .17 per 1,000 in benefits Junction
</t>
  </si>
  <si>
    <t xml:space="preserve">Need to update plan anniversary dates for the following plans to 1/1: 
1.	Guardian Accident Plan
2.	Guardian Hospital Indemnity Plan
3.	Guardian Critical Illness Plan
4.	Wex FSA Dependent Care
5.	Wex FSA Health Care
6.	Metlife Voluntary Life
7.	Metlife Voluntary Short-Term Disability
8.	Metlife Basic Life and AD&amp;D - 25k
9.	Metlife Basic Life and AD&amp;D - 15k
10.	Metlife Basic Life and AD&amp;D - 10k
11.	Metlife Vision
12.	Metlife Dental Plan - High
13.	Metlife Dental Plan - Low</t>
  </si>
  <si>
    <t xml:space="preserve">Update plan anniversary dates for the following plans to 1/1 for the above plans. This needs to be completed by 29th June. 
</t>
  </si>
  <si>
    <t xml:space="preserve">UMR Medical Stop Loss and Other Premiums is changed. New Rates Effective 7/1/2023 Add new period plan year in Invoice and Deductions setup 
Stop Loss is now $203.89 
Other $7.17 for EE and $17.57 for Family</t>
  </si>
  <si>
    <t xml:space="preserve">The New Hire Waiting Period needs to be updated to First of the Month following 30 days for all locations and all plans.
Rehire rules to: First of the Month Following 1 Month from Date of Rehire
Class rule to: First of the Month Following 1 Month from Date of Rehire
All this change is effective from 7/1/2023. Add new period plan year.
</t>
  </si>
  <si>
    <t xml:space="preserve">New Hire: Waiting Period needs to be updated to First of the Month following 30 days for all locations and all plans.
Rehire: Please also change the rehired rules to show:
•	Within 0 Days of termination date - First of the Month Following 1 Month from Date of Rehire
•	Others - First of the Month Following 1 Month from Date of Rehire
Class rule to: First of the Month Following 1 Month from Date of Rehire
All this change is effective from 7/1/2023. Add new period plan year.</t>
  </si>
  <si>
    <t xml:space="preserve">Please add a Part Time Class.  
All Benefits should terminate on the last day of the month following the Class Change Date.
</t>
  </si>
  <si>
    <t xml:space="preserve">Please add a Part Time Class.  
All Benefits should terminate on the last day of the month following the Class Change Date
No need of new period plan year. We only need to change the Class Termination Rule to “Last day of month following date of termination”. Already some plans are the same, so update only for which needed.</t>
  </si>
  <si>
    <t xml:space="preserve">1910 has one employee is they would like to set up a Retiree Class for.
Retiree Class should only receive Medical, Dental and Vision. The rates/premiums for this class should be the same as Executives.
Please set up Retiree class so that when the Executive moves to the Retiree class all benefits besides medical, dental and vision should terminate the last day of the month following the Class change date.</t>
  </si>
  <si>
    <t xml:space="preserve">Add a Retiree Class.
Retiree Class should be eligible for Medical, Dental and Vision. The rates/premiums for this class should be the same as Executives.
Also update the CLASS termination rule for all plans to Last day of month following date of termination. No need to add new period plan year just updated in the existing plan years.</t>
  </si>
  <si>
    <t xml:space="preserve">The employee benefit amount needs to be rounded to the next higher $1,000 increment. Please update the rounding rule for the CI’s Age Reduction Schedule.  
Also, currently, the spouse’s age reduction is based on the employee's age, the spouse’s benefit amount needs to be rounded to the next higher $500 increment. Please update this as well. </t>
  </si>
  <si>
    <t xml:space="preserve">Hilldrup is acquiring a group of employees that need to be added to BenJ. 
We need to create a new location &amp; department: 56 - WeSolve Workplace Environments. Eligibility should match the other location &amp; department. </t>
  </si>
  <si>
    <t xml:space="preserve">We need to create a new location &amp; department: 56 - WeSolve Workplace Environments. Eligibility should match the other location &amp; department.
Create a Division Named: Acquisition FT Eligible. The waiting period for these divisions are “Date of Hire”</t>
  </si>
  <si>
    <t xml:space="preserve">Upfield needs to add three numbers to the PEG custom field. Please add 5, 6, and 7 to the dropdown. </t>
  </si>
  <si>
    <t xml:space="preserve">Please change the termination date of plan from Date of Termination to LAST DAY OF THE MONTH FOLLOWING TERMINATION DATE.
I received the following from the broker and the only one that needs updating is Basic life &amp; AD&amp;D.
Basic Life/AD&amp;D - Last day of policy month
Short Term Disability - On the day
Long Term Disability - On the day
Voluntary Life/AD&amp;D - Last day of policy month
Accident - Last day of policy month
Critical Illness - Last day of policy month
Hospital Indemnity - Last day of policy month
</t>
  </si>
  <si>
    <t xml:space="preserve">The client should be receiving Benefits Support from the call center. Please update BenJ to reflect the following support level: 
support@workforcejunction.com
925-338-2035</t>
  </si>
  <si>
    <t xml:space="preserve">Please update BenJ to reflect the following support level: 
support@workforcejunction.com
925-338-2035</t>
  </si>
  <si>
    <t xml:space="preserve">HR is requesting that we update the welcome email. Edits are in red: </t>
  </si>
  <si>
    <t xml:space="preserve">Updated the dental DC rate for Teacher – Full Time to $34. These rates are effective 7/1/2023. </t>
  </si>
  <si>
    <t xml:space="preserve">Age for new hire should be effective date.  Please change set up - Broker requested this change and Guardian approved. 
For 2023 when should employee move to new age band- Please change set up to FOM following birthdate.  This will be changing for 2024 to Plan anniversary.  But needs to be changed for 2023 plan year. 
Age Reduction Schedule needs to be set up for Voluntary Life Plans. 
35% at age 70
50% at age 75
55% at age 80
</t>
  </si>
  <si>
    <t xml:space="preserve">Class changes are effective: First of the Month Following 30 Day(s) from the Date of Class Change. This is for all plans. </t>
  </si>
  <si>
    <t xml:space="preserve">Voluntary Life is currently set with age for New Hires as Effective Date.  Per snapshot from the carrier and I called and confirmed.  The new hires age is based on plan anniversary date 07.01.2023. </t>
  </si>
  <si>
    <t xml:space="preserve">Please create a custom text field on the Work Tab.  
If you can label it – Cost Center 
It should be an open field so they can type in the code </t>
  </si>
  <si>
    <t xml:space="preserve">Created a custom text field on the Work Tab.  
Label as  – Cost Center 
It is an open field so you can type in the code </t>
  </si>
  <si>
    <t xml:space="preserve">UMR Medical Stop Loss and Other Premiums is changed. New Rates Effective 9/1/2023 Add new period plan year in Invoice and Deductions setup 
Stop Loss is now $203.89 
Admin Fee: $54.94 
Other $7.17 for EE and $17.57 for Family</t>
  </si>
  <si>
    <t xml:space="preserve">We need to create a text input plan with a questionnaire to capture the spouse’s name. This has already been created in staging:  
Plan name: Spouse First Name Last name,  
Plan Type: ICCSD Spouse  
Once this is created, we’ll need to remove the current Spouse ICCSD Employee plan.</t>
  </si>
  <si>
    <t xml:space="preserve">We have added new plan to capture Spouse names of employees who are working in the same company.
Plan name: Spouse First Name Last name,  
Plan Type: ICCSD Spouse  </t>
  </si>
  <si>
    <t xml:space="preserve">Please update the Welcome Email and remove the following wording:  
3. PLEASE REMEMBER: BENEFIT ENROLLMENT IS A TWO STEP PROCESS! 
Step 1: Complete your beneficiary designation and enroll or waive FSA. Once you complete Step 1, You will receive an email from the ICCSD Payroll Team notifying you that you can continue with Step 2 enrollment. Please allow 24 hours for this emails. 
Step 2: Enroll or waive medical, dental, vision and supplemental life insurance. 
Also, we need to remove the country Other from plans and also get this removed from Benefits Junction as discussed in meeting with Denna. 
 </t>
  </si>
  <si>
    <t xml:space="preserve">We need to rename the current Locations in Benefits Junction.   The locations should be changed to the 3 digit code that is on the attached spreadsheet.  We need to move everyone to the correct 3 digit code location using the attached spreadsheet Cost codes for WFJ.xls.  Once we move everyone to the correct 3 digit location, you can remove the Cost Center custom field from the Work location tab. </t>
  </si>
  <si>
    <t xml:space="preserve">We have renamed the current Locations in Benefits Junction.  The locations are changed to the 3 digit code that is on the attached spreadsheet.  These new location names are the Cost Center codes of employees.
We removed the Cost Center custom field from the Work location tab. </t>
  </si>
  <si>
    <t xml:space="preserve">We need to update the rates for Birkwood Village. If this location hasn’t been updated, then we need to do that too.
The invoice rates are age-banded but the payroll deduction rates are composite. </t>
  </si>
  <si>
    <t xml:space="preserve">Create plans and update the rates effective from 9/1/2023. Also move all employees in this location to $3000 HMO plan with same coverage.
End the existing 3 plans effective 8/31/2023.</t>
  </si>
  <si>
    <t xml:space="preserve">Employee that moved from HCI to Fort Madison &amp; Montrose will no longer have employee ID’s.
Rikki would like us to change the Username to First Initial of First name, Entire Last name and the last four of SSN.  Please see the attached file that has this information listed.  Please use Column E as the new Username in Benefits Junction.
Rikki just comfirmed that the EEID should also be the same as the UserName since they will no longer have an EEID with the new company.  Please update both Username &amp; EEID with the Column E on the excel file </t>
  </si>
  <si>
    <t xml:space="preserve">Use Column E as the new Username in Benefits Junction. Update both Username &amp; EEID with the Column E on the excel file 
 </t>
  </si>
  <si>
    <t xml:space="preserve">Please update the Stop Loss Premium rates for the following plans effective 9/1/2023
MEC Blue: $17.47
MEC Green rate: $30.33</t>
  </si>
  <si>
    <t xml:space="preserve">Employees are entering the wrong event date for status changes, which requires HR to reject the transaction and have the employee redo the status change. This only affects status changes with the benefit change date set to FOFM.
For status changes with FOFM effective dates, please change it to the first of the month following or coinciding with 0 days from date of event.  
This way, if an employee enters 9/1 as the event date, then the change will be effective 9/1 instead of 10/1. 
The status changes that are currently set to date of QE should not change.</t>
  </si>
  <si>
    <t xml:space="preserve">For status changes with FOFM effective dates, please change it to the first of the month following or coinciding with 0 days from date of event.  
The status changes that are currently set to date of QE should NOT change.</t>
  </si>
  <si>
    <t xml:space="preserve">Please move the Tobacco User Contribution and Questionnaire setup currently in staging into production. Note the rate for this will change in 2024. The client will provide the update through the renewal setup.  
Also, please remove the last page from JREI’s 2023 Tobacco User Contribution Policy that is linked in the Tobacco User Contribution plan. The last page requiring the signature is not needed. </t>
  </si>
  <si>
    <t xml:space="preserve">What is the request and why? What problem is it trying to solve for?
There are discrepancies on billing and Rikki from TN has provided corrections needed and Renuka confirmed CRF needed for both.
•	The New Hire Rule for MOO Plans - Voluntary Life and AD&amp;D, STD and LTD plans should be updated to 'Age as on 01/01 of the Plan year'
•	And Waiting Period Rules for Basic Life and AD&amp;D, Voluntary Life and AD&amp;D, STD and LTD plans should be updated to 'First of the Month following 60 Day(s). Should not have coinciding rule.
</t>
  </si>
  <si>
    <t xml:space="preserve">1)	Base Age for Rate Calculation for New Hires * - Voluntary Life and AD&amp;D, STD and LTD plans should be updated to 'Age as on 01/01 of the Plan year'
a.	Add 1/1/2023 to 12/31/203 to calculate as of 1/1/2023. You can add this for 2024 year as well.
2)	And Waiting Period Rules for Basic Life and AD&amp;D, Voluntary Life and AD&amp;D, STD and LTD plans should be updated to 'First of the Month Following 60 Day(s) from Date of Hire”. Should not have coinciding rule.
</t>
  </si>
  <si>
    <t xml:space="preserve">Please update the ERISA Consent Form for Electronic Distribution of Materials Acknowledgment language with what the client provided and move it from staging to production. The acknowledgment should be presented to employees one time after their next login and to everyone at open enrollment.
I've attached the updated language. 
Also, could you have the team remove the following language and the 2023 Tobacco Policy &amp; Sign-Off Form from the Resource section, since we have the new tobacco plan. (See screenshots below)
</t>
  </si>
  <si>
    <t xml:space="preserve">Rehire Rules to be updated.
If rehire happens within 13 weeks of departure date, benefits will be effective date of rehire.
If rehire is after 13 weeks have passed, benefits will be effective - First of the Month Following or Coinciding with 30 Day(s) from Date of Hire</t>
  </si>
  <si>
    <t xml:space="preserve">If rehire happens within 91 days of departure date, benefits will be effective date of rehire.
If rehire is after 91 days have passed, benefits will be effective - First of the Month Following or Coinciding with 30 Day(s) from Date of Hire</t>
  </si>
  <si>
    <t xml:space="preserve">The age bracket and rates are not correct. I checked the Non-Smoker 10k and they are not correct.
Please check all and make updates right away.  The age brackets didn’t even match the document.
</t>
  </si>
  <si>
    <t xml:space="preserve">What is the request and why? What problem is it trying to solve for?
When an employee is on a LOA they are required to send in their portion of the cost of benefits.  If they do not send their portion in, they are terminated from all plans Date that is entered as the Division Effective Date.  All Company paid benefits should continue – Basic Life &amp; AD&amp;D &amp; LTD for the.
Please note the employees in the class “Howard Sheppard” are enrolled in the Voluntary LTD Plan.  This plans should terminate.
Only the employees in Class 1, &amp; Class 2 are 100% employer paid LTD.  Class 3 are not eligible for LTD.
Please create a New Division in the drop – LOA Non Payment
</t>
  </si>
  <si>
    <t xml:space="preserve">We have noticed that employees are updating their demographic information in Benefit Junction instead of Paylocity, which is causing confusion. As a result, there is a high possibility of incorrect data being updated while working on the weekly demographic file. Please lock the following employee personal fields so employees are not able to updated it in our system.
</t>
  </si>
  <si>
    <t xml:space="preserve">HCI locations – VL Jefferson and VL Cherokee and The Gardens of Cedar Rapids are leaving HCI.  
Terminate employees in those locationseffective 10/31/2023, and make locations inactive. </t>
  </si>
  <si>
    <t xml:space="preserve">Change benefits effective date to First of the Month following 1 month from Date of Hire.
Applicable for all plans
</t>
  </si>
  <si>
    <t xml:space="preserve">Change the waiting period rule for new hire from “First of the Month Following 30 Day(s) from Date of Hire” to “First of the Month Following 1 Month(s) from Date of Hire”
This applies to all the plans that have rule “First of the Month Following 30 Day(s) from Date of Hire” for new hire waiting period. Let us know if any plan has different rule.
Also based on the correction review the employees from this conversation #350217 these employees should be getting waiting period correctly after the setup update. If not, we need to provide effective date as per new rule. If the enrollment is already completed, then we have to correct the enrollment.
</t>
  </si>
  <si>
    <t xml:space="preserve">Healthcare Access Maryland Inc </t>
  </si>
  <si>
    <t xml:space="preserve">Our FSA Healthcare and Dependent Care plan in the system currently allows employees to select a minimum contribution amount of "zero." As a result, some employees are entering "zero" instead of electing to decline the plan altogether. This is causing confusion when verifying files after running automation because employees who elect the zero amount are still shown as "Enrolled."
To avoid this confusion, please change the minimum contribution amount to $1. Please decline anyone enrolled with $0 and provide me with a list of employees that we updated to notify HR. This will enable employees who do not wish to contribute to the plans to decline the benefits properly.
</t>
  </si>
  <si>
    <t xml:space="preserve">ICCSD has a retiree who has come back to work in a benefit-eligible position, but the client wants to keep him enrolled in the retiree medical plan. So, we need to create a new location, Benefit Eligible Retiree, which should be eligible for the following: 
Retiree Medical
Dental
VSP Vision
Basic Life – (all of them)
LTD
Voluntary Life
FSA HC &amp; DC
Summer Checks Distribution
ICCSD Spouse
If the employee terminates, COBRA should only be offered for Dental and Vision.  
</t>
  </si>
  <si>
    <t xml:space="preserve">Age reduction rule should be  first of the month following the age reduction
This is for Voluntary Life plan.
</t>
  </si>
  <si>
    <t xml:space="preserve">Accident plan -The Accident Plan has separate rates for employees in WA. </t>
  </si>
  <si>
    <t xml:space="preserve">This is for Washington Location for both smoker and non-smoker. The rates for the existing plan based on locations. All Employees will have existing rate. Then Washington Smoker and Non Smoker will have this new rates. </t>
  </si>
  <si>
    <t xml:space="preserve">New locations have been reported on the demographic file. Please add the following: 
1) FLC1S - S US Hwy 17-92 / Semoran Blvd(Casselberry)
2) NVLMS - Silverado Ranch Blvd./Maryland Pkwy
Eligibility should match the other files.</t>
  </si>
  <si>
    <t xml:space="preserve">Spouse rates need to be updated to correct few cents difference 
Should be updated to:
</t>
  </si>
  <si>
    <t xml:space="preserve">A new location was received in the demographic file. Please add the following location: 
UTSJB - S Jordan Pkwy / Bangerter Hwy</t>
  </si>
  <si>
    <t xml:space="preserve">Please add the following location: 
UTSJB - S Jordan Pkwy / Bangerter Hwy</t>
  </si>
  <si>
    <t xml:space="preserve">Please create an information only page for Pet insurance. Details attached to ticket 
Please create two LifeLock Plans – Eligible for all Benefit Eligible Employees with the same waiting periods as all other plans.</t>
  </si>
  <si>
    <t xml:space="preserve">Spouse rates which were changed with Ticket #355664, needs to be reverted
</t>
  </si>
  <si>
    <t xml:space="preserve">Please update the death of dependent status change to be effective: This applies to all plan types.
First of the Month Following or Coinciding with 0 Day(s) from Date of QE</t>
  </si>
  <si>
    <t xml:space="preserve">We need to identify for the payroll deduction file who are the 3 executives.  We do not want to create a class as the import will have to be recreated.  If we could please create a new Department in Ben J as Executive.
	The 3 employees that need to move into that Department are:
Roger Biles
Dorothy Davis
Jacquline Ralp-Blain
Can you please have these 3 employees moved to the Executive Department.</t>
  </si>
  <si>
    <t xml:space="preserve">Create a new Department as Executive.
The 3 employees that need to move into that Department are:
EEID – 009792- Roger Hiles
EEID - 007646 - Dorothy Davis
EEID - 010282 - Jacqueline Ralph Blair
</t>
  </si>
  <si>
    <t xml:space="preserve">The client is moving Basic Life, STD, LTD, Voluntary Life, and EAP to Mutual of Omaha effective 1/1/2024. The plans are the same but with different rates. I had the client use the Renewal Wizard to set up the plans. No open enrollment for this change. 
Please create the new plans and roll over the current enrollments to the new plans. These plans will be renewed on 5/1/2024 like the other plans. On the Value Added Plans (information only plan), add two sections for Well Preparation Services and the Colo</t>
  </si>
  <si>
    <t xml:space="preserve">Create the new plans effective 1/1/2024 and roll over the current enrollments to the new plans effective 1/1/2024. 
These plans will be renewed on 5/1/2024 like the other plans.Keep the plan anniversary as 5/1.</t>
  </si>
  <si>
    <t xml:space="preserve">We Received the demographic file dated 12/20/2023 with the new department 9912.
Please add the new department to BenJ.</t>
  </si>
  <si>
    <t xml:space="preserve">Update delta dental premiums to $96.34 </t>
  </si>
  <si>
    <t xml:space="preserve">Updated delta dental premiums to $96.34 </t>
  </si>
  <si>
    <t xml:space="preserve">Need to create a custom field in the Employee's personal info called "Spouse's phone number" </t>
  </si>
  <si>
    <t xml:space="preserve">Added a custom field in the Employee's personal info called "Spouse phone number" </t>
  </si>
  <si>
    <t xml:space="preserve">Regarding the Electronic Consent message, we missed some part-time employees because of this issue: https://secure.helpscout.net/conversation/2426569037/356812#thread-7276548130.
Please set up another ERISA Consent Form for Electronic Distribution of Materials (an exact copy of the current message) and set it up only for part-time employees so we can have them log in again.
Also, please provide a list of part-time employees that have missed this message. 
</t>
  </si>
  <si>
    <t xml:space="preserve">Added a new medical plan and employee grouping as Location – Illinois and Non-Illinois. 
New location - Non-Illinois is eligible for all plans.
Names of the Medical plans updated as $1,000 Deductible Illinois and $1,000 Deductible Non-Illinois </t>
  </si>
  <si>
    <t xml:space="preserve">UHC Basic Life Plan Age reduction rules -
Benefits will be reduced to 65% of original amount at age 65 and 50% of the original amount at age 70.
The reductions will be effective on the first day of the month following the month in which your birthday occurs.
doesn't appear there is a rounding rule but to err on the side of caution, I would round down:  Let us keep No Rounding </t>
  </si>
  <si>
    <t xml:space="preserve">We need to add location groupings for Ohio, Oklahoma, and Other Locations in the plan eligibility setup. 
Ohio-Oklahoma - Employees can only see the HDHP Base and the Buy-Up plan 
Ohio-Oklahoma Mid-Plan – Location based rates, but we need to update $0 SimplePlan Tiered Mid-Plan contributions only for $1,000 PPO Buy-Up Plan. 
Other Locations -The $0 SimplePlan Tiered Mid-Plan is only available for TX, CO, and NM employees. </t>
  </si>
  <si>
    <t>By Client</t>
  </si>
  <si>
    <t>Sum of Total Time</t>
  </si>
  <si>
    <t>Column Labels</t>
  </si>
  <si>
    <t>Row Labels</t>
  </si>
  <si>
    <t>New Plan Setup</t>
  </si>
  <si>
    <t>Data Fields Setup</t>
  </si>
  <si>
    <t>Term Plan</t>
  </si>
  <si>
    <t>Plan Rates</t>
  </si>
  <si>
    <t>Status Change Setup</t>
  </si>
  <si>
    <t>Grand Total</t>
  </si>
  <si>
    <t>Fiore and Sons Inc</t>
  </si>
  <si>
    <t>GLO USA</t>
  </si>
  <si>
    <t>Limolink</t>
  </si>
  <si>
    <t>IBM</t>
  </si>
  <si>
    <t>World Class Industries</t>
  </si>
  <si>
    <t>Barnum and Celilo</t>
  </si>
  <si>
    <t>Soar Transportation Group</t>
  </si>
  <si>
    <t xml:space="preserve">
Alsum Farms and Produce Inc</t>
  </si>
  <si>
    <t>Acme Truck Line</t>
  </si>
  <si>
    <t xml:space="preserve">	Upfield US Inc.</t>
  </si>
  <si>
    <t>Involta</t>
  </si>
  <si>
    <t>Custom Pak</t>
  </si>
  <si>
    <t xml:space="preserve">	Involta LLC</t>
  </si>
  <si>
    <t xml:space="preserve">	Delta Electronics (USA) Inc.</t>
  </si>
  <si>
    <t>Acme Trucks</t>
  </si>
  <si>
    <t>Acme Truck</t>
  </si>
  <si>
    <t>Delta Electronics</t>
  </si>
  <si>
    <t>Stellar Industries</t>
  </si>
  <si>
    <t xml:space="preserve">	Worldwide Equipment Enterprises</t>
  </si>
  <si>
    <t>Count of Category</t>
  </si>
  <si>
    <t>Jhonson &amp; Dugan</t>
  </si>
  <si>
    <t>The Benefits Company</t>
  </si>
  <si>
    <t>Brio Benifit Consulting</t>
  </si>
  <si>
    <t>Benefits Resource Group</t>
  </si>
  <si>
    <t>Client Wise Number of CRF</t>
  </si>
  <si>
    <t>Count of Client Name</t>
  </si>
  <si>
    <t>Broker</t>
  </si>
  <si>
    <t>August Total</t>
  </si>
  <si>
    <t>September Total</t>
  </si>
  <si>
    <t>October Total</t>
  </si>
  <si>
    <t>November Total</t>
  </si>
  <si>
    <t>EDI Team</t>
  </si>
  <si>
    <t>BAAS Team</t>
  </si>
  <si>
    <t>December Total</t>
  </si>
  <si>
    <t>January Total</t>
  </si>
  <si>
    <t>February Total</t>
  </si>
  <si>
    <t>March Total</t>
  </si>
  <si>
    <t>April Total</t>
  </si>
  <si>
    <t>May Total</t>
  </si>
  <si>
    <t>June Total</t>
  </si>
  <si>
    <t>July Total</t>
  </si>
  <si>
    <t>Broker Name</t>
  </si>
  <si>
    <t>Avg Time Spent</t>
  </si>
  <si>
    <t>Hanna Global</t>
  </si>
  <si>
    <t>Add/edit verbiage</t>
  </si>
  <si>
    <t>Rate correction</t>
  </si>
  <si>
    <t>Eligibility correction</t>
  </si>
  <si>
    <t>Add/edit plan</t>
  </si>
  <si>
    <t>Kelle's Transport Services</t>
  </si>
  <si>
    <t>Payroll setup correction</t>
  </si>
  <si>
    <t>Worldwide Equipment</t>
  </si>
  <si>
    <t>NLLG</t>
  </si>
  <si>
    <t>Sum of Avg Time Spent</t>
  </si>
  <si>
    <t>By Broker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</si>
</sst>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mm/dd/yyyy"/>
    <numFmt numFmtId="165" formatCode="h:mm;@"/>
    <numFmt numFmtId="166" formatCode="[h]:mm"/>
  </numFmts>
  <fonts count="24" x14ac:knownFonts="1">
    <font>
      <color theme="1"/>
      <family val="2"/>
      <scheme val="minor"/>
      <sz val="11"/>
      <name val="Calibri"/>
    </font>
    <font>
      <family val="2"/>
      <scheme val="minor"/>
      <sz val="11"/>
      <name val="Calibri"/>
    </font>
    <font>
      <b/>
      <family val="2"/>
      <scheme val="minor"/>
      <sz val="11"/>
      <name val="Calibri"/>
    </font>
    <font>
      <b/>
      <color rgb="FF000000"/>
      <family val="2"/>
      <scheme val="minor"/>
      <sz val="11"/>
      <name val="Calibri"/>
    </font>
    <font>
      <u/>
      <color theme="10"/>
      <family val="2"/>
      <scheme val="minor"/>
      <sz val="11"/>
      <name val="Calibri"/>
    </font>
    <font>
      <color rgb="FF000000"/>
      <family val="2"/>
      <scheme val="minor"/>
      <sz val="11"/>
      <name val="Calibri"/>
    </font>
    <font>
      <color rgb="FF573B23"/>
      <family val="2"/>
      <scheme val="minor"/>
      <sz val="11"/>
      <name val="Calibri"/>
    </font>
    <font>
      <color rgb="FF000000"/>
      <family val="2"/>
      <sz val="9"/>
      <name val="Verdana"/>
    </font>
    <font>
      <color theme="1"/>
      <family val="2"/>
      <sz val="10"/>
      <name val="Arial"/>
    </font>
    <font>
      <color rgb="FF000000"/>
      <family val="2"/>
      <sz val="11"/>
      <name val="Calibri"/>
    </font>
    <font>
      <color rgb="FF000000"/>
      <sz val="11"/>
      <name val="Raleway"/>
    </font>
    <font>
      <b/>
      <color theme="1"/>
      <family val="2"/>
      <scheme val="minor"/>
      <sz val="11"/>
      <name val="Calibri"/>
    </font>
    <font>
      <family val="2"/>
      <sz val="11"/>
      <name val="Calibri"/>
    </font>
    <font>
      <color rgb="FF222222"/>
      <family val="2"/>
      <scheme val="minor"/>
      <sz val="11"/>
      <name val="Calibri"/>
    </font>
    <font>
      <charset val="1"/>
      <color theme="1"/>
      <family val="2"/>
      <sz val="11"/>
      <name val="Raleway"/>
    </font>
    <font>
      <color rgb="FF333333"/>
      <family val="2"/>
      <sz val="11"/>
      <name val="Calibri"/>
    </font>
    <font>
      <charset val="1"/>
      <color rgb="FF000000"/>
      <family val="2"/>
      <sz val="11"/>
      <name val="Raleway"/>
    </font>
    <font>
      <color rgb="FF000000"/>
      <family val="2"/>
      <sz val="10"/>
      <name val="Arial"/>
    </font>
    <font>
      <color rgb="FF314351"/>
      <family val="2"/>
      <scheme val="minor"/>
      <sz val="11"/>
      <name val="Calibri"/>
    </font>
    <font>
      <color rgb="FF0D0D0D"/>
      <family val="2"/>
      <scheme val="minor"/>
      <sz val="11"/>
      <name val="Calibri"/>
    </font>
    <font>
      <color theme="1"/>
      <family val="2"/>
      <scheme val="minor"/>
      <sz val="10"/>
      <name val="Calibri"/>
    </font>
    <font>
      <b/>
      <color theme="1"/>
      <family val="2"/>
      <scheme val="minor"/>
      <sz val="10"/>
      <name val="Calibri"/>
    </font>
    <font>
      <family val="2"/>
      <scheme val="minor"/>
      <sz val="10"/>
      <name val="Calibri"/>
    </font>
    <font>
      <b/>
      <family val="2"/>
      <scheme val="minor"/>
      <sz val="10"/>
      <name val="Calibri"/>
    </font>
  </fonts>
  <fills count="8">
    <fill>
      <patternFill patternType="none"/>
    </fill>
    <fill>
      <patternFill patternType="gray125"/>
    </fill>
    <fill>
      <patternFill patternType="solid">
        <fgColor theme="9" tint="0.5999938962981048"/>
        <bgColor indexed="64"/>
      </patternFill>
    </fill>
    <fill>
      <patternFill patternType="solid">
        <fgColor rgb="FFDDEBF7"/>
        <bgColor rgb="FFDDEBF7"/>
      </patternFill>
    </fill>
    <fill>
      <patternFill patternType="solid">
        <fgColor theme="4" tint="0.7999816888943144"/>
        <bgColor theme="4" tint="0.7999816888943144"/>
      </patternFill>
    </fill>
    <fill>
      <patternFill patternType="solid">
        <fgColor rgb="FFFFFFFF"/>
        <bgColor indexed="64"/>
      </patternFill>
    </fill>
    <fill>
      <patternFill patternType="solid">
        <fgColor rgb="FFFFFF00"/>
        <bgColor indexed="64"/>
      </patternFill>
    </fill>
    <fill>
      <patternFill patternType="solid">
        <fgColor theme="4" tint="0.5999938962981048"/>
        <bgColor indexed="64"/>
      </patternFill>
    </fill>
  </fills>
  <borders count="2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rgb="FF000000"/>
      </left>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9BC2E6"/>
      </left>
      <right/>
      <top style="thin">
        <color rgb="FF9BC2E6"/>
      </top>
      <bottom style="thin">
        <color rgb="FF9BC2E6"/>
      </bottom>
      <diagonal/>
    </border>
    <border>
      <left/>
      <right/>
      <top style="thin">
        <color rgb="FF9BC2E6"/>
      </top>
      <bottom style="thin">
        <color rgb="FF9BC2E6"/>
      </bottom>
      <diagonal/>
    </border>
    <border>
      <left/>
      <right style="thin">
        <color rgb="FF9BC2E6"/>
      </right>
      <top style="thin">
        <color rgb="FF9BC2E6"/>
      </top>
      <bottom style="thin">
        <color rgb="FF9BC2E6"/>
      </bottom>
      <diagonal/>
    </border>
    <border>
      <left style="thin">
        <color rgb="FF9BC2E6"/>
      </left>
      <right/>
      <top style="thin">
        <color rgb="FF9BC2E6"/>
      </top>
      <bottom/>
      <diagonal/>
    </border>
    <border>
      <left/>
      <right/>
      <top style="thin">
        <color rgb="FF9BC2E6"/>
      </top>
      <bottom/>
      <diagonal/>
    </border>
    <border>
      <left/>
      <right style="thin">
        <color rgb="FF9BC2E6"/>
      </right>
      <top style="thin">
        <color rgb="FF9BC2E6"/>
      </top>
      <bottom/>
      <diagonal/>
    </border>
    <border>
      <left style="thin">
        <color indexed="64"/>
      </left>
      <right style="thin">
        <color indexed="64"/>
      </right>
      <top style="thin">
        <color indexed="64"/>
      </top>
      <bottom style="thin">
        <color indexed="64"/>
      </bottom>
      <diagonal/>
    </border>
    <border>
      <left/>
      <right/>
      <top style="thin">
        <color theme="4" tint="0.3999755851924192"/>
      </top>
      <bottom style="thin">
        <color theme="4" tint="0.3999755851924192"/>
      </bottom>
      <diagonal/>
    </border>
    <border>
      <left/>
      <right style="thin">
        <color indexed="64"/>
      </right>
      <top/>
      <bottom/>
      <diagonal/>
    </border>
    <border>
      <left style="thin">
        <color indexed="64"/>
      </left>
      <right style="thin">
        <color indexed="64"/>
      </right>
      <top/>
      <bottom style="thin">
        <color rgb="FF000000"/>
      </bottom>
      <diagonal/>
    </border>
    <border>
      <left style="thin">
        <color theme="4" tint="0.3999755851924192"/>
      </left>
      <right/>
      <top style="thin">
        <color theme="4" tint="0.3999755851924192"/>
      </top>
      <bottom/>
      <diagonal/>
    </border>
    <border>
      <left/>
      <right/>
      <top style="thin">
        <color theme="4" tint="0.3999755851924192"/>
      </top>
      <bottom/>
      <diagonal/>
    </border>
    <border>
      <left style="thin">
        <color rgb="FF000000"/>
      </left>
      <right style="thin">
        <color rgb="FF000000"/>
      </right>
      <top style="thin">
        <color rgb="FF000000"/>
      </top>
      <bottom/>
      <diagonal/>
    </border>
  </borders>
  <cellStyleXfs count="1">
    <xf numFmtId="0" fontId="0" fillId="0" borderId="0"/>
  </cellStyleXfs>
  <cellXfs count="88">
    <xf numFmtId="0" fontId="0" fillId="0" borderId="0" xfId="0"/>
    <xf numFmtId="0" fontId="1" fillId="0" borderId="0" xfId="0" applyFont="1" applyAlignment="1">
      <alignment horizontal="center" vertical="center" wrapText="1"/>
    </xf>
    <xf numFmtId="0" fontId="1" fillId="0" borderId="0" xfId="0" applyFont="1" applyAlignment="1">
      <alignment horizontal="left" vertical="center" wrapText="1"/>
    </xf>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2" xfId="0" applyFont="1" applyFill="1" applyBorder="1" applyAlignment="1">
      <alignment horizontal="left" vertical="center"/>
    </xf>
    <xf numFmtId="0" fontId="0" fillId="2" borderId="0" xfId="0" applyFill="1"/>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164" fontId="1" fillId="0" borderId="0" xfId="0" applyNumberFormat="1" applyFont="1" applyAlignment="1">
      <alignment horizontal="center" vertical="center" wrapText="1"/>
    </xf>
    <xf numFmtId="20" fontId="1" fillId="0" borderId="0" xfId="0" applyNumberFormat="1" applyFont="1" applyAlignment="1">
      <alignment horizontal="center" vertical="center" wrapText="1"/>
    </xf>
    <xf numFmtId="165" fontId="1" fillId="0" borderId="0" xfId="0" applyNumberFormat="1" applyFont="1" applyAlignment="1">
      <alignment horizontal="center" vertical="center" wrapText="1"/>
    </xf>
    <xf numFmtId="14" fontId="1" fillId="0" borderId="0" xfId="0" applyNumberFormat="1" applyFont="1" applyAlignment="1">
      <alignment horizontal="center" vertical="center" wrapText="1"/>
    </xf>
    <xf numFmtId="0" fontId="4" fillId="0" borderId="0" xfId="0" applyFont="1" applyAlignment="1">
      <alignment horizontal="center" vertical="center" wrapText="1"/>
    </xf>
    <xf numFmtId="0" fontId="0" fillId="0" borderId="7" xfId="0" applyBorder="1" applyAlignment="1">
      <alignment wrapText="1"/>
    </xf>
    <xf numFmtId="0" fontId="0" fillId="0" borderId="0" xfId="0" applyAlignment="1">
      <alignment wrapText="1"/>
    </xf>
    <xf numFmtId="0" fontId="0" fillId="0" borderId="0" xfId="0" applyAlignment="1">
      <alignment vertical="center" wrapText="1"/>
    </xf>
    <xf numFmtId="0" fontId="1" fillId="0" borderId="0" xfId="0" applyFont="1" applyAlignment="1">
      <alignment vertical="center" wrapText="1"/>
    </xf>
    <xf numFmtId="0" fontId="5" fillId="0" borderId="0" xfId="0" applyFont="1" applyAlignment="1">
      <alignment horizontal="center" vertical="center"/>
    </xf>
    <xf numFmtId="0" fontId="1" fillId="0" borderId="8" xfId="0" applyFont="1" applyBorder="1" applyAlignment="1">
      <alignment horizontal="center" vertical="center" wrapText="1"/>
    </xf>
    <xf numFmtId="0" fontId="1" fillId="0" borderId="9" xfId="0" applyFont="1" applyBorder="1" applyAlignment="1">
      <alignment horizontal="left" vertical="center" wrapText="1"/>
    </xf>
    <xf numFmtId="0" fontId="1" fillId="0" borderId="9" xfId="0" applyFont="1" applyBorder="1" applyAlignment="1">
      <alignment horizontal="center" vertical="center" wrapText="1"/>
    </xf>
    <xf numFmtId="164" fontId="1" fillId="0" borderId="9" xfId="0" applyNumberFormat="1" applyFont="1" applyBorder="1" applyAlignment="1">
      <alignment horizontal="center" vertical="center" wrapText="1"/>
    </xf>
    <xf numFmtId="0" fontId="1" fillId="0" borderId="10" xfId="0" applyFont="1" applyBorder="1" applyAlignment="1">
      <alignment horizontal="center" vertical="center" wrapText="1"/>
    </xf>
    <xf numFmtId="0" fontId="1" fillId="3" borderId="8" xfId="0" applyFont="1" applyFill="1" applyBorder="1" applyAlignment="1">
      <alignment horizontal="center" vertical="center" wrapText="1"/>
    </xf>
    <xf numFmtId="0" fontId="1" fillId="3" borderId="9" xfId="0" applyFont="1" applyFill="1" applyBorder="1" applyAlignment="1">
      <alignment horizontal="left" vertical="center" wrapText="1"/>
    </xf>
    <xf numFmtId="0" fontId="1" fillId="3" borderId="9" xfId="0" applyFont="1" applyFill="1" applyBorder="1" applyAlignment="1">
      <alignment horizontal="center" vertical="center" wrapText="1"/>
    </xf>
    <xf numFmtId="164" fontId="1" fillId="3" borderId="9" xfId="0" applyNumberFormat="1" applyFont="1" applyFill="1" applyBorder="1" applyAlignment="1">
      <alignment horizontal="center" vertical="center" wrapText="1"/>
    </xf>
    <xf numFmtId="0" fontId="1" fillId="3" borderId="10"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3" borderId="12" xfId="0" applyFont="1" applyFill="1" applyBorder="1" applyAlignment="1">
      <alignment horizontal="left" vertical="center" wrapText="1"/>
    </xf>
    <xf numFmtId="0" fontId="1" fillId="3" borderId="12" xfId="0" applyFont="1" applyFill="1" applyBorder="1" applyAlignment="1">
      <alignment horizontal="center" vertical="center" wrapText="1"/>
    </xf>
    <xf numFmtId="164" fontId="1" fillId="3" borderId="12" xfId="0" applyNumberFormat="1" applyFont="1" applyFill="1" applyBorder="1" applyAlignment="1">
      <alignment horizontal="center" vertical="center" wrapText="1"/>
    </xf>
    <xf numFmtId="0" fontId="1" fillId="3" borderId="13" xfId="0" applyFont="1" applyFill="1" applyBorder="1" applyAlignment="1">
      <alignment horizontal="center" vertical="center" wrapText="1"/>
    </xf>
    <xf numFmtId="0" fontId="5" fillId="0" borderId="0" xfId="0" applyFont="1" applyAlignment="1">
      <alignment horizontal="left" vertical="center" wrapText="1"/>
    </xf>
    <xf numFmtId="0" fontId="6" fillId="0" borderId="0" xfId="0" applyFont="1" applyAlignment="1">
      <alignment vertical="center" wrapText="1"/>
    </xf>
    <xf numFmtId="0" fontId="7" fillId="0" borderId="0" xfId="0" applyFont="1" applyAlignment="1">
      <alignment horizontal="left" vertical="center"/>
    </xf>
    <xf numFmtId="0" fontId="8" fillId="0" borderId="14" xfId="0" applyFont="1" applyBorder="1" applyAlignment="1">
      <alignment horizontal="left" vertical="top" wrapText="1"/>
    </xf>
    <xf numFmtId="0" fontId="9" fillId="0" borderId="0" xfId="0" applyFont="1" applyAlignment="1">
      <alignment horizontal="left" vertical="center" wrapText="1"/>
    </xf>
    <xf numFmtId="0" fontId="1" fillId="0" borderId="15" xfId="0" applyFont="1" applyBorder="1" applyAlignment="1">
      <alignment horizontal="left" vertical="center" wrapText="1"/>
    </xf>
    <xf numFmtId="0" fontId="10" fillId="0" borderId="0" xfId="0" applyFont="1" applyAlignment="1">
      <alignment horizontal="left" vertical="center" wrapText="1"/>
    </xf>
    <xf numFmtId="20" fontId="1" fillId="0" borderId="0" xfId="0" applyNumberFormat="1" applyFont="1" applyAlignment="1">
      <alignment horizontal="left" vertical="center" wrapText="1"/>
    </xf>
    <xf numFmtId="0" fontId="7" fillId="0" borderId="0" xfId="0" applyFont="1" applyAlignment="1">
      <alignment horizontal="center" vertical="center"/>
    </xf>
    <xf numFmtId="0" fontId="0" fillId="2" borderId="16" xfId="0" applyFill="1" applyBorder="1"/>
    <xf numFmtId="0" fontId="11" fillId="2" borderId="6"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2" fillId="0" borderId="0" xfId="0" applyFont="1" applyAlignment="1">
      <alignment horizontal="center" vertical="center" wrapText="1"/>
    </xf>
    <xf numFmtId="0" fontId="13" fillId="0" borderId="0" xfId="0" applyFont="1" applyAlignment="1">
      <alignment horizontal="center" vertical="center" wrapText="1"/>
    </xf>
    <xf numFmtId="14" fontId="1" fillId="0" borderId="0" xfId="0" applyNumberFormat="1" applyFont="1" applyAlignment="1">
      <alignment horizontal="left" vertical="center" wrapText="1"/>
    </xf>
    <xf numFmtId="17" fontId="1" fillId="0" borderId="0" xfId="0" applyNumberFormat="1" applyFont="1" applyAlignment="1">
      <alignment horizontal="center" vertical="center" wrapText="1"/>
    </xf>
    <xf numFmtId="0" fontId="1" fillId="0" borderId="0" xfId="0" applyFont="1" applyAlignment="1">
      <alignment horizontal="left" vertical="center"/>
    </xf>
    <xf numFmtId="0" fontId="1" fillId="0" borderId="18" xfId="0" applyFont="1" applyBorder="1" applyAlignment="1">
      <alignment horizontal="center" vertical="center" wrapText="1"/>
    </xf>
    <xf numFmtId="0" fontId="1" fillId="0" borderId="19" xfId="0" applyFont="1" applyBorder="1" applyAlignment="1">
      <alignment horizontal="center" vertical="center" wrapText="1"/>
    </xf>
    <xf numFmtId="14" fontId="1" fillId="0" borderId="19" xfId="0" applyNumberFormat="1" applyFont="1" applyBorder="1" applyAlignment="1">
      <alignment horizontal="center" vertical="center" wrapText="1"/>
    </xf>
    <xf numFmtId="0" fontId="1" fillId="0" borderId="19" xfId="0" applyFont="1" applyBorder="1" applyAlignment="1">
      <alignment horizontal="left" vertical="center" wrapText="1"/>
    </xf>
    <xf numFmtId="20" fontId="1" fillId="0" borderId="19" xfId="0" applyNumberFormat="1" applyFont="1" applyBorder="1" applyAlignment="1">
      <alignment horizontal="center" vertical="center" wrapText="1"/>
    </xf>
    <xf numFmtId="0" fontId="0" fillId="0" borderId="0" xfId="0" applyAlignment="1">
      <alignment horizontal="left" vertical="center" wrapText="1"/>
    </xf>
    <xf numFmtId="0" fontId="4" fillId="0" borderId="0" xfId="0" applyFont="1" applyAlignment="1">
      <alignment horizontal="left" vertical="center" wrapText="1"/>
    </xf>
    <xf numFmtId="164" fontId="1" fillId="4" borderId="15" xfId="0" applyNumberFormat="1" applyFont="1" applyFill="1" applyBorder="1" applyAlignment="1">
      <alignment horizontal="center" vertical="center" wrapText="1"/>
    </xf>
    <xf numFmtId="0" fontId="14" fillId="0" borderId="0" xfId="0" applyFont="1"/>
    <xf numFmtId="0" fontId="15" fillId="5" borderId="20" xfId="0" applyFont="1" applyFill="1" applyBorder="1" applyAlignment="1">
      <alignment vertical="center" wrapText="1"/>
    </xf>
    <xf numFmtId="0" fontId="16" fillId="0" borderId="0" xfId="0" applyFont="1" applyAlignment="1">
      <alignment wrapText="1"/>
    </xf>
    <xf numFmtId="0" fontId="1" fillId="0" borderId="0" xfId="0" applyFont="1" applyAlignment="1">
      <alignment horizontal="left" vertical="top" wrapText="1"/>
    </xf>
    <xf numFmtId="0" fontId="9" fillId="0" borderId="0" xfId="0" applyFont="1" applyAlignment="1">
      <alignment horizontal="center" vertical="center" wrapText="1"/>
    </xf>
    <xf numFmtId="0" fontId="1" fillId="0" borderId="15" xfId="0" applyFont="1" applyBorder="1" applyAlignment="1">
      <alignment horizontal="center" vertical="center" wrapText="1"/>
    </xf>
    <xf numFmtId="164" fontId="1" fillId="0" borderId="15" xfId="0" applyNumberFormat="1" applyFont="1" applyBorder="1" applyAlignment="1">
      <alignment horizontal="center" vertical="center" wrapText="1"/>
    </xf>
    <xf numFmtId="164" fontId="1" fillId="0" borderId="0" xfId="0" applyNumberFormat="1" applyFont="1" applyAlignment="1">
      <alignment horizontal="left" vertical="center" wrapText="1"/>
    </xf>
    <xf numFmtId="0" fontId="17" fillId="0" borderId="7" xfId="0" applyFont="1" applyBorder="1" applyAlignment="1">
      <alignment horizontal="left" vertical="center"/>
    </xf>
    <xf numFmtId="0" fontId="8" fillId="0" borderId="0" xfId="0" applyFont="1" applyAlignment="1">
      <alignment horizontal="left" vertical="top" wrapText="1"/>
    </xf>
    <xf numFmtId="0" fontId="18" fillId="0" borderId="0" xfId="0" applyFont="1" applyAlignment="1">
      <alignment horizontal="center" vertical="center"/>
    </xf>
    <xf numFmtId="0" fontId="1" fillId="0" borderId="0" xfId="0" applyFont="1" applyAlignment="1">
      <alignment horizontal="center" vertical="top" wrapText="1"/>
    </xf>
    <xf numFmtId="164" fontId="1" fillId="0" borderId="0" xfId="0" applyNumberFormat="1" applyFont="1" applyAlignment="1">
      <alignment horizontal="center" vertical="top" wrapText="1"/>
    </xf>
    <xf numFmtId="0" fontId="19" fillId="0" borderId="0" xfId="0" applyFont="1" applyAlignment="1">
      <alignment vertical="top" wrapText="1"/>
    </xf>
    <xf numFmtId="0" fontId="20" fillId="0" borderId="0" xfId="0" applyFont="1"/>
    <xf numFmtId="0" fontId="21" fillId="6" borderId="0" xfId="0" applyFont="1" applyFill="1" applyAlignment="1">
      <alignment horizontal="left" vertical="center"/>
    </xf>
    <xf numFmtId="0" fontId="20" fillId="0" borderId="0" xfId="0" applyFont="1" applyAlignment="1">
      <alignment horizontal="left"/>
    </xf>
    <xf numFmtId="165" fontId="20" fillId="0" borderId="0" xfId="0" applyNumberFormat="1" applyFont="1"/>
    <xf numFmtId="166" fontId="20" fillId="0" borderId="0" xfId="0" applyNumberFormat="1" applyFont="1"/>
    <xf numFmtId="0" fontId="20" fillId="0" borderId="0" xfId="0" applyFont="1" applyAlignment="1">
      <alignment horizontal="center" vertical="center" wrapText="1"/>
    </xf>
    <xf numFmtId="0" fontId="20" fillId="0" borderId="0" xfId="0" applyFont="1" applyAlignment="1">
      <alignment horizontal="center" vertical="center"/>
    </xf>
    <xf numFmtId="0" fontId="22" fillId="0" borderId="0" xfId="0" applyFont="1" applyAlignment="1">
      <alignment horizontal="center" vertical="center" wrapText="1"/>
    </xf>
    <xf numFmtId="0" fontId="23" fillId="7" borderId="14" xfId="0" applyFont="1" applyFill="1" applyBorder="1" applyAlignment="1">
      <alignment horizontal="center" vertical="center" wrapText="1"/>
    </xf>
    <xf numFmtId="0" fontId="22" fillId="0" borderId="0" xfId="0" applyFont="1" applyAlignment="1">
      <alignment horizontal="left" vertical="center" wrapText="1"/>
    </xf>
    <xf numFmtId="14" fontId="22" fillId="0" borderId="0" xfId="0" applyNumberFormat="1" applyFont="1" applyAlignment="1">
      <alignment horizontal="center" vertical="center" wrapText="1"/>
    </xf>
    <xf numFmtId="0" fontId="20" fillId="0" borderId="0" xfId="0" applyFont="1" applyAlignment="1">
      <alignment horizontal="left" vertical="center"/>
    </xf>
    <xf numFmtId="0" fontId="20" fillId="6"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3.xml"/><Relationship Id="rId6" Type="http://schemas.openxmlformats.org/officeDocument/2006/relationships/worksheet" Target="worksheets/sheet1.xml"/><Relationship Id="rId7" Type="http://schemas.openxmlformats.org/officeDocument/2006/relationships/worksheet" Target="worksheets/sheet12.xml"/><Relationship Id="rId8" Type="http://schemas.openxmlformats.org/officeDocument/2006/relationships/worksheet" Target="worksheets/sheet11.xml"/><Relationship Id="rId9" Type="http://schemas.openxmlformats.org/officeDocument/2006/relationships/worksheet" Target="worksheets/sheet7.xml"/><Relationship Id="rId10" Type="http://schemas.openxmlformats.org/officeDocument/2006/relationships/worksheet" Target="worksheets/sheet5.xml"/><Relationship Id="rId11" Type="http://schemas.openxmlformats.org/officeDocument/2006/relationships/worksheet" Target="worksheets/sheet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CRF_35" displayName="CRF_35" ref="A2:T3" totalsRowShown="1" headerRowCount="0">
  <autoFilter ref="A2:T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name="Month"/>
    <tableColumn id="2" name="Client Name"/>
    <tableColumn id="3" name="Partner Name"/>
    <tableColumn id="4" name="Conversation#"/>
    <tableColumn id="5" name="Change Requested By"/>
    <tableColumn id="6" name="Change Request Date"/>
    <tableColumn id="7" name="Category"/>
    <tableColumn id="8" name="Reason for Raising"/>
    <tableColumn id="9" name="Change Request"/>
    <tableColumn id="10" name="Time Spent on Configuration"/>
    <tableColumn id="11" name="Time Spent on Review/Testing"/>
    <tableColumn id="12" name="Total Ti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name="CRF_3" displayName="CRF_3" ref="A2:T155" totalsRowShown="1" headerRowCount="0">
  <autoFilter ref="A2:T15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name="Month"/>
    <tableColumn id="2" name="Client Name"/>
    <tableColumn id="3" name="Partner Name"/>
    <tableColumn id="4" name="Conversation#"/>
    <tableColumn id="5" name="Change Requested By"/>
    <tableColumn id="6" name="Change Request Date"/>
    <tableColumn id="7" name="Category"/>
    <tableColumn id="8" name="Reason for Raising"/>
    <tableColumn id="9" name="Change Request"/>
    <tableColumn id="10" name="Time Spent on Configuration"/>
    <tableColumn id="11" name="Time Spent on Review/Testing"/>
    <tableColumn id="12" name="Total Tim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name="CRF" displayName="CRF" ref="A2:T149" totalsRowShown="1" headerRowCount="0">
  <autoFilter ref="A2:T14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name="Month"/>
    <tableColumn id="2" name="Client Name"/>
    <tableColumn id="3" name="Partner Name"/>
    <tableColumn id="4" name="Conversation#"/>
    <tableColumn id="5" name="Change Requested By"/>
    <tableColumn id="6" name="Change Request Date"/>
    <tableColumn id="7" name="Category"/>
    <tableColumn id="8" name="Reason for Raising"/>
    <tableColumn id="9" name="Change Request"/>
    <tableColumn id="10" name="Time Spent on Configuration"/>
    <tableColumn id="11" name="Time Spent on Review/Testing"/>
    <tableColumn id="12" name="Total Tim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name="CRF_2" displayName="CRF_2" ref="A2:U1241" totalsRowShown="1" headerRowCount="0">
  <autoFilter>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name="Month"/>
    <tableColumn id="2" name="Year"/>
    <tableColumn id="3" name="Client Name"/>
    <tableColumn id="4" name="Partner Name"/>
    <tableColumn id="5" name="Conversation#"/>
    <tableColumn id="6" name="Change Requested By"/>
    <tableColumn id="7" name="Change Request Date"/>
    <tableColumn id="8" name="Category"/>
    <tableColumn id="9" name="Reason for Raising"/>
    <tableColumn id="10" name="Change Request"/>
    <tableColumn id="11" name="Time Spent on Configuration"/>
    <tableColumn id="12" name="Time Spent on Review/Testing"/>
    <tableColumn id="13" name="Total Ti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hyperlink" Target="mailto:Please%20set%20up%20Pending%20Transaction%20email%20to%20be%20sent%20to%20Tammy%20Mask%20email%20address%20tmask@txcc.com" TargetMode="External"/><Relationship Id="rId2" Type="http://schemas.openxmlformats.org/officeDocument/2006/relationships/hyperlink" Target="https://wfj.teamwork.com/" TargetMode="External"/><Relationship Id="rId3" Type="http://schemas.openxmlformats.org/officeDocument/2006/relationships/hyperlink" Target="https://wfj.teamwork.com/app/messages/1221422?scrollTo=4276773" TargetMode="External"/><Relationship Id="rId4"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hyperlink" Target="https://wfj.teamwork.com/" TargetMode="External"/><Relationship Id="rId2" Type="http://schemas.openxmlformats.org/officeDocument/2006/relationships/hyperlink" Target="https://wfj.teamwork.com/app/messages/1221422?scrollTo=4276773" TargetMode="External"/><Relationship Id="rId3" Type="http://schemas.openxmlformats.org/officeDocument/2006/relationships/table" Target="../tables/table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49"/>
  <sheetViews>
    <sheetView workbookViewId="0" zoomScale="100" zoomScaleNormal="100">
      <pane xSplit="3" ySplit="2" topLeftCell="D141" activePane="bottomRight" state="frozen"/>
      <selection pane="bottomRight" activeCell="G2" sqref="G2"/>
    </sheetView>
  </sheetViews>
  <sheetFormatPr defaultRowHeight="15" outlineLevelRow="0" outlineLevelCol="0" x14ac:dyDescent="0.25" defaultColWidth="9.140625"/>
  <cols>
    <col min="1" max="1" width="10.85546875" style="1" customWidth="1"/>
    <col min="2" max="2" width="24.7109375" style="2" customWidth="1"/>
    <col min="3" max="3" width="13.5703125" style="1" customWidth="1"/>
    <col min="4" max="4" width="13.140625" style="1" customWidth="1"/>
    <col min="5" max="5" width="13.28515625" style="1" customWidth="1"/>
    <col min="6" max="6" width="14.85546875" style="1" customWidth="1"/>
    <col min="7" max="7" width="13.28515625" style="1" customWidth="1"/>
    <col min="8" max="8" width="43.85546875" customWidth="1"/>
    <col min="9" max="9" width="43.85546875" style="2" customWidth="1"/>
    <col min="10" max="10" width="13.85546875" style="2" customWidth="1"/>
    <col min="11" max="11" width="15" style="1" customWidth="1"/>
    <col min="12" max="12" width="10.28515625" style="1" customWidth="1"/>
    <col min="13" max="13" width="6.42578125" style="1" customWidth="1"/>
    <col min="14" max="14" width="13.28515625" style="1" customWidth="1"/>
    <col min="15" max="15" width="15" style="1" customWidth="1"/>
    <col min="16" max="16" width="15.5703125" style="1" customWidth="1"/>
    <col min="17" max="17" width="11" style="1" customWidth="1"/>
    <col min="18" max="18" width="6.5703125" style="1" customWidth="1"/>
    <col min="19" max="19" width="11" style="1" customWidth="1"/>
    <col min="20" max="16384" width="9.140625" style="1" customWidth="1"/>
  </cols>
  <sheetData>
    <row r="1" spans="1:20" x14ac:dyDescent="0.25">
      <c r="A1" s="3" t="s">
        <v>3746</v>
      </c>
      <c r="B1" s="4"/>
      <c r="C1" s="4"/>
      <c r="D1" s="4"/>
      <c r="E1" s="4"/>
      <c r="F1" s="4"/>
      <c r="G1" s="4"/>
      <c r="H1" s="5"/>
      <c r="I1" s="5"/>
      <c r="J1" s="4"/>
      <c r="K1" s="4"/>
      <c r="L1" s="4"/>
      <c r="M1" s="4"/>
      <c r="N1" s="4"/>
      <c r="O1" s="4"/>
      <c r="P1" s="4"/>
      <c r="Q1" s="4"/>
      <c r="R1" s="6"/>
      <c r="S1" s="6"/>
      <c r="T1" s="6"/>
    </row>
    <row r="2" ht="45" customHeight="1" spans="1:20" x14ac:dyDescent="0.25">
      <c r="A2" s="7" t="s">
        <v>1</v>
      </c>
      <c r="B2" s="7" t="s">
        <v>2</v>
      </c>
      <c r="C2" s="7" t="s">
        <v>3</v>
      </c>
      <c r="D2" s="7" t="s">
        <v>4</v>
      </c>
      <c r="E2" s="7" t="s">
        <v>5</v>
      </c>
      <c r="F2" s="7" t="s">
        <v>6</v>
      </c>
      <c r="G2" s="7" t="s">
        <v>7</v>
      </c>
      <c r="H2" s="7" t="s">
        <v>8</v>
      </c>
      <c r="I2" s="7" t="s">
        <v>9</v>
      </c>
      <c r="J2" s="7" t="s">
        <v>10</v>
      </c>
      <c r="K2" s="7" t="s">
        <v>11</v>
      </c>
      <c r="L2" s="7" t="s">
        <v>12</v>
      </c>
      <c r="M2" s="7" t="s">
        <v>13</v>
      </c>
      <c r="N2" s="7" t="s">
        <v>14</v>
      </c>
      <c r="O2" s="7" t="s">
        <v>15</v>
      </c>
      <c r="P2" s="7" t="s">
        <v>16</v>
      </c>
      <c r="Q2" s="7" t="s">
        <v>17</v>
      </c>
      <c r="R2" s="8" t="s">
        <v>18</v>
      </c>
      <c r="S2" s="9" t="s">
        <v>19</v>
      </c>
      <c r="T2" s="10" t="s">
        <v>20</v>
      </c>
    </row>
    <row r="3" ht="105" customHeight="1" spans="1:18" x14ac:dyDescent="0.25">
      <c r="A3" s="1" t="s">
        <v>3576</v>
      </c>
      <c r="B3" s="2" t="s">
        <v>479</v>
      </c>
      <c r="C3" s="1" t="s">
        <v>25</v>
      </c>
      <c r="D3" s="1">
        <v>361516</v>
      </c>
      <c r="E3" s="1" t="s">
        <v>37</v>
      </c>
      <c r="F3" s="11">
        <v>45293</v>
      </c>
      <c r="G3" s="11" t="s">
        <v>28</v>
      </c>
      <c r="H3" s="2" t="s">
        <v>3747</v>
      </c>
      <c r="I3" s="2" t="s">
        <v>3748</v>
      </c>
      <c r="J3" s="12">
        <v>0.04513888889050577</v>
      </c>
      <c r="K3" s="12">
        <v>0.055555555554747116</v>
      </c>
      <c r="L3" s="13">
        <f>CRF[[#This Row],[Time Spent on Configuration]]+CRF[[#This Row],[Time Spent on Review/Testing]]</f>
        <v>0.10069444444525288</v>
      </c>
      <c r="N3" s="1" t="s">
        <v>31</v>
      </c>
      <c r="O3" s="1" t="s">
        <v>483</v>
      </c>
      <c r="P3" s="1" t="s">
        <v>484</v>
      </c>
      <c r="Q3" s="11">
        <v>45293</v>
      </c>
      <c r="R3" s="1">
        <v>5</v>
      </c>
    </row>
    <row r="4" ht="60" customHeight="1" spans="1:18" x14ac:dyDescent="0.25">
      <c r="A4" s="1" t="s">
        <v>3576</v>
      </c>
      <c r="B4" s="2" t="s">
        <v>283</v>
      </c>
      <c r="C4" s="1" t="s">
        <v>25</v>
      </c>
      <c r="D4" s="1">
        <v>360708</v>
      </c>
      <c r="E4" s="1" t="s">
        <v>37</v>
      </c>
      <c r="F4" s="11">
        <v>45294</v>
      </c>
      <c r="G4" s="11" t="s">
        <v>133</v>
      </c>
      <c r="H4" s="2" t="s">
        <v>486</v>
      </c>
      <c r="I4" s="2" t="s">
        <v>487</v>
      </c>
      <c r="J4" s="12">
        <v>0.020833333332120674</v>
      </c>
      <c r="K4" s="12">
        <v>0.03472222222262644</v>
      </c>
      <c r="L4" s="13">
        <f>CRF[[#This Row],[Time Spent on Configuration]]+CRF[[#This Row],[Time Spent on Review/Testing]]</f>
        <v>0.055555555554747116</v>
      </c>
      <c r="N4" s="1" t="s">
        <v>54</v>
      </c>
      <c r="O4" s="1" t="s">
        <v>32</v>
      </c>
      <c r="P4" s="1" t="s">
        <v>488</v>
      </c>
      <c r="Q4" s="11">
        <v>45294</v>
      </c>
      <c r="R4" s="1">
        <v>5</v>
      </c>
    </row>
    <row r="5" ht="60" customHeight="1" spans="1:18" x14ac:dyDescent="0.25">
      <c r="A5" s="1" t="s">
        <v>3576</v>
      </c>
      <c r="B5" s="2" t="s">
        <v>489</v>
      </c>
      <c r="C5" s="1" t="s">
        <v>490</v>
      </c>
      <c r="D5" s="1">
        <v>361513</v>
      </c>
      <c r="E5" s="1" t="s">
        <v>27</v>
      </c>
      <c r="F5" s="11">
        <v>45294</v>
      </c>
      <c r="G5" s="11" t="s">
        <v>28</v>
      </c>
      <c r="H5" s="2" t="s">
        <v>492</v>
      </c>
      <c r="I5" s="2" t="s">
        <v>493</v>
      </c>
      <c r="J5" s="12">
        <v>0.020833333332120674</v>
      </c>
      <c r="K5" s="12">
        <v>0.04861111110949423</v>
      </c>
      <c r="L5" s="13">
        <f>CRF[[#This Row],[Time Spent on Configuration]]+CRF[[#This Row],[Time Spent on Review/Testing]]</f>
        <v>0.06944444444525288</v>
      </c>
      <c r="N5" s="1" t="s">
        <v>483</v>
      </c>
      <c r="O5" s="1" t="s">
        <v>32</v>
      </c>
      <c r="P5" s="1" t="s">
        <v>42</v>
      </c>
      <c r="Q5" s="11">
        <v>45294</v>
      </c>
      <c r="R5" s="1">
        <v>5</v>
      </c>
    </row>
    <row r="6" ht="90" customHeight="1" spans="1:18" x14ac:dyDescent="0.25">
      <c r="A6" s="1" t="s">
        <v>3576</v>
      </c>
      <c r="B6" s="2" t="s">
        <v>223</v>
      </c>
      <c r="C6" s="1" t="s">
        <v>186</v>
      </c>
      <c r="D6" s="1">
        <v>361759</v>
      </c>
      <c r="E6" s="1" t="s">
        <v>37</v>
      </c>
      <c r="F6" s="11">
        <v>45294</v>
      </c>
      <c r="G6" s="11" t="s">
        <v>74</v>
      </c>
      <c r="H6" s="2" t="s">
        <v>3749</v>
      </c>
      <c r="I6" s="2" t="s">
        <v>3750</v>
      </c>
      <c r="J6" s="12">
        <v>0.020833333332120674</v>
      </c>
      <c r="K6" s="12">
        <v>0.027777777777373558</v>
      </c>
      <c r="L6" s="13">
        <f>CRF[[#This Row],[Time Spent on Configuration]]+CRF[[#This Row],[Time Spent on Review/Testing]]</f>
        <v>0.04861111110949423</v>
      </c>
      <c r="N6" s="1" t="s">
        <v>31</v>
      </c>
      <c r="O6" s="1" t="s">
        <v>483</v>
      </c>
      <c r="P6" s="1" t="s">
        <v>488</v>
      </c>
      <c r="Q6" s="11">
        <v>45294</v>
      </c>
      <c r="R6" s="1">
        <v>5</v>
      </c>
    </row>
    <row r="7" ht="135" customHeight="1" spans="1:18" x14ac:dyDescent="0.25">
      <c r="A7" s="1" t="s">
        <v>3576</v>
      </c>
      <c r="B7" s="2" t="s">
        <v>48</v>
      </c>
      <c r="C7" s="1" t="s">
        <v>25</v>
      </c>
      <c r="D7" s="1">
        <v>361371</v>
      </c>
      <c r="E7" s="1" t="s">
        <v>37</v>
      </c>
      <c r="F7" s="11">
        <v>45294</v>
      </c>
      <c r="G7" s="11" t="s">
        <v>74</v>
      </c>
      <c r="H7" s="2" t="s">
        <v>3751</v>
      </c>
      <c r="I7" s="2" t="s">
        <v>499</v>
      </c>
      <c r="J7" s="12">
        <v>0.03125</v>
      </c>
      <c r="K7" s="12">
        <v>0.038194444445252884</v>
      </c>
      <c r="L7" s="13">
        <f>CRF[[#This Row],[Time Spent on Configuration]]+CRF[[#This Row],[Time Spent on Review/Testing]]</f>
        <v>0.06944444444525288</v>
      </c>
      <c r="N7" s="1" t="s">
        <v>31</v>
      </c>
      <c r="O7" s="1" t="s">
        <v>483</v>
      </c>
      <c r="P7" s="1" t="s">
        <v>488</v>
      </c>
      <c r="Q7" s="11">
        <v>45294</v>
      </c>
      <c r="R7" s="1">
        <v>5</v>
      </c>
    </row>
    <row r="8" ht="45" customHeight="1" spans="1:18" x14ac:dyDescent="0.25">
      <c r="A8" s="1" t="s">
        <v>3576</v>
      </c>
      <c r="B8" s="2" t="s">
        <v>99</v>
      </c>
      <c r="C8" s="1" t="s">
        <v>25</v>
      </c>
      <c r="D8" s="1">
        <v>362091</v>
      </c>
      <c r="E8" s="1" t="s">
        <v>27</v>
      </c>
      <c r="F8" s="11">
        <v>45295</v>
      </c>
      <c r="G8" s="11" t="s">
        <v>28</v>
      </c>
      <c r="H8" s="2" t="s">
        <v>501</v>
      </c>
      <c r="I8" s="2" t="s">
        <v>502</v>
      </c>
      <c r="J8" s="12">
        <v>0.020833333332120674</v>
      </c>
      <c r="K8" s="12">
        <v>0.0625</v>
      </c>
      <c r="L8" s="13">
        <f>CRF[[#This Row],[Time Spent on Configuration]]+CRF[[#This Row],[Time Spent on Review/Testing]]</f>
        <v>0.08333333333212067</v>
      </c>
      <c r="N8" s="1" t="s">
        <v>41</v>
      </c>
      <c r="O8" s="1" t="s">
        <v>483</v>
      </c>
      <c r="P8" s="1" t="s">
        <v>484</v>
      </c>
      <c r="Q8" s="11">
        <v>45295</v>
      </c>
      <c r="R8" s="1">
        <v>5</v>
      </c>
    </row>
    <row r="9" ht="60" customHeight="1" spans="1:18" x14ac:dyDescent="0.25">
      <c r="A9" s="1" t="s">
        <v>3576</v>
      </c>
      <c r="B9" s="2" t="s">
        <v>223</v>
      </c>
      <c r="C9" s="1" t="s">
        <v>186</v>
      </c>
      <c r="D9" s="1" t="s">
        <v>503</v>
      </c>
      <c r="E9" s="1" t="s">
        <v>37</v>
      </c>
      <c r="F9" s="11">
        <v>45295</v>
      </c>
      <c r="G9" s="11" t="s">
        <v>96</v>
      </c>
      <c r="H9" s="2" t="s">
        <v>504</v>
      </c>
      <c r="I9" s="2" t="s">
        <v>505</v>
      </c>
      <c r="J9" s="12">
        <v>0.020833333332120674</v>
      </c>
      <c r="K9" s="12"/>
      <c r="L9" s="13">
        <f>CRF[[#This Row],[Time Spent on Configuration]]+CRF[[#This Row],[Time Spent on Review/Testing]]</f>
        <v>0.020833333332120674</v>
      </c>
      <c r="N9" s="1" t="s">
        <v>347</v>
      </c>
      <c r="O9" s="1" t="s">
        <v>503</v>
      </c>
      <c r="P9" s="1" t="s">
        <v>117</v>
      </c>
      <c r="Q9" s="11">
        <v>45295</v>
      </c>
      <c r="R9" s="1">
        <v>5</v>
      </c>
    </row>
    <row r="10" ht="90" customHeight="1" spans="1:18" x14ac:dyDescent="0.25">
      <c r="A10" s="1" t="s">
        <v>3576</v>
      </c>
      <c r="B10" s="2" t="s">
        <v>24</v>
      </c>
      <c r="C10" s="1" t="s">
        <v>25</v>
      </c>
      <c r="D10" s="1">
        <v>362349</v>
      </c>
      <c r="E10" s="1" t="s">
        <v>27</v>
      </c>
      <c r="F10" s="11">
        <v>45296</v>
      </c>
      <c r="G10" s="11" t="s">
        <v>507</v>
      </c>
      <c r="H10" s="2" t="s">
        <v>508</v>
      </c>
      <c r="I10" s="2" t="s">
        <v>3752</v>
      </c>
      <c r="J10" s="12">
        <v>0.013888888890505768</v>
      </c>
      <c r="K10" s="12">
        <v>0.020833333332120674</v>
      </c>
      <c r="L10" s="13">
        <f>CRF[[#This Row],[Time Spent on Configuration]]+CRF[[#This Row],[Time Spent on Review/Testing]]</f>
        <v>0.03472222222262644</v>
      </c>
      <c r="N10" s="1" t="s">
        <v>483</v>
      </c>
      <c r="O10" s="1" t="s">
        <v>32</v>
      </c>
      <c r="P10" s="1" t="s">
        <v>488</v>
      </c>
      <c r="Q10" s="11">
        <v>45296</v>
      </c>
      <c r="R10" s="1">
        <v>5</v>
      </c>
    </row>
    <row r="11" ht="165" customHeight="1" spans="1:18" x14ac:dyDescent="0.25">
      <c r="A11" s="1" t="s">
        <v>3576</v>
      </c>
      <c r="B11" s="2" t="s">
        <v>510</v>
      </c>
      <c r="C11" s="1" t="s">
        <v>25</v>
      </c>
      <c r="D11" s="1">
        <v>362208</v>
      </c>
      <c r="E11" s="1" t="s">
        <v>27</v>
      </c>
      <c r="F11" s="11">
        <v>45296</v>
      </c>
      <c r="G11" s="11" t="s">
        <v>28</v>
      </c>
      <c r="H11" s="2" t="s">
        <v>3753</v>
      </c>
      <c r="I11" s="2" t="s">
        <v>3753</v>
      </c>
      <c r="J11" s="13">
        <v>0.0625</v>
      </c>
      <c r="K11" s="12">
        <v>0.052083333332120674</v>
      </c>
      <c r="L11" s="13">
        <f>CRF[[#This Row],[Time Spent on Configuration]]+CRF[[#This Row],[Time Spent on Review/Testing]]</f>
        <v>0.11458333333212067</v>
      </c>
      <c r="N11" s="1" t="s">
        <v>31</v>
      </c>
      <c r="O11" s="1" t="s">
        <v>483</v>
      </c>
      <c r="P11" s="1" t="s">
        <v>488</v>
      </c>
      <c r="Q11" s="11">
        <v>45296</v>
      </c>
      <c r="R11" s="1">
        <v>5</v>
      </c>
    </row>
    <row r="12" ht="30" customHeight="1" spans="1:18" x14ac:dyDescent="0.25">
      <c r="A12" s="1" t="s">
        <v>3576</v>
      </c>
      <c r="B12" s="2" t="s">
        <v>247</v>
      </c>
      <c r="C12" s="1" t="s">
        <v>25</v>
      </c>
      <c r="D12" s="1">
        <v>362379</v>
      </c>
      <c r="E12" s="1" t="s">
        <v>27</v>
      </c>
      <c r="F12" s="11">
        <v>45296</v>
      </c>
      <c r="G12" s="11" t="s">
        <v>28</v>
      </c>
      <c r="H12" s="2" t="s">
        <v>3754</v>
      </c>
      <c r="I12" s="2" t="s">
        <v>3754</v>
      </c>
      <c r="J12" s="12">
        <v>0.024305555554747116</v>
      </c>
      <c r="K12" s="12">
        <v>0.038194444445252884</v>
      </c>
      <c r="L12" s="13">
        <f>CRF[[#This Row],[Time Spent on Configuration]]+CRF[[#This Row],[Time Spent on Review/Testing]]</f>
        <v>0.0625</v>
      </c>
      <c r="N12" s="1" t="s">
        <v>31</v>
      </c>
      <c r="O12" s="1" t="s">
        <v>483</v>
      </c>
      <c r="P12" s="1" t="s">
        <v>488</v>
      </c>
      <c r="Q12" s="11">
        <v>45296</v>
      </c>
      <c r="R12" s="1">
        <v>5</v>
      </c>
    </row>
    <row r="13" ht="120" customHeight="1" spans="1:18" x14ac:dyDescent="0.25">
      <c r="A13" s="1" t="s">
        <v>3576</v>
      </c>
      <c r="B13" s="2" t="s">
        <v>170</v>
      </c>
      <c r="C13" s="1" t="s">
        <v>25</v>
      </c>
      <c r="D13" s="1">
        <v>362162</v>
      </c>
      <c r="E13" s="1" t="s">
        <v>27</v>
      </c>
      <c r="F13" s="11">
        <v>44932</v>
      </c>
      <c r="G13" s="11" t="s">
        <v>28</v>
      </c>
      <c r="H13" s="2" t="s">
        <v>3755</v>
      </c>
      <c r="I13" s="39" t="s">
        <v>3756</v>
      </c>
      <c r="J13" s="12">
        <v>0.0625</v>
      </c>
      <c r="K13" s="12">
        <v>0.06597222222262644</v>
      </c>
      <c r="L13" s="13">
        <f>CRF[[#This Row],[Time Spent on Configuration]]+CRF[[#This Row],[Time Spent on Review/Testing]]</f>
        <v>0.12847222222262644</v>
      </c>
      <c r="N13" s="1" t="s">
        <v>31</v>
      </c>
      <c r="O13" s="1" t="s">
        <v>483</v>
      </c>
      <c r="P13" s="1" t="s">
        <v>42</v>
      </c>
      <c r="Q13" s="11">
        <v>44932</v>
      </c>
      <c r="R13" s="1">
        <v>5</v>
      </c>
    </row>
    <row r="14" ht="105" customHeight="1" spans="1:18" x14ac:dyDescent="0.25">
      <c r="A14" s="1" t="s">
        <v>3576</v>
      </c>
      <c r="B14" s="2" t="s">
        <v>43</v>
      </c>
      <c r="C14" s="1" t="s">
        <v>44</v>
      </c>
      <c r="D14" s="1">
        <v>363169</v>
      </c>
      <c r="E14" s="1" t="s">
        <v>27</v>
      </c>
      <c r="F14" s="11">
        <v>45303</v>
      </c>
      <c r="G14" s="11" t="s">
        <v>507</v>
      </c>
      <c r="H14" s="2" t="s">
        <v>520</v>
      </c>
      <c r="I14" s="2" t="s">
        <v>521</v>
      </c>
      <c r="J14" s="12">
        <v>0.013888888890505768</v>
      </c>
      <c r="K14" s="12">
        <v>0.03472222222262644</v>
      </c>
      <c r="L14" s="13">
        <f>CRF[[#This Row],[Time Spent on Configuration]]+CRF[[#This Row],[Time Spent on Review/Testing]]</f>
        <v>0.04861111110949423</v>
      </c>
      <c r="N14" s="1" t="s">
        <v>32</v>
      </c>
      <c r="O14" s="1" t="s">
        <v>483</v>
      </c>
      <c r="P14" s="1" t="s">
        <v>484</v>
      </c>
      <c r="Q14" s="11">
        <v>45303</v>
      </c>
      <c r="R14" s="1">
        <v>5</v>
      </c>
    </row>
    <row r="15" ht="90" customHeight="1" spans="1:18" x14ac:dyDescent="0.25">
      <c r="A15" s="1" t="s">
        <v>3576</v>
      </c>
      <c r="B15" s="2" t="s">
        <v>283</v>
      </c>
      <c r="C15" s="1" t="s">
        <v>25</v>
      </c>
      <c r="D15" s="1">
        <v>354397</v>
      </c>
      <c r="E15" s="1" t="s">
        <v>27</v>
      </c>
      <c r="F15" s="11">
        <v>45303</v>
      </c>
      <c r="G15" s="11" t="s">
        <v>74</v>
      </c>
      <c r="H15" s="2" t="s">
        <v>3757</v>
      </c>
      <c r="I15" s="2" t="s">
        <v>3758</v>
      </c>
      <c r="J15" s="12">
        <v>0.024305555554747116</v>
      </c>
      <c r="K15" s="12">
        <v>0.027777777777373558</v>
      </c>
      <c r="L15" s="13">
        <f>CRF[[#This Row],[Time Spent on Configuration]]+CRF[[#This Row],[Time Spent on Review/Testing]]</f>
        <v>0.052083333332120674</v>
      </c>
      <c r="N15" s="1" t="s">
        <v>31</v>
      </c>
      <c r="O15" s="1" t="s">
        <v>483</v>
      </c>
      <c r="P15" s="1" t="s">
        <v>488</v>
      </c>
      <c r="Q15" s="11">
        <v>45303</v>
      </c>
      <c r="R15" s="1">
        <v>5</v>
      </c>
    </row>
    <row r="16" ht="60" customHeight="1" spans="1:18" x14ac:dyDescent="0.25">
      <c r="A16" s="1" t="s">
        <v>3576</v>
      </c>
      <c r="B16" s="2" t="s">
        <v>525</v>
      </c>
      <c r="C16" s="1" t="s">
        <v>25</v>
      </c>
      <c r="D16" s="1">
        <v>363096</v>
      </c>
      <c r="E16" s="1" t="s">
        <v>37</v>
      </c>
      <c r="F16" s="11">
        <v>45307</v>
      </c>
      <c r="G16" s="11" t="s">
        <v>28</v>
      </c>
      <c r="H16" s="2" t="s">
        <v>3759</v>
      </c>
      <c r="I16" s="2" t="s">
        <v>3760</v>
      </c>
      <c r="J16" s="12">
        <v>0.020833333332120674</v>
      </c>
      <c r="K16" s="12">
        <v>0.03472222222262644</v>
      </c>
      <c r="L16" s="13">
        <f>CRF[[#This Row],[Time Spent on Configuration]]+CRF[[#This Row],[Time Spent on Review/Testing]]</f>
        <v>0.055555555554747116</v>
      </c>
      <c r="N16" s="1" t="s">
        <v>41</v>
      </c>
      <c r="O16" s="1" t="s">
        <v>32</v>
      </c>
      <c r="P16" s="1" t="s">
        <v>484</v>
      </c>
      <c r="Q16" s="11">
        <v>45307</v>
      </c>
      <c r="R16" s="1">
        <v>5</v>
      </c>
    </row>
    <row r="17" ht="75" customHeight="1" spans="1:18" x14ac:dyDescent="0.25">
      <c r="A17" s="1" t="s">
        <v>3576</v>
      </c>
      <c r="B17" s="2" t="s">
        <v>529</v>
      </c>
      <c r="C17" s="1" t="s">
        <v>530</v>
      </c>
      <c r="D17" s="1">
        <v>363417</v>
      </c>
      <c r="E17" s="1" t="s">
        <v>37</v>
      </c>
      <c r="F17" s="11">
        <v>45309</v>
      </c>
      <c r="G17" s="11" t="s">
        <v>28</v>
      </c>
      <c r="H17" s="2" t="s">
        <v>3761</v>
      </c>
      <c r="I17" s="2" t="s">
        <v>3762</v>
      </c>
      <c r="J17" s="12">
        <v>0.020833333332120674</v>
      </c>
      <c r="K17" s="12">
        <v>0.04861111110949423</v>
      </c>
      <c r="L17" s="13">
        <f>CRF[[#This Row],[Time Spent on Configuration]]+CRF[[#This Row],[Time Spent on Review/Testing]]</f>
        <v>0.06944444444525288</v>
      </c>
      <c r="N17" s="1" t="s">
        <v>41</v>
      </c>
      <c r="O17" s="1" t="s">
        <v>32</v>
      </c>
      <c r="P17" s="1" t="s">
        <v>484</v>
      </c>
      <c r="Q17" s="11">
        <v>45309</v>
      </c>
      <c r="R17" s="1">
        <v>5</v>
      </c>
    </row>
    <row r="18" ht="45" customHeight="1" spans="1:18" x14ac:dyDescent="0.25">
      <c r="A18" s="1" t="s">
        <v>3576</v>
      </c>
      <c r="B18" s="2" t="s">
        <v>99</v>
      </c>
      <c r="C18" s="1" t="s">
        <v>25</v>
      </c>
      <c r="D18" s="1">
        <v>363627</v>
      </c>
      <c r="E18" s="1" t="s">
        <v>27</v>
      </c>
      <c r="F18" s="11">
        <v>45309</v>
      </c>
      <c r="G18" s="11" t="s">
        <v>28</v>
      </c>
      <c r="H18" s="2" t="s">
        <v>535</v>
      </c>
      <c r="I18" s="2" t="s">
        <v>536</v>
      </c>
      <c r="J18" s="12">
        <v>0.020833333332120674</v>
      </c>
      <c r="K18" s="12">
        <v>0.041666666667879326</v>
      </c>
      <c r="L18" s="13">
        <f>CRF[[#This Row],[Time Spent on Configuration]]+CRF[[#This Row],[Time Spent on Review/Testing]]</f>
        <v>0.0625</v>
      </c>
      <c r="N18" s="1" t="s">
        <v>53</v>
      </c>
      <c r="O18" s="1" t="s">
        <v>32</v>
      </c>
      <c r="P18" s="1" t="s">
        <v>484</v>
      </c>
      <c r="Q18" s="11">
        <v>45309</v>
      </c>
      <c r="R18" s="1">
        <v>5</v>
      </c>
    </row>
    <row r="19" ht="60" customHeight="1" spans="1:18" x14ac:dyDescent="0.25">
      <c r="A19" s="1" t="s">
        <v>3576</v>
      </c>
      <c r="B19" s="2" t="s">
        <v>537</v>
      </c>
      <c r="C19" s="1" t="s">
        <v>229</v>
      </c>
      <c r="D19" s="1">
        <v>362516</v>
      </c>
      <c r="E19" s="1" t="s">
        <v>27</v>
      </c>
      <c r="F19" s="11">
        <v>45309</v>
      </c>
      <c r="G19" s="11" t="s">
        <v>507</v>
      </c>
      <c r="H19" s="2" t="s">
        <v>3763</v>
      </c>
      <c r="I19" s="2" t="s">
        <v>3764</v>
      </c>
      <c r="J19" s="12">
        <v>0.020833333332120674</v>
      </c>
      <c r="K19" s="12">
        <v>0.027777777777373558</v>
      </c>
      <c r="L19" s="13">
        <f>CRF[[#This Row],[Time Spent on Configuration]]+CRF[[#This Row],[Time Spent on Review/Testing]]</f>
        <v>0.04861111110949423</v>
      </c>
      <c r="N19" s="1" t="s">
        <v>53</v>
      </c>
      <c r="O19" s="1" t="s">
        <v>32</v>
      </c>
      <c r="P19" s="1" t="s">
        <v>42</v>
      </c>
      <c r="Q19" s="11">
        <v>45309</v>
      </c>
      <c r="R19" s="1">
        <v>5</v>
      </c>
    </row>
    <row r="20" ht="105" customHeight="1" spans="1:18" x14ac:dyDescent="0.25">
      <c r="A20" s="1" t="s">
        <v>3576</v>
      </c>
      <c r="B20" s="2" t="s">
        <v>199</v>
      </c>
      <c r="C20" s="1" t="s">
        <v>541</v>
      </c>
      <c r="D20" s="1">
        <v>361348</v>
      </c>
      <c r="E20" s="1" t="s">
        <v>37</v>
      </c>
      <c r="F20" s="11">
        <v>45314</v>
      </c>
      <c r="G20" s="11" t="s">
        <v>96</v>
      </c>
      <c r="H20" s="2" t="s">
        <v>3765</v>
      </c>
      <c r="I20" s="2" t="s">
        <v>3766</v>
      </c>
      <c r="J20" s="12">
        <v>0.020833333332120674</v>
      </c>
      <c r="K20" s="12"/>
      <c r="L20" s="13">
        <f>CRF[[#This Row],[Time Spent on Configuration]]+CRF[[#This Row],[Time Spent on Review/Testing]]</f>
        <v>0.020833333332120674</v>
      </c>
      <c r="N20" s="1" t="s">
        <v>31</v>
      </c>
      <c r="P20" s="1" t="s">
        <v>488</v>
      </c>
      <c r="Q20" s="11">
        <v>45314</v>
      </c>
      <c r="R20" s="1">
        <v>5</v>
      </c>
    </row>
    <row r="21" ht="120" customHeight="1" spans="1:18" x14ac:dyDescent="0.25">
      <c r="A21" s="1" t="s">
        <v>3576</v>
      </c>
      <c r="B21" s="2" t="s">
        <v>545</v>
      </c>
      <c r="C21" s="1" t="s">
        <v>546</v>
      </c>
      <c r="D21" s="1">
        <v>364294</v>
      </c>
      <c r="E21" s="1" t="s">
        <v>37</v>
      </c>
      <c r="F21" s="11">
        <v>45314</v>
      </c>
      <c r="G21" s="11" t="s">
        <v>38</v>
      </c>
      <c r="H21" s="2" t="s">
        <v>548</v>
      </c>
      <c r="I21" s="2" t="s">
        <v>549</v>
      </c>
      <c r="J21" s="12">
        <v>0.04513888889050577</v>
      </c>
      <c r="K21" s="12">
        <v>0.03472222222262644</v>
      </c>
      <c r="L21" s="13">
        <f>CRF[[#This Row],[Time Spent on Configuration]]+CRF[[#This Row],[Time Spent on Review/Testing]]</f>
        <v>0.07986111110949423</v>
      </c>
      <c r="N21" s="1" t="s">
        <v>31</v>
      </c>
      <c r="O21" s="1" t="s">
        <v>483</v>
      </c>
      <c r="P21" s="1" t="s">
        <v>484</v>
      </c>
      <c r="Q21" s="11">
        <v>45314</v>
      </c>
      <c r="R21" s="1">
        <v>5</v>
      </c>
    </row>
    <row r="22" ht="285" customHeight="1" spans="1:18" x14ac:dyDescent="0.25">
      <c r="A22" s="1" t="s">
        <v>3576</v>
      </c>
      <c r="B22" s="2" t="s">
        <v>163</v>
      </c>
      <c r="C22" s="1" t="s">
        <v>25</v>
      </c>
      <c r="D22" s="1">
        <v>363021</v>
      </c>
      <c r="E22" s="1" t="s">
        <v>37</v>
      </c>
      <c r="F22" s="11">
        <v>45310</v>
      </c>
      <c r="G22" s="11" t="s">
        <v>38</v>
      </c>
      <c r="H22" s="2" t="s">
        <v>3767</v>
      </c>
      <c r="I22" s="2" t="s">
        <v>3767</v>
      </c>
      <c r="J22" s="12">
        <v>0.04513888889050577</v>
      </c>
      <c r="K22" s="12"/>
      <c r="L22" s="13">
        <f>CRF[[#This Row],[Time Spent on Configuration]]+CRF[[#This Row],[Time Spent on Review/Testing]]</f>
        <v>0.04513888889050577</v>
      </c>
      <c r="N22" s="1" t="s">
        <v>31</v>
      </c>
      <c r="P22" s="1" t="s">
        <v>488</v>
      </c>
      <c r="Q22" s="11">
        <v>45315</v>
      </c>
      <c r="R22" s="1">
        <v>5</v>
      </c>
    </row>
    <row r="23" ht="150" customHeight="1" spans="1:18" x14ac:dyDescent="0.25">
      <c r="A23" s="1" t="s">
        <v>3576</v>
      </c>
      <c r="B23" s="2" t="s">
        <v>48</v>
      </c>
      <c r="C23" s="1" t="s">
        <v>25</v>
      </c>
      <c r="D23" s="1">
        <v>364837</v>
      </c>
      <c r="E23" s="1" t="s">
        <v>27</v>
      </c>
      <c r="F23" s="11">
        <v>45320</v>
      </c>
      <c r="G23" s="11" t="s">
        <v>38</v>
      </c>
      <c r="H23" s="2" t="s">
        <v>3768</v>
      </c>
      <c r="I23" s="2" t="s">
        <v>3768</v>
      </c>
      <c r="J23" s="12">
        <v>0.020833333332120674</v>
      </c>
      <c r="K23" s="12">
        <v>0.027777777777373558</v>
      </c>
      <c r="L23" s="13">
        <f>CRF[[#This Row],[Time Spent on Configuration]]+CRF[[#This Row],[Time Spent on Review/Testing]]</f>
        <v>0.04861111110949423</v>
      </c>
      <c r="N23" s="1" t="s">
        <v>31</v>
      </c>
      <c r="O23" s="1" t="s">
        <v>483</v>
      </c>
      <c r="P23" s="1" t="s">
        <v>484</v>
      </c>
      <c r="Q23" s="11">
        <v>45320</v>
      </c>
      <c r="R23" s="1">
        <v>5</v>
      </c>
    </row>
    <row r="24" ht="120" customHeight="1" spans="1:18" x14ac:dyDescent="0.25">
      <c r="A24" s="1" t="s">
        <v>3576</v>
      </c>
      <c r="B24" s="2" t="s">
        <v>286</v>
      </c>
      <c r="C24" s="1" t="s">
        <v>287</v>
      </c>
      <c r="D24" s="1">
        <v>364449</v>
      </c>
      <c r="E24" s="1" t="s">
        <v>37</v>
      </c>
      <c r="F24" s="11">
        <v>45320</v>
      </c>
      <c r="G24" s="11" t="s">
        <v>38</v>
      </c>
      <c r="H24" s="2" t="s">
        <v>3769</v>
      </c>
      <c r="I24" s="2" t="s">
        <v>3770</v>
      </c>
      <c r="J24" s="12">
        <v>0.020833333332120674</v>
      </c>
      <c r="K24" s="12">
        <v>0.03125</v>
      </c>
      <c r="L24" s="13">
        <f>CRF[[#This Row],[Time Spent on Configuration]]+CRF[[#This Row],[Time Spent on Review/Testing]]</f>
        <v>0.052083333332120674</v>
      </c>
      <c r="N24" s="1" t="s">
        <v>31</v>
      </c>
      <c r="O24" s="1" t="s">
        <v>483</v>
      </c>
      <c r="P24" s="1" t="s">
        <v>484</v>
      </c>
      <c r="Q24" s="11">
        <v>45320</v>
      </c>
      <c r="R24" s="1">
        <v>5</v>
      </c>
    </row>
    <row r="25" ht="120" customHeight="1" spans="1:18" x14ac:dyDescent="0.25">
      <c r="A25" s="1" t="s">
        <v>3576</v>
      </c>
      <c r="B25" s="2" t="s">
        <v>118</v>
      </c>
      <c r="C25" s="1" t="s">
        <v>25</v>
      </c>
      <c r="D25" s="1">
        <v>364829</v>
      </c>
      <c r="E25" s="1" t="s">
        <v>37</v>
      </c>
      <c r="F25" s="11">
        <v>45321</v>
      </c>
      <c r="G25" s="11" t="s">
        <v>38</v>
      </c>
      <c r="H25" s="2" t="s">
        <v>3771</v>
      </c>
      <c r="I25" s="2" t="s">
        <v>3771</v>
      </c>
      <c r="J25" s="12">
        <v>0.020833333332120674</v>
      </c>
      <c r="K25" s="12">
        <v>0.03472222222262644</v>
      </c>
      <c r="L25" s="13">
        <f>CRF[[#This Row],[Time Spent on Configuration]]+CRF[[#This Row],[Time Spent on Review/Testing]]</f>
        <v>0.055555555554747116</v>
      </c>
      <c r="N25" s="1" t="s">
        <v>31</v>
      </c>
      <c r="O25" s="1" t="s">
        <v>483</v>
      </c>
      <c r="P25" s="1" t="s">
        <v>484</v>
      </c>
      <c r="Q25" s="11">
        <v>45321</v>
      </c>
      <c r="R25" s="1">
        <v>5</v>
      </c>
    </row>
    <row r="26" ht="45" customHeight="1" spans="1:18" x14ac:dyDescent="0.25">
      <c r="A26" s="1" t="s">
        <v>3594</v>
      </c>
      <c r="B26" s="2" t="s">
        <v>35</v>
      </c>
      <c r="C26" s="1" t="s">
        <v>25</v>
      </c>
      <c r="D26" s="1">
        <v>365082</v>
      </c>
      <c r="E26" s="1" t="s">
        <v>37</v>
      </c>
      <c r="F26" s="11">
        <v>45323</v>
      </c>
      <c r="G26" s="11" t="s">
        <v>38</v>
      </c>
      <c r="H26" s="2" t="s">
        <v>561</v>
      </c>
      <c r="I26" s="2" t="s">
        <v>562</v>
      </c>
      <c r="J26" s="12">
        <v>0.020833333332120674</v>
      </c>
      <c r="K26" s="12">
        <v>0.027777777777373558</v>
      </c>
      <c r="L26" s="13">
        <f>CRF[[#This Row],[Time Spent on Configuration]]+CRF[[#This Row],[Time Spent on Review/Testing]]</f>
        <v>0.04861111110949423</v>
      </c>
      <c r="N26" s="1" t="s">
        <v>31</v>
      </c>
      <c r="O26" s="1" t="s">
        <v>483</v>
      </c>
      <c r="P26" s="1" t="s">
        <v>42</v>
      </c>
      <c r="Q26" s="11">
        <v>45323</v>
      </c>
      <c r="R26" s="1">
        <v>5</v>
      </c>
    </row>
    <row r="27" ht="30" customHeight="1" spans="1:18" x14ac:dyDescent="0.25">
      <c r="A27" s="1" t="s">
        <v>3594</v>
      </c>
      <c r="B27" s="2" t="s">
        <v>170</v>
      </c>
      <c r="C27" s="1" t="s">
        <v>25</v>
      </c>
      <c r="D27" s="1">
        <v>362979</v>
      </c>
      <c r="E27" s="1" t="s">
        <v>37</v>
      </c>
      <c r="F27" s="11">
        <v>45323</v>
      </c>
      <c r="G27" s="11" t="s">
        <v>38</v>
      </c>
      <c r="H27" s="2" t="s">
        <v>3772</v>
      </c>
      <c r="I27" s="2" t="s">
        <v>3773</v>
      </c>
      <c r="J27" s="12">
        <v>0.006944444445252884</v>
      </c>
      <c r="K27" s="12">
        <v>0.020833333332120674</v>
      </c>
      <c r="L27" s="13">
        <f>CRF[[#This Row],[Time Spent on Configuration]]+CRF[[#This Row],[Time Spent on Review/Testing]]</f>
        <v>0.027777777777373558</v>
      </c>
      <c r="N27" s="1" t="s">
        <v>31</v>
      </c>
      <c r="O27" s="1" t="s">
        <v>483</v>
      </c>
      <c r="P27" s="1" t="s">
        <v>42</v>
      </c>
      <c r="Q27" s="11">
        <v>45323</v>
      </c>
      <c r="R27" s="1">
        <v>5</v>
      </c>
    </row>
    <row r="28" ht="90" customHeight="1" spans="1:18" x14ac:dyDescent="0.25">
      <c r="A28" s="1" t="s">
        <v>3594</v>
      </c>
      <c r="B28" s="2" t="s">
        <v>566</v>
      </c>
      <c r="C28" s="1" t="s">
        <v>567</v>
      </c>
      <c r="D28" s="1">
        <v>365457</v>
      </c>
      <c r="E28" s="1" t="s">
        <v>37</v>
      </c>
      <c r="F28" s="11">
        <v>45323</v>
      </c>
      <c r="G28" s="11" t="s">
        <v>38</v>
      </c>
      <c r="H28" s="2" t="s">
        <v>3774</v>
      </c>
      <c r="I28" s="2" t="s">
        <v>570</v>
      </c>
      <c r="J28" s="12">
        <v>0.013888888890505768</v>
      </c>
      <c r="K28" s="12">
        <v>0.027777777777373558</v>
      </c>
      <c r="L28" s="13">
        <f>CRF[[#This Row],[Time Spent on Configuration]]+CRF[[#This Row],[Time Spent on Review/Testing]]</f>
        <v>0.041666666667879326</v>
      </c>
      <c r="N28" s="1" t="s">
        <v>41</v>
      </c>
      <c r="O28" s="1" t="s">
        <v>483</v>
      </c>
      <c r="P28" s="1" t="s">
        <v>488</v>
      </c>
      <c r="Q28" s="11">
        <v>45323</v>
      </c>
      <c r="R28" s="1">
        <v>5</v>
      </c>
    </row>
    <row r="29" ht="165" customHeight="1" spans="1:18" x14ac:dyDescent="0.25">
      <c r="A29" s="1" t="s">
        <v>3594</v>
      </c>
      <c r="B29" s="2" t="s">
        <v>223</v>
      </c>
      <c r="C29" s="1" t="s">
        <v>186</v>
      </c>
      <c r="D29" s="1">
        <v>358560</v>
      </c>
      <c r="E29" s="1" t="s">
        <v>27</v>
      </c>
      <c r="F29" s="11">
        <v>45327</v>
      </c>
      <c r="G29" s="11" t="s">
        <v>38</v>
      </c>
      <c r="H29" s="2" t="s">
        <v>3775</v>
      </c>
      <c r="I29" s="2" t="s">
        <v>3776</v>
      </c>
      <c r="J29" s="12">
        <v>0.027777777777373558</v>
      </c>
      <c r="K29" s="12">
        <v>0.03472222222262644</v>
      </c>
      <c r="L29" s="13">
        <f>CRF[[#This Row],[Time Spent on Configuration]]+CRF[[#This Row],[Time Spent on Review/Testing]]</f>
        <v>0.0625</v>
      </c>
      <c r="N29" s="1" t="s">
        <v>574</v>
      </c>
      <c r="O29" s="1" t="s">
        <v>483</v>
      </c>
      <c r="P29" s="1" t="s">
        <v>488</v>
      </c>
      <c r="Q29" s="11">
        <v>45327</v>
      </c>
      <c r="R29" s="1">
        <v>5</v>
      </c>
    </row>
    <row r="30" ht="75" customHeight="1" spans="1:18" x14ac:dyDescent="0.25">
      <c r="A30" s="1" t="s">
        <v>3594</v>
      </c>
      <c r="B30" s="2" t="s">
        <v>529</v>
      </c>
      <c r="C30" s="1" t="s">
        <v>530</v>
      </c>
      <c r="D30" s="1">
        <v>365940</v>
      </c>
      <c r="E30" s="1" t="s">
        <v>27</v>
      </c>
      <c r="F30" s="11">
        <v>45329</v>
      </c>
      <c r="G30" s="11" t="s">
        <v>38</v>
      </c>
      <c r="H30" s="2" t="s">
        <v>3777</v>
      </c>
      <c r="I30" s="2" t="s">
        <v>577</v>
      </c>
      <c r="J30" s="12">
        <v>0.027777777777373558</v>
      </c>
      <c r="K30" s="12">
        <v>0.04513888889050577</v>
      </c>
      <c r="L30" s="13">
        <f>CRF[[#This Row],[Time Spent on Configuration]]+CRF[[#This Row],[Time Spent on Review/Testing]]</f>
        <v>0.07291666666787933</v>
      </c>
      <c r="N30" s="1" t="s">
        <v>31</v>
      </c>
      <c r="O30" s="1" t="s">
        <v>483</v>
      </c>
      <c r="P30" s="1" t="s">
        <v>488</v>
      </c>
      <c r="Q30" s="11">
        <v>45329</v>
      </c>
      <c r="R30" s="1">
        <v>5</v>
      </c>
    </row>
    <row r="31" ht="375" customHeight="1" spans="1:18" x14ac:dyDescent="0.25">
      <c r="A31" s="1" t="s">
        <v>3594</v>
      </c>
      <c r="B31" s="2" t="s">
        <v>247</v>
      </c>
      <c r="C31" s="1" t="s">
        <v>25</v>
      </c>
      <c r="D31" s="1">
        <v>366319</v>
      </c>
      <c r="E31" s="1" t="s">
        <v>37</v>
      </c>
      <c r="F31" s="11">
        <v>45331</v>
      </c>
      <c r="G31" s="11" t="s">
        <v>38</v>
      </c>
      <c r="H31" s="2" t="s">
        <v>3778</v>
      </c>
      <c r="I31" s="2" t="s">
        <v>580</v>
      </c>
      <c r="J31" s="12">
        <v>0.020833333332120674</v>
      </c>
      <c r="K31" s="12">
        <v>0.03472222222262644</v>
      </c>
      <c r="L31" s="13">
        <f>CRF[[#This Row],[Time Spent on Configuration]]+CRF[[#This Row],[Time Spent on Review/Testing]]</f>
        <v>0.055555555554747116</v>
      </c>
      <c r="N31" s="1" t="s">
        <v>41</v>
      </c>
      <c r="O31" s="1" t="s">
        <v>483</v>
      </c>
      <c r="P31" s="1" t="s">
        <v>488</v>
      </c>
      <c r="Q31" s="11">
        <v>45331</v>
      </c>
      <c r="R31" s="1">
        <v>5</v>
      </c>
    </row>
    <row r="32" ht="30" customHeight="1" spans="1:18" x14ac:dyDescent="0.25">
      <c r="A32" s="1" t="s">
        <v>3594</v>
      </c>
      <c r="B32" s="2" t="s">
        <v>259</v>
      </c>
      <c r="C32" s="1" t="s">
        <v>25</v>
      </c>
      <c r="D32" s="1">
        <v>366325</v>
      </c>
      <c r="E32" s="1" t="s">
        <v>27</v>
      </c>
      <c r="F32" s="11">
        <v>45334</v>
      </c>
      <c r="G32" s="11" t="s">
        <v>507</v>
      </c>
      <c r="H32" s="2" t="s">
        <v>582</v>
      </c>
      <c r="I32" s="2" t="s">
        <v>583</v>
      </c>
      <c r="J32" s="12">
        <v>0.013888888890505768</v>
      </c>
      <c r="K32" s="12">
        <v>0.03125</v>
      </c>
      <c r="L32" s="13">
        <f>CRF[[#This Row],[Time Spent on Configuration]]+CRF[[#This Row],[Time Spent on Review/Testing]]</f>
        <v>0.04513888889050577</v>
      </c>
      <c r="N32" s="1" t="s">
        <v>32</v>
      </c>
      <c r="O32" s="1" t="s">
        <v>483</v>
      </c>
      <c r="P32" s="1" t="s">
        <v>42</v>
      </c>
      <c r="Q32" s="11">
        <v>45334</v>
      </c>
      <c r="R32" s="1">
        <v>5</v>
      </c>
    </row>
    <row r="33" ht="105" customHeight="1" spans="1:18" x14ac:dyDescent="0.25">
      <c r="A33" s="1" t="s">
        <v>3594</v>
      </c>
      <c r="B33" s="2" t="s">
        <v>185</v>
      </c>
      <c r="C33" s="1" t="s">
        <v>186</v>
      </c>
      <c r="D33" s="1">
        <v>366335</v>
      </c>
      <c r="E33" s="1" t="s">
        <v>27</v>
      </c>
      <c r="F33" s="11">
        <v>45334</v>
      </c>
      <c r="G33" s="11" t="s">
        <v>507</v>
      </c>
      <c r="H33" s="2" t="s">
        <v>585</v>
      </c>
      <c r="I33" s="2" t="s">
        <v>3779</v>
      </c>
      <c r="J33" s="12">
        <v>0.020833333332120674</v>
      </c>
      <c r="K33" s="12">
        <v>0.03472222222262644</v>
      </c>
      <c r="L33" s="13">
        <f>CRF[[#This Row],[Time Spent on Configuration]]+CRF[[#This Row],[Time Spent on Review/Testing]]</f>
        <v>0.055555555554747116</v>
      </c>
      <c r="N33" s="1" t="s">
        <v>32</v>
      </c>
      <c r="O33" s="1" t="s">
        <v>483</v>
      </c>
      <c r="P33" s="1" t="s">
        <v>484</v>
      </c>
      <c r="Q33" s="11">
        <v>45334</v>
      </c>
      <c r="R33" s="1">
        <v>5</v>
      </c>
    </row>
    <row r="34" ht="75" customHeight="1" spans="1:18" x14ac:dyDescent="0.25">
      <c r="A34" s="1" t="s">
        <v>3594</v>
      </c>
      <c r="B34" s="2" t="s">
        <v>35</v>
      </c>
      <c r="C34" s="1" t="s">
        <v>25</v>
      </c>
      <c r="D34" s="1">
        <v>366316</v>
      </c>
      <c r="E34" s="1" t="s">
        <v>27</v>
      </c>
      <c r="F34" s="11">
        <v>45334</v>
      </c>
      <c r="G34" s="11" t="s">
        <v>38</v>
      </c>
      <c r="H34" s="2" t="s">
        <v>3780</v>
      </c>
      <c r="I34" s="2" t="s">
        <v>3780</v>
      </c>
      <c r="J34" s="12">
        <v>0.03472222222262644</v>
      </c>
      <c r="K34" s="12">
        <v>0.041666666667879326</v>
      </c>
      <c r="L34" s="13">
        <f>CRF[[#This Row],[Time Spent on Configuration]]+CRF[[#This Row],[Time Spent on Review/Testing]]</f>
        <v>0.07638888889050577</v>
      </c>
      <c r="N34" s="1" t="s">
        <v>31</v>
      </c>
      <c r="O34" s="1" t="s">
        <v>32</v>
      </c>
      <c r="P34" s="1" t="s">
        <v>42</v>
      </c>
      <c r="Q34" s="11">
        <v>45334</v>
      </c>
      <c r="R34" s="1">
        <v>5</v>
      </c>
    </row>
    <row r="35" ht="180" customHeight="1" spans="1:18" x14ac:dyDescent="0.25">
      <c r="A35" s="1" t="s">
        <v>3594</v>
      </c>
      <c r="B35" s="2" t="s">
        <v>247</v>
      </c>
      <c r="C35" s="1" t="s">
        <v>25</v>
      </c>
      <c r="D35" s="1">
        <v>366464</v>
      </c>
      <c r="E35" s="1" t="s">
        <v>27</v>
      </c>
      <c r="F35" s="11">
        <v>45335</v>
      </c>
      <c r="G35" s="11" t="s">
        <v>38</v>
      </c>
      <c r="H35" s="2" t="s">
        <v>3781</v>
      </c>
      <c r="I35" s="2" t="s">
        <v>3782</v>
      </c>
      <c r="J35" s="12">
        <v>0.027777777777373558</v>
      </c>
      <c r="K35" s="12">
        <v>0.04513888889050577</v>
      </c>
      <c r="L35" s="13">
        <f>CRF[[#This Row],[Time Spent on Configuration]]+CRF[[#This Row],[Time Spent on Review/Testing]]</f>
        <v>0.07291666666787933</v>
      </c>
      <c r="N35" s="1" t="s">
        <v>32</v>
      </c>
      <c r="O35" s="1" t="s">
        <v>483</v>
      </c>
      <c r="P35" s="1" t="s">
        <v>488</v>
      </c>
      <c r="Q35" s="11">
        <v>45335</v>
      </c>
      <c r="R35" s="1">
        <v>5</v>
      </c>
    </row>
    <row r="36" ht="90" customHeight="1" spans="1:18" x14ac:dyDescent="0.25">
      <c r="A36" s="1" t="s">
        <v>3594</v>
      </c>
      <c r="B36" s="2" t="s">
        <v>24</v>
      </c>
      <c r="C36" s="1" t="s">
        <v>25</v>
      </c>
      <c r="D36" s="1">
        <v>366999</v>
      </c>
      <c r="E36" s="1" t="s">
        <v>27</v>
      </c>
      <c r="F36" s="11">
        <v>45339</v>
      </c>
      <c r="G36" s="11" t="s">
        <v>507</v>
      </c>
      <c r="H36" s="2" t="s">
        <v>3783</v>
      </c>
      <c r="I36" s="2" t="s">
        <v>594</v>
      </c>
      <c r="J36" s="12">
        <v>0.006944444445252884</v>
      </c>
      <c r="K36" s="12">
        <v>0.027777777777373558</v>
      </c>
      <c r="L36" s="13">
        <f>CRF[[#This Row],[Time Spent on Configuration]]+CRF[[#This Row],[Time Spent on Review/Testing]]</f>
        <v>0.03472222222262644</v>
      </c>
      <c r="N36" s="1" t="s">
        <v>32</v>
      </c>
      <c r="O36" s="1" t="s">
        <v>483</v>
      </c>
      <c r="P36" s="1" t="s">
        <v>488</v>
      </c>
      <c r="Q36" s="11">
        <v>45339</v>
      </c>
      <c r="R36" s="1">
        <v>5</v>
      </c>
    </row>
    <row r="37" ht="45" customHeight="1" spans="1:18" x14ac:dyDescent="0.25">
      <c r="A37" s="1" t="s">
        <v>3594</v>
      </c>
      <c r="B37" s="2" t="s">
        <v>286</v>
      </c>
      <c r="C37" s="1" t="s">
        <v>287</v>
      </c>
      <c r="D37" s="1">
        <v>367328</v>
      </c>
      <c r="E37" s="1" t="s">
        <v>37</v>
      </c>
      <c r="F37" s="11">
        <v>45344</v>
      </c>
      <c r="G37" s="11" t="s">
        <v>38</v>
      </c>
      <c r="H37" s="2" t="s">
        <v>3784</v>
      </c>
      <c r="I37" s="2" t="s">
        <v>597</v>
      </c>
      <c r="J37" s="12">
        <v>0.020833333332120674</v>
      </c>
      <c r="K37" s="12">
        <v>0.03125</v>
      </c>
      <c r="L37" s="13">
        <f>CRF[[#This Row],[Time Spent on Configuration]]+CRF[[#This Row],[Time Spent on Review/Testing]]</f>
        <v>0.052083333332120674</v>
      </c>
      <c r="N37" s="1" t="s">
        <v>32</v>
      </c>
      <c r="O37" s="1" t="s">
        <v>41</v>
      </c>
      <c r="P37" s="1" t="s">
        <v>484</v>
      </c>
      <c r="Q37" s="11">
        <v>45344</v>
      </c>
      <c r="R37" s="1">
        <v>5</v>
      </c>
    </row>
    <row r="38" ht="120" customHeight="1" spans="1:18" x14ac:dyDescent="0.25">
      <c r="A38" s="1" t="s">
        <v>3594</v>
      </c>
      <c r="B38" s="2" t="s">
        <v>48</v>
      </c>
      <c r="C38" s="1" t="s">
        <v>25</v>
      </c>
      <c r="D38" s="1">
        <v>366763</v>
      </c>
      <c r="E38" s="1" t="s">
        <v>27</v>
      </c>
      <c r="F38" s="11">
        <v>45344</v>
      </c>
      <c r="G38" s="11" t="s">
        <v>38</v>
      </c>
      <c r="H38" s="2" t="s">
        <v>3785</v>
      </c>
      <c r="I38" s="2" t="s">
        <v>3785</v>
      </c>
      <c r="J38" s="12">
        <v>0.041666666667879326</v>
      </c>
      <c r="K38" s="12">
        <v>0.04861111110949423</v>
      </c>
      <c r="L38" s="13">
        <f>CRF[[#This Row],[Time Spent on Configuration]]+CRF[[#This Row],[Time Spent on Review/Testing]]</f>
        <v>0.09027777777737356</v>
      </c>
      <c r="N38" s="1" t="s">
        <v>31</v>
      </c>
      <c r="O38" s="1" t="s">
        <v>32</v>
      </c>
      <c r="P38" s="1" t="s">
        <v>484</v>
      </c>
      <c r="Q38" s="11">
        <v>45344</v>
      </c>
      <c r="R38" s="1">
        <v>5</v>
      </c>
    </row>
    <row r="39" ht="409.5" customHeight="1" spans="1:18" x14ac:dyDescent="0.25">
      <c r="A39" s="1" t="s">
        <v>3594</v>
      </c>
      <c r="B39" s="2" t="s">
        <v>223</v>
      </c>
      <c r="C39" s="1" t="s">
        <v>186</v>
      </c>
      <c r="D39" s="1">
        <v>367057</v>
      </c>
      <c r="E39" s="1" t="s">
        <v>37</v>
      </c>
      <c r="F39" s="11">
        <v>45345</v>
      </c>
      <c r="G39" s="11" t="s">
        <v>38</v>
      </c>
      <c r="H39" s="2" t="s">
        <v>3786</v>
      </c>
      <c r="I39" s="2" t="s">
        <v>3787</v>
      </c>
      <c r="J39" s="12">
        <v>0.041666666667879326</v>
      </c>
      <c r="K39" s="12">
        <v>0.027777777777373558</v>
      </c>
      <c r="L39" s="13">
        <f>CRF[[#This Row],[Time Spent on Configuration]]+CRF[[#This Row],[Time Spent on Review/Testing]]</f>
        <v>0.06944444444525288</v>
      </c>
      <c r="N39" s="1" t="s">
        <v>31</v>
      </c>
      <c r="O39" s="1" t="s">
        <v>483</v>
      </c>
      <c r="P39" s="1" t="s">
        <v>488</v>
      </c>
      <c r="Q39" s="11">
        <v>45348</v>
      </c>
      <c r="R39" s="1">
        <v>5</v>
      </c>
    </row>
    <row r="40" ht="45" customHeight="1" spans="1:18" x14ac:dyDescent="0.25">
      <c r="A40" s="1" t="s">
        <v>3594</v>
      </c>
      <c r="B40" s="2" t="s">
        <v>260</v>
      </c>
      <c r="C40" s="1" t="s">
        <v>261</v>
      </c>
      <c r="D40" s="1">
        <v>367913</v>
      </c>
      <c r="E40" s="1" t="s">
        <v>37</v>
      </c>
      <c r="F40" s="11">
        <v>45349</v>
      </c>
      <c r="G40" s="11" t="s">
        <v>38</v>
      </c>
      <c r="H40" s="2" t="s">
        <v>604</v>
      </c>
      <c r="I40" s="2" t="s">
        <v>3788</v>
      </c>
      <c r="J40" s="12">
        <v>0.010416666667879326</v>
      </c>
      <c r="K40" s="12">
        <v>0.041666666667879326</v>
      </c>
      <c r="L40" s="13">
        <f>CRF[[#This Row],[Time Spent on Configuration]]+CRF[[#This Row],[Time Spent on Review/Testing]]</f>
        <v>0.052083333332120674</v>
      </c>
      <c r="N40" s="1" t="s">
        <v>31</v>
      </c>
      <c r="O40" s="1" t="s">
        <v>41</v>
      </c>
      <c r="P40" s="1" t="s">
        <v>488</v>
      </c>
      <c r="Q40" s="11">
        <v>45349</v>
      </c>
      <c r="R40" s="1">
        <v>5</v>
      </c>
    </row>
    <row r="41" ht="210" customHeight="1" spans="1:18" x14ac:dyDescent="0.25">
      <c r="A41" s="1" t="s">
        <v>3594</v>
      </c>
      <c r="B41" s="2" t="s">
        <v>163</v>
      </c>
      <c r="C41" s="1" t="s">
        <v>25</v>
      </c>
      <c r="D41" s="1">
        <v>368194</v>
      </c>
      <c r="E41" s="1" t="s">
        <v>27</v>
      </c>
      <c r="F41" s="11">
        <v>45350</v>
      </c>
      <c r="G41" s="11" t="s">
        <v>38</v>
      </c>
      <c r="H41" s="2" t="s">
        <v>3789</v>
      </c>
      <c r="I41" s="2" t="s">
        <v>3790</v>
      </c>
      <c r="J41" s="12">
        <v>0.055555555554747116</v>
      </c>
      <c r="K41" s="12">
        <v>0.06597222222262644</v>
      </c>
      <c r="L41" s="13">
        <f>CRF[[#This Row],[Time Spent on Configuration]]+CRF[[#This Row],[Time Spent on Review/Testing]]</f>
        <v>0.12152777777737356</v>
      </c>
      <c r="N41" s="1" t="s">
        <v>32</v>
      </c>
      <c r="O41" s="1" t="s">
        <v>41</v>
      </c>
      <c r="P41" s="1" t="s">
        <v>488</v>
      </c>
      <c r="Q41" s="11">
        <v>45350</v>
      </c>
      <c r="R41" s="1">
        <v>5</v>
      </c>
    </row>
    <row r="42" ht="135" customHeight="1" spans="1:18" x14ac:dyDescent="0.25">
      <c r="A42" s="1" t="s">
        <v>3594</v>
      </c>
      <c r="B42" s="2" t="s">
        <v>609</v>
      </c>
      <c r="C42" s="1" t="s">
        <v>567</v>
      </c>
      <c r="D42" s="1">
        <v>368194</v>
      </c>
      <c r="E42" s="1" t="s">
        <v>27</v>
      </c>
      <c r="F42" s="11">
        <v>45350</v>
      </c>
      <c r="G42" s="11" t="s">
        <v>38</v>
      </c>
      <c r="H42" s="2" t="s">
        <v>3791</v>
      </c>
      <c r="I42" s="2" t="s">
        <v>611</v>
      </c>
      <c r="J42" s="12">
        <v>0.010416666667879326</v>
      </c>
      <c r="K42" s="12">
        <v>0.027777777777373558</v>
      </c>
      <c r="L42" s="13">
        <f>CRF[[#This Row],[Time Spent on Configuration]]+CRF[[#This Row],[Time Spent on Review/Testing]]</f>
        <v>0.038194444445252884</v>
      </c>
      <c r="N42" s="1" t="s">
        <v>32</v>
      </c>
      <c r="O42" s="1" t="s">
        <v>41</v>
      </c>
      <c r="P42" s="1" t="s">
        <v>488</v>
      </c>
      <c r="Q42" s="11">
        <v>45350</v>
      </c>
      <c r="R42" s="1">
        <v>5</v>
      </c>
    </row>
    <row r="43" ht="135" customHeight="1" spans="1:18" x14ac:dyDescent="0.25">
      <c r="A43" s="1" t="s">
        <v>3594</v>
      </c>
      <c r="B43" s="2" t="s">
        <v>566</v>
      </c>
      <c r="C43" s="1" t="s">
        <v>567</v>
      </c>
      <c r="D43" s="1">
        <v>368194</v>
      </c>
      <c r="E43" s="1" t="s">
        <v>27</v>
      </c>
      <c r="F43" s="11">
        <v>45350</v>
      </c>
      <c r="G43" s="11" t="s">
        <v>38</v>
      </c>
      <c r="H43" s="2" t="s">
        <v>3791</v>
      </c>
      <c r="I43" s="2" t="s">
        <v>611</v>
      </c>
      <c r="J43" s="12">
        <v>0.010416666667879326</v>
      </c>
      <c r="K43" s="12">
        <v>0.027777777777373558</v>
      </c>
      <c r="L43" s="13">
        <f>CRF[[#This Row],[Time Spent on Configuration]]+CRF[[#This Row],[Time Spent on Review/Testing]]</f>
        <v>0.038194444445252884</v>
      </c>
      <c r="N43" s="1" t="s">
        <v>32</v>
      </c>
      <c r="O43" s="1" t="s">
        <v>41</v>
      </c>
      <c r="P43" s="1" t="s">
        <v>488</v>
      </c>
      <c r="Q43" s="11">
        <v>45350</v>
      </c>
      <c r="R43" s="1">
        <v>5</v>
      </c>
    </row>
    <row r="44" ht="135" customHeight="1" spans="1:18" x14ac:dyDescent="0.25">
      <c r="A44" s="1" t="s">
        <v>3594</v>
      </c>
      <c r="B44" s="2" t="s">
        <v>612</v>
      </c>
      <c r="C44" s="1" t="s">
        <v>567</v>
      </c>
      <c r="D44" s="1">
        <v>368194</v>
      </c>
      <c r="E44" s="1" t="s">
        <v>27</v>
      </c>
      <c r="F44" s="11">
        <v>45350</v>
      </c>
      <c r="G44" s="11" t="s">
        <v>38</v>
      </c>
      <c r="H44" s="2" t="s">
        <v>3791</v>
      </c>
      <c r="I44" s="2" t="s">
        <v>611</v>
      </c>
      <c r="J44" s="12">
        <v>0.006944444445252884</v>
      </c>
      <c r="K44" s="12">
        <v>0.03472222222262644</v>
      </c>
      <c r="L44" s="13">
        <f>CRF[[#This Row],[Time Spent on Configuration]]+CRF[[#This Row],[Time Spent on Review/Testing]]</f>
        <v>0.041666666667879326</v>
      </c>
      <c r="N44" s="1" t="s">
        <v>32</v>
      </c>
      <c r="O44" s="1" t="s">
        <v>41</v>
      </c>
      <c r="P44" s="1" t="s">
        <v>488</v>
      </c>
      <c r="Q44" s="11">
        <v>45350</v>
      </c>
      <c r="R44" s="1">
        <v>5</v>
      </c>
    </row>
    <row r="45" ht="120" customHeight="1" spans="1:18" x14ac:dyDescent="0.25">
      <c r="A45" s="1" t="s">
        <v>3594</v>
      </c>
      <c r="B45" s="2" t="s">
        <v>223</v>
      </c>
      <c r="C45" s="1" t="s">
        <v>186</v>
      </c>
      <c r="D45" s="1">
        <v>367249</v>
      </c>
      <c r="E45" s="1" t="s">
        <v>37</v>
      </c>
      <c r="F45" s="11">
        <v>45351</v>
      </c>
      <c r="G45" s="11" t="s">
        <v>38</v>
      </c>
      <c r="H45" s="2" t="s">
        <v>3792</v>
      </c>
      <c r="I45" s="2" t="s">
        <v>3793</v>
      </c>
      <c r="J45" s="12">
        <v>0.013888888890505768</v>
      </c>
      <c r="K45" s="12">
        <v>0.020833333332120674</v>
      </c>
      <c r="L45" s="13">
        <f>CRF[[#This Row],[Time Spent on Configuration]]+CRF[[#This Row],[Time Spent on Review/Testing]]</f>
        <v>0.03472222222262644</v>
      </c>
      <c r="N45" s="1" t="s">
        <v>31</v>
      </c>
      <c r="O45" s="1" t="s">
        <v>32</v>
      </c>
      <c r="P45" s="1" t="s">
        <v>488</v>
      </c>
      <c r="Q45" s="11">
        <v>45355</v>
      </c>
      <c r="R45" s="1">
        <v>5</v>
      </c>
    </row>
    <row r="46" ht="120" customHeight="1" spans="1:18" x14ac:dyDescent="0.25">
      <c r="A46" s="1" t="s">
        <v>3594</v>
      </c>
      <c r="B46" s="2" t="s">
        <v>616</v>
      </c>
      <c r="C46" s="1" t="s">
        <v>617</v>
      </c>
      <c r="D46" s="1">
        <v>367754</v>
      </c>
      <c r="E46" s="1" t="s">
        <v>37</v>
      </c>
      <c r="F46" s="11">
        <v>45351</v>
      </c>
      <c r="G46" s="11" t="s">
        <v>38</v>
      </c>
      <c r="H46" s="2" t="s">
        <v>3794</v>
      </c>
      <c r="I46" s="2" t="s">
        <v>3795</v>
      </c>
      <c r="J46" s="12">
        <v>0.013888888890505768</v>
      </c>
      <c r="K46" s="12">
        <v>0.03472222222262644</v>
      </c>
      <c r="L46" s="13">
        <f>CRF[[#This Row],[Time Spent on Configuration]]+CRF[[#This Row],[Time Spent on Review/Testing]]</f>
        <v>0.04861111110949423</v>
      </c>
      <c r="N46" s="1" t="s">
        <v>31</v>
      </c>
      <c r="O46" s="1" t="s">
        <v>41</v>
      </c>
      <c r="P46" s="1" t="s">
        <v>484</v>
      </c>
      <c r="Q46" s="11">
        <v>45351</v>
      </c>
      <c r="R46" s="1">
        <v>5</v>
      </c>
    </row>
    <row r="47" ht="180" customHeight="1" spans="1:18" x14ac:dyDescent="0.25">
      <c r="A47" s="1" t="s">
        <v>3613</v>
      </c>
      <c r="B47" s="2" t="s">
        <v>35</v>
      </c>
      <c r="C47" s="1" t="s">
        <v>25</v>
      </c>
      <c r="D47" s="1">
        <v>365733</v>
      </c>
      <c r="E47" s="1" t="s">
        <v>27</v>
      </c>
      <c r="F47" s="11">
        <v>45352</v>
      </c>
      <c r="G47" s="11" t="s">
        <v>38</v>
      </c>
      <c r="H47" s="2" t="s">
        <v>3796</v>
      </c>
      <c r="I47" s="2" t="s">
        <v>3797</v>
      </c>
      <c r="J47" s="12">
        <v>0.020833333332120674</v>
      </c>
      <c r="K47" s="12">
        <v>0.038194444445252884</v>
      </c>
      <c r="L47" s="13">
        <f>CRF[[#This Row],[Time Spent on Configuration]]+CRF[[#This Row],[Time Spent on Review/Testing]]</f>
        <v>0.05902777777737356</v>
      </c>
      <c r="N47" s="1" t="s">
        <v>574</v>
      </c>
      <c r="O47" s="1" t="s">
        <v>41</v>
      </c>
      <c r="P47" s="1" t="s">
        <v>42</v>
      </c>
      <c r="Q47" s="11">
        <v>45352</v>
      </c>
      <c r="R47" s="1">
        <v>5</v>
      </c>
    </row>
    <row r="48" ht="330" customHeight="1" spans="1:18" x14ac:dyDescent="0.25">
      <c r="A48" s="1" t="s">
        <v>3613</v>
      </c>
      <c r="B48" s="2" t="s">
        <v>625</v>
      </c>
      <c r="C48" s="1" t="s">
        <v>567</v>
      </c>
      <c r="D48" s="1">
        <v>368731</v>
      </c>
      <c r="E48" s="1" t="s">
        <v>27</v>
      </c>
      <c r="F48" s="11">
        <v>45355</v>
      </c>
      <c r="G48" s="11" t="s">
        <v>507</v>
      </c>
      <c r="H48" s="2" t="s">
        <v>3798</v>
      </c>
      <c r="I48" s="2" t="s">
        <v>628</v>
      </c>
      <c r="J48" s="12">
        <v>0.013888888890505768</v>
      </c>
      <c r="K48" s="12">
        <v>0.024305555554747116</v>
      </c>
      <c r="L48" s="13">
        <f>CRF[[#This Row],[Time Spent on Configuration]]+CRF[[#This Row],[Time Spent on Review/Testing]]</f>
        <v>0.038194444445252884</v>
      </c>
      <c r="N48" s="1" t="s">
        <v>32</v>
      </c>
      <c r="O48" s="1" t="s">
        <v>483</v>
      </c>
      <c r="P48" s="1" t="s">
        <v>488</v>
      </c>
      <c r="Q48" s="11">
        <v>45355</v>
      </c>
      <c r="R48" s="1">
        <v>5</v>
      </c>
    </row>
    <row r="49" ht="90" customHeight="1" spans="1:18" x14ac:dyDescent="0.25">
      <c r="A49" s="1" t="s">
        <v>3613</v>
      </c>
      <c r="B49" s="2" t="s">
        <v>223</v>
      </c>
      <c r="C49" s="1" t="s">
        <v>186</v>
      </c>
      <c r="D49" s="1">
        <v>368965</v>
      </c>
      <c r="E49" s="1" t="s">
        <v>37</v>
      </c>
      <c r="F49" s="11">
        <v>45356</v>
      </c>
      <c r="G49" s="11" t="s">
        <v>74</v>
      </c>
      <c r="H49" s="2" t="s">
        <v>3799</v>
      </c>
      <c r="I49" s="2" t="s">
        <v>3800</v>
      </c>
      <c r="J49" s="12">
        <v>0.041666666667879326</v>
      </c>
      <c r="K49" s="12">
        <v>0.03125</v>
      </c>
      <c r="L49" s="13">
        <f>CRF[[#This Row],[Time Spent on Configuration]]+CRF[[#This Row],[Time Spent on Review/Testing]]</f>
        <v>0.07291666666787933</v>
      </c>
      <c r="N49" s="1" t="s">
        <v>31</v>
      </c>
      <c r="O49" s="1" t="s">
        <v>32</v>
      </c>
      <c r="P49" s="1" t="s">
        <v>488</v>
      </c>
      <c r="Q49" s="11">
        <v>45356</v>
      </c>
      <c r="R49" s="1">
        <v>5</v>
      </c>
    </row>
    <row r="50" ht="105" customHeight="1" spans="1:18" x14ac:dyDescent="0.25">
      <c r="A50" s="1" t="s">
        <v>3613</v>
      </c>
      <c r="B50" s="2" t="s">
        <v>185</v>
      </c>
      <c r="C50" s="1" t="s">
        <v>186</v>
      </c>
      <c r="D50" s="1">
        <v>369490</v>
      </c>
      <c r="E50" s="1" t="s">
        <v>37</v>
      </c>
      <c r="F50" s="11">
        <v>45362</v>
      </c>
      <c r="G50" s="11" t="s">
        <v>38</v>
      </c>
      <c r="H50" s="2" t="s">
        <v>3801</v>
      </c>
      <c r="I50" s="2" t="s">
        <v>634</v>
      </c>
      <c r="J50" s="12">
        <v>0</v>
      </c>
      <c r="K50" s="12">
        <v>0.03125</v>
      </c>
      <c r="L50" s="13">
        <f>CRF[[#This Row],[Time Spent on Configuration]]+CRF[[#This Row],[Time Spent on Review/Testing]]</f>
        <v>0.03125</v>
      </c>
      <c r="N50" s="1" t="s">
        <v>54</v>
      </c>
      <c r="O50" s="1" t="s">
        <v>41</v>
      </c>
      <c r="P50" s="1" t="s">
        <v>484</v>
      </c>
      <c r="Q50" s="11">
        <v>45362</v>
      </c>
      <c r="R50" s="1">
        <v>5</v>
      </c>
    </row>
    <row r="51" ht="165" customHeight="1" spans="1:18" x14ac:dyDescent="0.25">
      <c r="A51" s="1" t="s">
        <v>3613</v>
      </c>
      <c r="B51" s="2" t="s">
        <v>284</v>
      </c>
      <c r="C51" s="1" t="s">
        <v>285</v>
      </c>
      <c r="D51" s="1">
        <v>366772</v>
      </c>
      <c r="E51" s="1" t="s">
        <v>37</v>
      </c>
      <c r="F51" s="11">
        <v>45364</v>
      </c>
      <c r="G51" s="11" t="s">
        <v>38</v>
      </c>
      <c r="H51" s="2" t="s">
        <v>3802</v>
      </c>
      <c r="I51" s="2" t="s">
        <v>637</v>
      </c>
      <c r="J51" s="12">
        <v>0.010416666667879326</v>
      </c>
      <c r="K51" s="12">
        <v>0.03472222222262644</v>
      </c>
      <c r="L51" s="13">
        <f>CRF[[#This Row],[Time Spent on Configuration]]+CRF[[#This Row],[Time Spent on Review/Testing]]</f>
        <v>0.04513888889050577</v>
      </c>
      <c r="N51" s="1" t="s">
        <v>31</v>
      </c>
      <c r="O51" s="1" t="s">
        <v>41</v>
      </c>
      <c r="P51" s="1" t="s">
        <v>484</v>
      </c>
      <c r="Q51" s="11">
        <v>45364</v>
      </c>
      <c r="R51" s="1">
        <v>5</v>
      </c>
    </row>
    <row r="52" ht="60" customHeight="1" spans="1:18" x14ac:dyDescent="0.25">
      <c r="A52" s="1" t="s">
        <v>3613</v>
      </c>
      <c r="B52" s="2" t="s">
        <v>223</v>
      </c>
      <c r="C52" s="1" t="s">
        <v>186</v>
      </c>
      <c r="D52" s="1">
        <v>366857</v>
      </c>
      <c r="E52" s="1" t="s">
        <v>27</v>
      </c>
      <c r="F52" s="11">
        <v>45364</v>
      </c>
      <c r="G52" s="11" t="s">
        <v>38</v>
      </c>
      <c r="H52" s="2" t="s">
        <v>3803</v>
      </c>
      <c r="I52" s="2" t="s">
        <v>3804</v>
      </c>
      <c r="J52" s="12">
        <v>0.03125</v>
      </c>
      <c r="K52" s="12">
        <v>0.0625</v>
      </c>
      <c r="L52" s="13">
        <f>CRF[[#This Row],[Time Spent on Configuration]]+CRF[[#This Row],[Time Spent on Review/Testing]]</f>
        <v>0.09375</v>
      </c>
      <c r="N52" s="1" t="s">
        <v>31</v>
      </c>
      <c r="O52" s="1" t="s">
        <v>41</v>
      </c>
      <c r="P52" s="1" t="s">
        <v>488</v>
      </c>
      <c r="Q52" s="11">
        <v>45364</v>
      </c>
      <c r="R52" s="1">
        <v>5</v>
      </c>
    </row>
    <row r="53" ht="150" customHeight="1" spans="1:18" x14ac:dyDescent="0.25">
      <c r="A53" s="1" t="s">
        <v>3613</v>
      </c>
      <c r="B53" s="2" t="s">
        <v>641</v>
      </c>
      <c r="C53" s="1" t="s">
        <v>261</v>
      </c>
      <c r="D53" s="1">
        <v>368206</v>
      </c>
      <c r="E53" s="1" t="s">
        <v>37</v>
      </c>
      <c r="F53" s="11">
        <v>45366</v>
      </c>
      <c r="G53" s="11" t="s">
        <v>38</v>
      </c>
      <c r="H53" s="2" t="s">
        <v>643</v>
      </c>
      <c r="I53" s="2" t="s">
        <v>3805</v>
      </c>
      <c r="J53" s="12">
        <v>0.11805555555474712</v>
      </c>
      <c r="K53" s="12">
        <v>0.07638888889050577</v>
      </c>
      <c r="L53" s="13">
        <f>CRF[[#This Row],[Time Spent on Configuration]]+CRF[[#This Row],[Time Spent on Review/Testing]]</f>
        <v>0.19444444444525288</v>
      </c>
      <c r="N53" s="1" t="s">
        <v>31</v>
      </c>
      <c r="O53" s="1" t="s">
        <v>41</v>
      </c>
      <c r="P53" s="1" t="s">
        <v>42</v>
      </c>
      <c r="Q53" s="11">
        <v>45366</v>
      </c>
      <c r="R53" s="1">
        <v>5</v>
      </c>
    </row>
    <row r="54" ht="90" customHeight="1" spans="1:18" x14ac:dyDescent="0.25">
      <c r="A54" s="1" t="s">
        <v>3613</v>
      </c>
      <c r="B54" s="2" t="s">
        <v>35</v>
      </c>
      <c r="C54" s="1" t="s">
        <v>25</v>
      </c>
      <c r="D54" s="1">
        <v>369613</v>
      </c>
      <c r="E54" s="1" t="s">
        <v>27</v>
      </c>
      <c r="F54" s="11">
        <v>45366</v>
      </c>
      <c r="G54" s="11" t="s">
        <v>38</v>
      </c>
      <c r="H54" s="2" t="s">
        <v>646</v>
      </c>
      <c r="I54" s="2" t="s">
        <v>3806</v>
      </c>
      <c r="J54" s="12">
        <v>0.03472222222262644</v>
      </c>
      <c r="K54" s="12">
        <v>0.041666666667879326</v>
      </c>
      <c r="L54" s="13">
        <f>CRF[[#This Row],[Time Spent on Configuration]]+CRF[[#This Row],[Time Spent on Review/Testing]]</f>
        <v>0.07638888889050577</v>
      </c>
      <c r="N54" s="1" t="s">
        <v>41</v>
      </c>
      <c r="O54" s="1" t="s">
        <v>31</v>
      </c>
      <c r="P54" s="1" t="s">
        <v>42</v>
      </c>
      <c r="Q54" s="11">
        <v>45366</v>
      </c>
      <c r="R54" s="1">
        <v>5</v>
      </c>
    </row>
    <row r="55" ht="45" customHeight="1" spans="1:18" x14ac:dyDescent="0.25">
      <c r="A55" s="1" t="s">
        <v>3613</v>
      </c>
      <c r="B55" s="2" t="s">
        <v>99</v>
      </c>
      <c r="C55" s="1" t="s">
        <v>25</v>
      </c>
      <c r="D55" s="1">
        <v>371210</v>
      </c>
      <c r="E55" s="1" t="s">
        <v>27</v>
      </c>
      <c r="F55" s="11">
        <v>45378</v>
      </c>
      <c r="G55" s="11" t="s">
        <v>28</v>
      </c>
      <c r="H55" s="2" t="s">
        <v>3807</v>
      </c>
      <c r="I55" s="2" t="s">
        <v>650</v>
      </c>
      <c r="J55" s="12">
        <v>0.03472222222262644</v>
      </c>
      <c r="K55" s="12">
        <v>0.06944444444525288</v>
      </c>
      <c r="L55" s="13">
        <f>CRF[[#This Row],[Time Spent on Configuration]]+CRF[[#This Row],[Time Spent on Review/Testing]]</f>
        <v>0.10416666666787933</v>
      </c>
      <c r="N55" s="1" t="s">
        <v>32</v>
      </c>
      <c r="O55" s="1" t="s">
        <v>41</v>
      </c>
      <c r="P55" s="1" t="s">
        <v>47</v>
      </c>
      <c r="Q55" s="11">
        <v>45378</v>
      </c>
      <c r="R55" s="1">
        <v>5</v>
      </c>
    </row>
    <row r="56" ht="45" customHeight="1" spans="1:18" x14ac:dyDescent="0.25">
      <c r="A56" s="1" t="s">
        <v>3613</v>
      </c>
      <c r="B56" s="2" t="s">
        <v>334</v>
      </c>
      <c r="C56" s="1" t="s">
        <v>335</v>
      </c>
      <c r="D56" s="1">
        <v>368585</v>
      </c>
      <c r="E56" s="1" t="s">
        <v>27</v>
      </c>
      <c r="F56" s="11">
        <v>45378</v>
      </c>
      <c r="G56" s="11" t="s">
        <v>133</v>
      </c>
      <c r="H56" s="2" t="s">
        <v>652</v>
      </c>
      <c r="I56" s="2" t="s">
        <v>653</v>
      </c>
      <c r="J56" s="12">
        <v>0.020833333332120674</v>
      </c>
      <c r="K56" s="12">
        <v>0.024305555554747116</v>
      </c>
      <c r="L56" s="13">
        <f>CRF[[#This Row],[Time Spent on Configuration]]+CRF[[#This Row],[Time Spent on Review/Testing]]</f>
        <v>0.04513888889050577</v>
      </c>
      <c r="N56" s="1" t="s">
        <v>54</v>
      </c>
      <c r="O56" s="1" t="s">
        <v>41</v>
      </c>
      <c r="P56" s="1" t="s">
        <v>42</v>
      </c>
      <c r="Q56" s="11">
        <v>45378</v>
      </c>
      <c r="R56" s="1">
        <v>5</v>
      </c>
    </row>
    <row r="57" ht="45" customHeight="1" spans="1:18" x14ac:dyDescent="0.25">
      <c r="A57" s="1" t="s">
        <v>3613</v>
      </c>
      <c r="B57" s="2" t="s">
        <v>641</v>
      </c>
      <c r="C57" s="1" t="s">
        <v>261</v>
      </c>
      <c r="D57" s="1">
        <v>370317</v>
      </c>
      <c r="E57" s="1" t="s">
        <v>27</v>
      </c>
      <c r="F57" s="11">
        <v>45378</v>
      </c>
      <c r="G57" s="11" t="s">
        <v>74</v>
      </c>
      <c r="H57" s="2" t="s">
        <v>655</v>
      </c>
      <c r="I57" s="2" t="s">
        <v>656</v>
      </c>
      <c r="J57" s="12">
        <v>0.020833333332120674</v>
      </c>
      <c r="K57" s="12">
        <v>0.052083333332120674</v>
      </c>
      <c r="L57" s="13">
        <f>CRF[[#This Row],[Time Spent on Configuration]]+CRF[[#This Row],[Time Spent on Review/Testing]]</f>
        <v>0.07291666666787933</v>
      </c>
      <c r="N57" s="1" t="s">
        <v>32</v>
      </c>
      <c r="O57" s="1" t="s">
        <v>41</v>
      </c>
      <c r="P57" s="1" t="s">
        <v>42</v>
      </c>
      <c r="Q57" s="11">
        <v>45378</v>
      </c>
      <c r="R57" s="1">
        <v>5</v>
      </c>
    </row>
    <row r="58" ht="60" customHeight="1" spans="1:18" x14ac:dyDescent="0.25">
      <c r="A58" s="1" t="s">
        <v>3624</v>
      </c>
      <c r="B58" s="2" t="s">
        <v>99</v>
      </c>
      <c r="C58" s="1" t="s">
        <v>25</v>
      </c>
      <c r="D58" s="1">
        <v>371985</v>
      </c>
      <c r="E58" s="1" t="s">
        <v>27</v>
      </c>
      <c r="F58" s="11">
        <v>45385</v>
      </c>
      <c r="G58" s="11" t="s">
        <v>28</v>
      </c>
      <c r="H58" s="2" t="s">
        <v>3808</v>
      </c>
      <c r="I58" s="2" t="s">
        <v>660</v>
      </c>
      <c r="J58" s="12">
        <v>0.03125</v>
      </c>
      <c r="K58" s="12">
        <v>0.027777777777373558</v>
      </c>
      <c r="L58" s="13">
        <f>CRF[[#This Row],[Time Spent on Configuration]]+CRF[[#This Row],[Time Spent on Review/Testing]]</f>
        <v>0.05902777777737356</v>
      </c>
      <c r="N58" s="1" t="s">
        <v>41</v>
      </c>
      <c r="O58" s="1" t="s">
        <v>32</v>
      </c>
      <c r="P58" s="1" t="s">
        <v>3694</v>
      </c>
      <c r="Q58" s="11">
        <v>45385</v>
      </c>
      <c r="R58" s="1">
        <v>5</v>
      </c>
    </row>
    <row r="59" ht="60" customHeight="1" spans="1:18" x14ac:dyDescent="0.25">
      <c r="A59" s="1" t="s">
        <v>3624</v>
      </c>
      <c r="B59" s="2" t="s">
        <v>616</v>
      </c>
      <c r="C59" s="1" t="s">
        <v>617</v>
      </c>
      <c r="D59" s="1">
        <v>372187</v>
      </c>
      <c r="E59" s="1" t="s">
        <v>27</v>
      </c>
      <c r="F59" s="11">
        <v>45386</v>
      </c>
      <c r="G59" s="11" t="s">
        <v>507</v>
      </c>
      <c r="H59" s="2" t="s">
        <v>3809</v>
      </c>
      <c r="I59" s="2" t="s">
        <v>3810</v>
      </c>
      <c r="J59" s="12">
        <v>0.013888888890505768</v>
      </c>
      <c r="K59" s="12">
        <v>0.03125</v>
      </c>
      <c r="L59" s="13">
        <f>CRF[[#This Row],[Time Spent on Configuration]]+CRF[[#This Row],[Time Spent on Review/Testing]]</f>
        <v>0.04513888889050577</v>
      </c>
      <c r="N59" s="1" t="s">
        <v>32</v>
      </c>
      <c r="O59" s="1" t="s">
        <v>41</v>
      </c>
      <c r="P59" s="1" t="s">
        <v>47</v>
      </c>
      <c r="Q59" s="11">
        <v>45386</v>
      </c>
      <c r="R59" s="1">
        <v>5</v>
      </c>
    </row>
    <row r="60" ht="409.5" customHeight="1" spans="1:18" x14ac:dyDescent="0.25">
      <c r="A60" s="1" t="s">
        <v>3624</v>
      </c>
      <c r="B60" s="2" t="s">
        <v>286</v>
      </c>
      <c r="C60" s="1" t="s">
        <v>287</v>
      </c>
      <c r="D60" s="1">
        <v>366058</v>
      </c>
      <c r="E60" s="1" t="s">
        <v>37</v>
      </c>
      <c r="F60" s="11">
        <v>45386</v>
      </c>
      <c r="G60" s="11" t="s">
        <v>28</v>
      </c>
      <c r="H60" s="2" t="s">
        <v>3811</v>
      </c>
      <c r="I60" s="2" t="s">
        <v>3812</v>
      </c>
      <c r="J60" s="12">
        <v>0.020833333332120674</v>
      </c>
      <c r="K60" s="12">
        <v>0.055555555554747116</v>
      </c>
      <c r="L60" s="13">
        <f>CRF[[#This Row],[Time Spent on Configuration]]+CRF[[#This Row],[Time Spent on Review/Testing]]</f>
        <v>0.07638888889050577</v>
      </c>
      <c r="N60" s="1" t="s">
        <v>31</v>
      </c>
      <c r="O60" s="1" t="s">
        <v>483</v>
      </c>
      <c r="P60" s="1" t="s">
        <v>47</v>
      </c>
      <c r="Q60" s="11">
        <v>45386</v>
      </c>
      <c r="R60" s="1">
        <v>5</v>
      </c>
    </row>
    <row r="61" ht="75" customHeight="1" spans="1:18" x14ac:dyDescent="0.25">
      <c r="A61" s="1" t="s">
        <v>3624</v>
      </c>
      <c r="B61" s="2" t="s">
        <v>667</v>
      </c>
      <c r="C61" s="1" t="s">
        <v>668</v>
      </c>
      <c r="D61" s="1">
        <v>370380</v>
      </c>
      <c r="E61" s="1" t="s">
        <v>37</v>
      </c>
      <c r="F61" s="11">
        <v>45390</v>
      </c>
      <c r="G61" s="11" t="s">
        <v>670</v>
      </c>
      <c r="H61" s="2" t="s">
        <v>3813</v>
      </c>
      <c r="I61" s="2" t="s">
        <v>672</v>
      </c>
      <c r="J61" s="12">
        <v>0.013888888890505768</v>
      </c>
      <c r="K61" s="12">
        <v>0.020833333332120674</v>
      </c>
      <c r="L61" s="13">
        <f>CRF[[#This Row],[Time Spent on Configuration]]+CRF[[#This Row],[Time Spent on Review/Testing]]</f>
        <v>0.03472222222262644</v>
      </c>
      <c r="N61" s="1" t="s">
        <v>41</v>
      </c>
      <c r="O61" s="1" t="s">
        <v>32</v>
      </c>
      <c r="P61" s="1" t="s">
        <v>42</v>
      </c>
      <c r="Q61" s="11">
        <v>45390</v>
      </c>
      <c r="R61" s="1">
        <v>5</v>
      </c>
    </row>
    <row r="62" ht="90" customHeight="1" spans="1:18" x14ac:dyDescent="0.25">
      <c r="A62" s="1" t="s">
        <v>3624</v>
      </c>
      <c r="B62" s="2" t="s">
        <v>625</v>
      </c>
      <c r="C62" s="1" t="s">
        <v>567</v>
      </c>
      <c r="D62" s="1">
        <v>372310</v>
      </c>
      <c r="E62" s="1" t="s">
        <v>37</v>
      </c>
      <c r="F62" s="11">
        <v>45392</v>
      </c>
      <c r="G62" s="11" t="s">
        <v>38</v>
      </c>
      <c r="H62" s="2" t="s">
        <v>3814</v>
      </c>
      <c r="I62" s="2" t="s">
        <v>3815</v>
      </c>
      <c r="J62" s="12">
        <v>0.013888888890505768</v>
      </c>
      <c r="K62" s="12">
        <v>0.027777777777373558</v>
      </c>
      <c r="L62" s="13">
        <f>CRF[[#This Row],[Time Spent on Configuration]]+CRF[[#This Row],[Time Spent on Review/Testing]]</f>
        <v>0.041666666667879326</v>
      </c>
      <c r="N62" s="1" t="s">
        <v>31</v>
      </c>
      <c r="O62" s="1" t="s">
        <v>41</v>
      </c>
      <c r="P62" s="1" t="s">
        <v>488</v>
      </c>
      <c r="Q62" s="11">
        <v>45392</v>
      </c>
      <c r="R62" s="1">
        <v>5</v>
      </c>
    </row>
    <row r="63" ht="45" customHeight="1" spans="1:18" x14ac:dyDescent="0.25">
      <c r="A63" s="1" t="s">
        <v>3624</v>
      </c>
      <c r="B63" s="2" t="s">
        <v>247</v>
      </c>
      <c r="C63" s="1" t="s">
        <v>25</v>
      </c>
      <c r="D63" s="1">
        <v>372382</v>
      </c>
      <c r="E63" s="1" t="s">
        <v>37</v>
      </c>
      <c r="F63" s="11">
        <v>45392</v>
      </c>
      <c r="G63" s="11" t="s">
        <v>38</v>
      </c>
      <c r="H63" s="2" t="s">
        <v>3816</v>
      </c>
      <c r="I63" s="2" t="s">
        <v>3817</v>
      </c>
      <c r="J63" s="12">
        <v>0.013888888890505768</v>
      </c>
      <c r="K63" s="12">
        <v>0.03125</v>
      </c>
      <c r="L63" s="13">
        <f>CRF[[#This Row],[Time Spent on Configuration]]+CRF[[#This Row],[Time Spent on Review/Testing]]</f>
        <v>0.04513888889050577</v>
      </c>
      <c r="N63" s="1" t="s">
        <v>31</v>
      </c>
      <c r="O63" s="1" t="s">
        <v>41</v>
      </c>
      <c r="P63" s="1" t="s">
        <v>488</v>
      </c>
      <c r="Q63" s="11">
        <v>45392</v>
      </c>
      <c r="R63" s="1">
        <v>5</v>
      </c>
    </row>
    <row r="64" ht="409.5" customHeight="1" spans="1:18" x14ac:dyDescent="0.25">
      <c r="A64" s="1" t="s">
        <v>3624</v>
      </c>
      <c r="B64" s="2" t="s">
        <v>641</v>
      </c>
      <c r="C64" s="1" t="s">
        <v>261</v>
      </c>
      <c r="D64" s="1">
        <v>372799</v>
      </c>
      <c r="E64" s="1" t="s">
        <v>27</v>
      </c>
      <c r="F64" s="11">
        <v>45394</v>
      </c>
      <c r="G64" s="11" t="s">
        <v>28</v>
      </c>
      <c r="H64" s="2" t="s">
        <v>3818</v>
      </c>
      <c r="I64" s="2" t="s">
        <v>3819</v>
      </c>
      <c r="J64" s="12">
        <v>0.020833333332120674</v>
      </c>
      <c r="K64" s="12">
        <v>0.041666666667879326</v>
      </c>
      <c r="L64" s="13">
        <f>CRF[[#This Row],[Time Spent on Configuration]]+CRF[[#This Row],[Time Spent on Review/Testing]]</f>
        <v>0.0625</v>
      </c>
      <c r="N64" s="1" t="s">
        <v>53</v>
      </c>
      <c r="O64" s="1" t="s">
        <v>32</v>
      </c>
      <c r="P64" s="1" t="s">
        <v>42</v>
      </c>
      <c r="Q64" s="11">
        <v>45394</v>
      </c>
      <c r="R64" s="1">
        <v>5</v>
      </c>
    </row>
    <row r="65" ht="240" customHeight="1" spans="1:18" x14ac:dyDescent="0.25">
      <c r="A65" s="1" t="s">
        <v>3624</v>
      </c>
      <c r="B65" s="2" t="s">
        <v>286</v>
      </c>
      <c r="C65" s="1" t="s">
        <v>287</v>
      </c>
      <c r="D65" s="1">
        <v>372906</v>
      </c>
      <c r="E65" s="1" t="s">
        <v>37</v>
      </c>
      <c r="F65" s="11">
        <v>45404</v>
      </c>
      <c r="G65" s="11" t="s">
        <v>38</v>
      </c>
      <c r="H65" s="2" t="s">
        <v>3820</v>
      </c>
      <c r="I65" s="2" t="s">
        <v>3821</v>
      </c>
      <c r="J65" s="12">
        <v>0.08333333333212067</v>
      </c>
      <c r="K65" s="12">
        <v>0.10763888889050577</v>
      </c>
      <c r="L65" s="13">
        <f>CRF[[#This Row],[Time Spent on Configuration]]+CRF[[#This Row],[Time Spent on Review/Testing]]</f>
        <v>0.19097222222262644</v>
      </c>
      <c r="N65" s="1" t="s">
        <v>31</v>
      </c>
      <c r="O65" s="1" t="s">
        <v>41</v>
      </c>
      <c r="P65" s="11" t="s">
        <v>47</v>
      </c>
      <c r="Q65" s="11">
        <v>45404</v>
      </c>
      <c r="R65" s="1">
        <v>5</v>
      </c>
    </row>
    <row r="66" ht="195" customHeight="1" spans="1:18" x14ac:dyDescent="0.25">
      <c r="A66" s="1" t="s">
        <v>3624</v>
      </c>
      <c r="B66" s="2" t="s">
        <v>641</v>
      </c>
      <c r="C66" s="1" t="s">
        <v>261</v>
      </c>
      <c r="D66" s="1">
        <v>374138</v>
      </c>
      <c r="E66" s="1" t="s">
        <v>27</v>
      </c>
      <c r="F66" s="11">
        <v>45406</v>
      </c>
      <c r="G66" s="11" t="s">
        <v>74</v>
      </c>
      <c r="H66" s="2" t="s">
        <v>686</v>
      </c>
      <c r="I66" s="2" t="s">
        <v>3822</v>
      </c>
      <c r="J66" s="12">
        <v>0.020833333332120674</v>
      </c>
      <c r="K66" s="12">
        <v>0.041666666667879326</v>
      </c>
      <c r="L66" s="13">
        <f>CRF[[#This Row],[Time Spent on Configuration]]+CRF[[#This Row],[Time Spent on Review/Testing]]</f>
        <v>0.0625</v>
      </c>
      <c r="N66" s="1" t="s">
        <v>32</v>
      </c>
      <c r="O66" s="1" t="s">
        <v>41</v>
      </c>
      <c r="P66" s="1" t="s">
        <v>42</v>
      </c>
      <c r="Q66" s="11">
        <v>45406</v>
      </c>
      <c r="R66" s="1">
        <v>5</v>
      </c>
    </row>
    <row r="67" ht="90" customHeight="1" spans="1:18" x14ac:dyDescent="0.25">
      <c r="A67" s="1" t="s">
        <v>3646</v>
      </c>
      <c r="B67" s="2" t="s">
        <v>529</v>
      </c>
      <c r="C67" s="1" t="s">
        <v>530</v>
      </c>
      <c r="D67" s="1">
        <v>375136</v>
      </c>
      <c r="E67" s="1" t="s">
        <v>37</v>
      </c>
      <c r="F67" s="11">
        <v>45414</v>
      </c>
      <c r="G67" s="11" t="s">
        <v>28</v>
      </c>
      <c r="H67" s="2" t="s">
        <v>3823</v>
      </c>
      <c r="I67" s="2" t="s">
        <v>3824</v>
      </c>
      <c r="J67" s="12">
        <v>0.020833333332120674</v>
      </c>
      <c r="K67" s="12">
        <v>0.041666666667879326</v>
      </c>
      <c r="L67" s="13">
        <f>CRF[[#This Row],[Time Spent on Configuration]]+CRF[[#This Row],[Time Spent on Review/Testing]]</f>
        <v>0.0625</v>
      </c>
      <c r="N67" s="1" t="s">
        <v>53</v>
      </c>
      <c r="O67" s="1" t="s">
        <v>32</v>
      </c>
      <c r="P67" s="1" t="s">
        <v>47</v>
      </c>
      <c r="Q67" s="11">
        <v>45414</v>
      </c>
      <c r="R67" s="1">
        <v>5</v>
      </c>
    </row>
    <row r="68" ht="330" customHeight="1" spans="1:18" x14ac:dyDescent="0.25">
      <c r="A68" s="1" t="s">
        <v>3646</v>
      </c>
      <c r="B68" s="2" t="s">
        <v>48</v>
      </c>
      <c r="C68" s="1" t="s">
        <v>25</v>
      </c>
      <c r="D68" s="1">
        <v>374761</v>
      </c>
      <c r="E68" s="1" t="s">
        <v>27</v>
      </c>
      <c r="F68" s="11">
        <v>45414</v>
      </c>
      <c r="G68" s="11" t="s">
        <v>38</v>
      </c>
      <c r="H68" s="40" t="s">
        <v>3825</v>
      </c>
      <c r="I68" s="2" t="s">
        <v>3826</v>
      </c>
      <c r="J68" s="12">
        <v>0.020833333332120674</v>
      </c>
      <c r="K68" s="12">
        <v>0.038194444445252884</v>
      </c>
      <c r="L68" s="13">
        <f>CRF[[#This Row],[Time Spent on Configuration]]+CRF[[#This Row],[Time Spent on Review/Testing]]</f>
        <v>0.05902777777737356</v>
      </c>
      <c r="N68" s="1" t="s">
        <v>53</v>
      </c>
      <c r="O68" s="1" t="s">
        <v>32</v>
      </c>
      <c r="P68" s="1" t="s">
        <v>47</v>
      </c>
      <c r="Q68" s="11">
        <v>45415</v>
      </c>
      <c r="R68" s="1">
        <v>5</v>
      </c>
    </row>
    <row r="69" ht="30" customHeight="1" spans="1:18" x14ac:dyDescent="0.25">
      <c r="A69" s="1" t="s">
        <v>3646</v>
      </c>
      <c r="B69" s="2" t="s">
        <v>641</v>
      </c>
      <c r="C69" s="1" t="s">
        <v>261</v>
      </c>
      <c r="D69" s="1">
        <v>374759</v>
      </c>
      <c r="E69" s="1" t="s">
        <v>37</v>
      </c>
      <c r="F69" s="11">
        <v>45418</v>
      </c>
      <c r="G69" s="11" t="s">
        <v>696</v>
      </c>
      <c r="H69" s="2" t="s">
        <v>3827</v>
      </c>
      <c r="I69" s="2" t="s">
        <v>3828</v>
      </c>
      <c r="J69" s="12">
        <v>0.006944444445252884</v>
      </c>
      <c r="K69" s="12">
        <v>0.01736111110949423</v>
      </c>
      <c r="L69" s="13">
        <f>CRF[[#This Row],[Time Spent on Configuration]]+CRF[[#This Row],[Time Spent on Review/Testing]]</f>
        <v>0.024305555554747116</v>
      </c>
      <c r="N69" s="1" t="s">
        <v>31</v>
      </c>
      <c r="O69" s="1" t="s">
        <v>32</v>
      </c>
      <c r="P69" s="1" t="s">
        <v>42</v>
      </c>
      <c r="Q69" s="11">
        <v>45418</v>
      </c>
      <c r="R69" s="1">
        <v>5</v>
      </c>
    </row>
    <row r="70" ht="30" customHeight="1" spans="1:18" x14ac:dyDescent="0.25">
      <c r="A70" s="1" t="s">
        <v>3646</v>
      </c>
      <c r="B70" s="2" t="s">
        <v>334</v>
      </c>
      <c r="C70" s="1" t="s">
        <v>335</v>
      </c>
      <c r="D70" s="1">
        <v>375949</v>
      </c>
      <c r="E70" s="1" t="s">
        <v>37</v>
      </c>
      <c r="F70" s="11">
        <v>45421</v>
      </c>
      <c r="G70" s="11" t="s">
        <v>38</v>
      </c>
      <c r="H70" s="2" t="s">
        <v>3829</v>
      </c>
      <c r="I70" s="2" t="s">
        <v>3830</v>
      </c>
      <c r="J70" s="12">
        <v>0.020833333332120674</v>
      </c>
      <c r="K70" s="12">
        <v>0.055555555554747116</v>
      </c>
      <c r="L70" s="13">
        <f>CRF[[#This Row],[Time Spent on Configuration]]+CRF[[#This Row],[Time Spent on Review/Testing]]</f>
        <v>0.07638888889050577</v>
      </c>
      <c r="N70" s="1" t="s">
        <v>31</v>
      </c>
      <c r="O70" s="1" t="s">
        <v>41</v>
      </c>
      <c r="P70" s="1" t="s">
        <v>42</v>
      </c>
      <c r="Q70" s="11">
        <v>45421</v>
      </c>
      <c r="R70" s="1">
        <v>5</v>
      </c>
    </row>
    <row r="71" ht="135" customHeight="1" spans="1:18" x14ac:dyDescent="0.25">
      <c r="A71" s="1" t="s">
        <v>3646</v>
      </c>
      <c r="B71" s="2" t="s">
        <v>223</v>
      </c>
      <c r="C71" s="1" t="s">
        <v>186</v>
      </c>
      <c r="D71" s="1">
        <v>369325</v>
      </c>
      <c r="E71" s="1" t="s">
        <v>27</v>
      </c>
      <c r="F71" s="11">
        <v>45422</v>
      </c>
      <c r="G71" s="11" t="s">
        <v>28</v>
      </c>
      <c r="H71" s="2" t="s">
        <v>703</v>
      </c>
      <c r="I71" s="2" t="s">
        <v>3831</v>
      </c>
      <c r="J71" s="12">
        <v>0.010416666667879326</v>
      </c>
      <c r="K71" s="12">
        <v>0.04861111110949423</v>
      </c>
      <c r="L71" s="13">
        <f>CRF[[#This Row],[Time Spent on Configuration]]+CRF[[#This Row],[Time Spent on Review/Testing]]</f>
        <v>0.05902777777737356</v>
      </c>
      <c r="N71" s="1" t="s">
        <v>31</v>
      </c>
      <c r="O71" s="1" t="s">
        <v>41</v>
      </c>
      <c r="P71" s="1" t="s">
        <v>488</v>
      </c>
      <c r="Q71" s="11">
        <v>45422</v>
      </c>
      <c r="R71" s="1">
        <v>5</v>
      </c>
    </row>
    <row r="72" ht="285" customHeight="1" spans="1:18" x14ac:dyDescent="0.25">
      <c r="A72" s="1" t="s">
        <v>3646</v>
      </c>
      <c r="B72" s="2" t="s">
        <v>281</v>
      </c>
      <c r="C72" s="1" t="s">
        <v>282</v>
      </c>
      <c r="D72" s="1">
        <v>376482</v>
      </c>
      <c r="E72" s="1" t="s">
        <v>27</v>
      </c>
      <c r="F72" s="11">
        <v>45427</v>
      </c>
      <c r="G72" s="11" t="s">
        <v>74</v>
      </c>
      <c r="H72" s="2" t="s">
        <v>3832</v>
      </c>
      <c r="I72" s="2" t="s">
        <v>3833</v>
      </c>
      <c r="J72" s="12">
        <v>0.03472222222262644</v>
      </c>
      <c r="K72" s="12">
        <v>0.07083333333503106</v>
      </c>
      <c r="L72" s="13">
        <f>CRF[[#This Row],[Time Spent on Configuration]]+CRF[[#This Row],[Time Spent on Review/Testing]]</f>
        <v>0.10555555555401952</v>
      </c>
      <c r="N72" s="1" t="s">
        <v>32</v>
      </c>
      <c r="O72" s="1" t="s">
        <v>41</v>
      </c>
      <c r="P72" s="1" t="s">
        <v>708</v>
      </c>
      <c r="Q72" s="11">
        <v>45427</v>
      </c>
      <c r="R72" s="1">
        <v>5</v>
      </c>
    </row>
    <row r="73" ht="210" customHeight="1" spans="1:18" x14ac:dyDescent="0.25">
      <c r="A73" s="1" t="s">
        <v>3646</v>
      </c>
      <c r="B73" s="2" t="s">
        <v>48</v>
      </c>
      <c r="C73" s="1" t="s">
        <v>25</v>
      </c>
      <c r="D73" s="1">
        <v>377620</v>
      </c>
      <c r="E73" s="1" t="s">
        <v>37</v>
      </c>
      <c r="F73" s="11">
        <v>45434</v>
      </c>
      <c r="G73" s="11" t="s">
        <v>133</v>
      </c>
      <c r="H73" s="2" t="s">
        <v>3834</v>
      </c>
      <c r="I73" s="2" t="s">
        <v>3835</v>
      </c>
      <c r="J73" s="12">
        <v>0.013888888890505768</v>
      </c>
      <c r="K73" s="12">
        <v>0.024305555554747116</v>
      </c>
      <c r="L73" s="13">
        <f>CRF[[#This Row],[Time Spent on Configuration]]+CRF[[#This Row],[Time Spent on Review/Testing]]</f>
        <v>0.038194444445252884</v>
      </c>
      <c r="N73" s="1" t="s">
        <v>31</v>
      </c>
      <c r="O73" s="1" t="s">
        <v>483</v>
      </c>
      <c r="P73" s="1" t="s">
        <v>47</v>
      </c>
      <c r="Q73" s="11">
        <v>45434</v>
      </c>
      <c r="R73" s="1">
        <v>5</v>
      </c>
    </row>
    <row r="74" ht="90" customHeight="1" spans="1:18" x14ac:dyDescent="0.25">
      <c r="A74" s="1" t="s">
        <v>3646</v>
      </c>
      <c r="B74" s="2" t="s">
        <v>35</v>
      </c>
      <c r="C74" s="1" t="s">
        <v>25</v>
      </c>
      <c r="D74" s="1">
        <v>374620</v>
      </c>
      <c r="E74" s="1" t="s">
        <v>713</v>
      </c>
      <c r="F74" s="11">
        <v>45435</v>
      </c>
      <c r="G74" s="11" t="s">
        <v>507</v>
      </c>
      <c r="H74" s="2" t="s">
        <v>3836</v>
      </c>
      <c r="I74" s="2" t="s">
        <v>3837</v>
      </c>
      <c r="J74" s="12">
        <v>0</v>
      </c>
      <c r="K74" s="12">
        <v>0.013888888890505768</v>
      </c>
      <c r="L74" s="13">
        <f>CRF[[#This Row],[Time Spent on Configuration]]+CRF[[#This Row],[Time Spent on Review/Testing]]</f>
        <v>0.013888888890505768</v>
      </c>
      <c r="N74" s="1" t="s">
        <v>716</v>
      </c>
      <c r="O74" s="1" t="s">
        <v>41</v>
      </c>
      <c r="P74" s="1" t="s">
        <v>42</v>
      </c>
      <c r="Q74" s="11">
        <v>45435</v>
      </c>
      <c r="R74" s="1">
        <v>5</v>
      </c>
    </row>
    <row r="75" ht="225" customHeight="1" spans="1:18" x14ac:dyDescent="0.25">
      <c r="A75" s="1" t="s">
        <v>3646</v>
      </c>
      <c r="B75" s="2" t="s">
        <v>72</v>
      </c>
      <c r="C75" s="1" t="s">
        <v>44</v>
      </c>
      <c r="D75" s="1">
        <v>378819</v>
      </c>
      <c r="E75" s="1" t="s">
        <v>713</v>
      </c>
      <c r="F75" s="11">
        <v>45437</v>
      </c>
      <c r="G75" s="11" t="s">
        <v>507</v>
      </c>
      <c r="H75" s="2" t="s">
        <v>3838</v>
      </c>
      <c r="I75" s="2" t="s">
        <v>3839</v>
      </c>
      <c r="J75" s="12">
        <v>0.020833333332120674</v>
      </c>
      <c r="K75" s="12">
        <v>0.038194444445252884</v>
      </c>
      <c r="L75" s="13">
        <f>CRF[[#This Row],[Time Spent on Configuration]]+CRF[[#This Row],[Time Spent on Review/Testing]]</f>
        <v>0.05902777777737356</v>
      </c>
      <c r="N75" s="1" t="s">
        <v>53</v>
      </c>
      <c r="O75" s="1" t="s">
        <v>32</v>
      </c>
      <c r="P75" s="1" t="s">
        <v>708</v>
      </c>
      <c r="Q75" s="11">
        <v>45437</v>
      </c>
      <c r="R75" s="1">
        <v>5</v>
      </c>
    </row>
    <row r="76" ht="75" customHeight="1" spans="1:18" x14ac:dyDescent="0.25">
      <c r="A76" s="1" t="s">
        <v>3646</v>
      </c>
      <c r="B76" s="2" t="s">
        <v>334</v>
      </c>
      <c r="C76" s="1" t="s">
        <v>335</v>
      </c>
      <c r="D76" s="1">
        <v>377429</v>
      </c>
      <c r="E76" s="1" t="s">
        <v>37</v>
      </c>
      <c r="F76" s="11">
        <v>45443</v>
      </c>
      <c r="G76" s="11" t="s">
        <v>28</v>
      </c>
      <c r="H76" s="2" t="s">
        <v>721</v>
      </c>
      <c r="I76" s="2" t="s">
        <v>721</v>
      </c>
      <c r="J76" s="12">
        <v>0.04930555555620231</v>
      </c>
      <c r="K76" s="12">
        <v>0.04861111110949423</v>
      </c>
      <c r="L76" s="13">
        <f>CRF[[#This Row],[Time Spent on Configuration]]+CRF[[#This Row],[Time Spent on Review/Testing]]</f>
        <v>0.09791666666569654</v>
      </c>
      <c r="N76" s="1" t="s">
        <v>574</v>
      </c>
      <c r="O76" s="1" t="s">
        <v>32</v>
      </c>
      <c r="P76" s="1" t="s">
        <v>42</v>
      </c>
      <c r="Q76" s="11">
        <v>45443</v>
      </c>
      <c r="R76" s="1">
        <v>5</v>
      </c>
    </row>
    <row r="77" ht="90" customHeight="1" spans="1:18" x14ac:dyDescent="0.25">
      <c r="A77" s="1" t="s">
        <v>3663</v>
      </c>
      <c r="B77" s="2" t="s">
        <v>113</v>
      </c>
      <c r="C77" s="1" t="s">
        <v>25</v>
      </c>
      <c r="D77" s="1">
        <v>381035</v>
      </c>
      <c r="E77" s="1" t="s">
        <v>37</v>
      </c>
      <c r="F77" s="11">
        <v>45451</v>
      </c>
      <c r="G77" s="11" t="s">
        <v>507</v>
      </c>
      <c r="H77" s="2" t="s">
        <v>724</v>
      </c>
      <c r="I77" s="2" t="s">
        <v>725</v>
      </c>
      <c r="J77" s="12">
        <v>0.03125</v>
      </c>
      <c r="K77" s="12">
        <v>0.04513888889050577</v>
      </c>
      <c r="L77" s="13">
        <f>CRF[[#This Row],[Time Spent on Configuration]]+CRF[[#This Row],[Time Spent on Review/Testing]]</f>
        <v>0.07638888889050577</v>
      </c>
      <c r="N77" s="1" t="s">
        <v>574</v>
      </c>
      <c r="O77" s="1" t="s">
        <v>32</v>
      </c>
      <c r="P77" s="1" t="s">
        <v>47</v>
      </c>
      <c r="Q77" s="11">
        <v>45451</v>
      </c>
      <c r="R77" s="1">
        <v>5</v>
      </c>
    </row>
    <row r="78" ht="240" customHeight="1" spans="1:18" x14ac:dyDescent="0.25">
      <c r="A78" s="1" t="s">
        <v>3663</v>
      </c>
      <c r="B78" s="2" t="s">
        <v>286</v>
      </c>
      <c r="C78" s="1" t="s">
        <v>287</v>
      </c>
      <c r="D78" s="1">
        <v>381022</v>
      </c>
      <c r="E78" s="1" t="s">
        <v>37</v>
      </c>
      <c r="F78" s="11">
        <v>45454</v>
      </c>
      <c r="G78" s="11" t="s">
        <v>74</v>
      </c>
      <c r="H78" s="2" t="s">
        <v>3840</v>
      </c>
      <c r="I78" s="2" t="s">
        <v>3841</v>
      </c>
      <c r="J78" s="12">
        <v>0.020833333332120674</v>
      </c>
      <c r="K78" s="12">
        <v>0.03125</v>
      </c>
      <c r="L78" s="13">
        <f>CRF[[#This Row],[Time Spent on Configuration]]+CRF[[#This Row],[Time Spent on Review/Testing]]</f>
        <v>0.052083333332120674</v>
      </c>
      <c r="N78" s="1" t="s">
        <v>53</v>
      </c>
      <c r="O78" s="1" t="s">
        <v>41</v>
      </c>
      <c r="P78" s="1" t="s">
        <v>47</v>
      </c>
      <c r="Q78" s="11">
        <v>45454</v>
      </c>
      <c r="R78" s="1">
        <v>5</v>
      </c>
    </row>
    <row r="79" ht="240" customHeight="1" spans="1:18" x14ac:dyDescent="0.25">
      <c r="A79" s="1" t="s">
        <v>3663</v>
      </c>
      <c r="B79" s="2" t="s">
        <v>545</v>
      </c>
      <c r="C79" s="1" t="s">
        <v>546</v>
      </c>
      <c r="D79" s="1">
        <v>381309</v>
      </c>
      <c r="E79" s="1" t="s">
        <v>37</v>
      </c>
      <c r="F79" s="11">
        <v>45454</v>
      </c>
      <c r="G79" s="11" t="s">
        <v>3842</v>
      </c>
      <c r="H79" s="2" t="s">
        <v>3843</v>
      </c>
      <c r="I79" s="2" t="s">
        <v>3844</v>
      </c>
      <c r="J79" s="12">
        <v>0.020833333332120674</v>
      </c>
      <c r="K79" s="12">
        <v>0.03125</v>
      </c>
      <c r="L79" s="13">
        <f>CRF[[#This Row],[Time Spent on Configuration]]+CRF[[#This Row],[Time Spent on Review/Testing]]</f>
        <v>0.052083333332120674</v>
      </c>
      <c r="N79" s="1" t="s">
        <v>53</v>
      </c>
      <c r="O79" s="1" t="s">
        <v>41</v>
      </c>
      <c r="P79" s="1" t="s">
        <v>47</v>
      </c>
      <c r="Q79" s="11">
        <v>45454</v>
      </c>
      <c r="R79" s="1">
        <v>5</v>
      </c>
    </row>
    <row r="80" ht="210" customHeight="1" spans="1:18" x14ac:dyDescent="0.25">
      <c r="A80" s="1" t="s">
        <v>3663</v>
      </c>
      <c r="B80" s="2" t="s">
        <v>247</v>
      </c>
      <c r="C80" s="1" t="s">
        <v>25</v>
      </c>
      <c r="D80" s="1">
        <v>381426</v>
      </c>
      <c r="E80" s="1" t="s">
        <v>37</v>
      </c>
      <c r="F80" s="11">
        <v>45455</v>
      </c>
      <c r="G80" s="11" t="s">
        <v>28</v>
      </c>
      <c r="H80" s="2" t="s">
        <v>3845</v>
      </c>
      <c r="I80" s="2" t="s">
        <v>3846</v>
      </c>
      <c r="J80" s="12">
        <v>0.027777777777373558</v>
      </c>
      <c r="K80" s="12">
        <v>0.07083333333503106</v>
      </c>
      <c r="L80" s="13">
        <f>CRF[[#This Row],[Time Spent on Configuration]]+CRF[[#This Row],[Time Spent on Review/Testing]]</f>
        <v>0.09861111111240461</v>
      </c>
      <c r="N80" s="1" t="s">
        <v>32</v>
      </c>
      <c r="O80" s="1" t="s">
        <v>41</v>
      </c>
      <c r="P80" s="1" t="s">
        <v>708</v>
      </c>
      <c r="Q80" s="11">
        <v>45456</v>
      </c>
      <c r="R80" s="1">
        <v>5</v>
      </c>
    </row>
    <row r="81" ht="30" customHeight="1" spans="1:18" x14ac:dyDescent="0.25">
      <c r="A81" s="1" t="s">
        <v>3663</v>
      </c>
      <c r="B81" s="2" t="s">
        <v>99</v>
      </c>
      <c r="C81" s="1" t="s">
        <v>25</v>
      </c>
      <c r="D81" s="1">
        <v>381358</v>
      </c>
      <c r="E81" s="1" t="s">
        <v>37</v>
      </c>
      <c r="F81" s="11">
        <v>45456</v>
      </c>
      <c r="G81" s="11" t="s">
        <v>28</v>
      </c>
      <c r="H81" s="2" t="s">
        <v>3847</v>
      </c>
      <c r="I81" s="2" t="s">
        <v>737</v>
      </c>
      <c r="J81" s="12">
        <v>0.010416666667879326</v>
      </c>
      <c r="K81" s="12">
        <v>0.041666666667879326</v>
      </c>
      <c r="L81" s="13">
        <f>CRF[[#This Row],[Time Spent on Configuration]]+CRF[[#This Row],[Time Spent on Review/Testing]]</f>
        <v>0.052083333332120674</v>
      </c>
      <c r="N81" s="1" t="s">
        <v>31</v>
      </c>
      <c r="O81" s="1" t="s">
        <v>32</v>
      </c>
      <c r="P81" s="1" t="s">
        <v>47</v>
      </c>
      <c r="Q81" s="11">
        <v>45456</v>
      </c>
      <c r="R81" s="1">
        <v>5</v>
      </c>
    </row>
    <row r="82" ht="90" customHeight="1" spans="1:18" x14ac:dyDescent="0.25">
      <c r="A82" s="1" t="s">
        <v>3663</v>
      </c>
      <c r="B82" s="2" t="s">
        <v>529</v>
      </c>
      <c r="C82" s="1" t="s">
        <v>530</v>
      </c>
      <c r="D82" s="1">
        <v>381467</v>
      </c>
      <c r="E82" s="1" t="s">
        <v>37</v>
      </c>
      <c r="F82" s="11">
        <v>45457</v>
      </c>
      <c r="G82" s="11" t="s">
        <v>28</v>
      </c>
      <c r="H82" s="2" t="s">
        <v>3848</v>
      </c>
      <c r="I82" s="2" t="s">
        <v>740</v>
      </c>
      <c r="J82" s="12">
        <v>0.027777777777373558</v>
      </c>
      <c r="K82" s="12">
        <v>0.045833333333575865</v>
      </c>
      <c r="L82" s="13">
        <f>CRF[[#This Row],[Time Spent on Configuration]]+CRF[[#This Row],[Time Spent on Review/Testing]]</f>
        <v>0.07361111111094942</v>
      </c>
      <c r="N82" s="1" t="s">
        <v>32</v>
      </c>
      <c r="O82" s="1" t="s">
        <v>41</v>
      </c>
      <c r="P82" s="1" t="s">
        <v>47</v>
      </c>
      <c r="Q82" s="11">
        <v>45457</v>
      </c>
      <c r="R82" s="1">
        <v>5</v>
      </c>
    </row>
    <row r="83" ht="315" customHeight="1" spans="1:18" x14ac:dyDescent="0.25">
      <c r="A83" s="1" t="s">
        <v>3663</v>
      </c>
      <c r="B83" s="2" t="s">
        <v>35</v>
      </c>
      <c r="C83" s="1" t="s">
        <v>25</v>
      </c>
      <c r="D83" s="1">
        <v>363653</v>
      </c>
      <c r="E83" s="1" t="s">
        <v>37</v>
      </c>
      <c r="F83" s="11">
        <v>45460</v>
      </c>
      <c r="G83" s="11" t="s">
        <v>28</v>
      </c>
      <c r="H83" s="2" t="s">
        <v>3849</v>
      </c>
      <c r="I83" s="2" t="s">
        <v>3850</v>
      </c>
      <c r="J83" s="12">
        <v>0.0625</v>
      </c>
      <c r="K83" s="12">
        <v>0.03472222222262644</v>
      </c>
      <c r="L83" s="13">
        <f>CRF[[#This Row],[Time Spent on Configuration]]+CRF[[#This Row],[Time Spent on Review/Testing]]</f>
        <v>0.09722222222262644</v>
      </c>
      <c r="N83" s="1" t="s">
        <v>31</v>
      </c>
      <c r="O83" s="1" t="s">
        <v>32</v>
      </c>
      <c r="P83" s="1" t="s">
        <v>42</v>
      </c>
      <c r="Q83" s="11">
        <v>45462</v>
      </c>
      <c r="R83" s="1">
        <v>5</v>
      </c>
    </row>
    <row r="84" ht="30" customHeight="1" spans="1:18" x14ac:dyDescent="0.25">
      <c r="A84" s="1" t="s">
        <v>3663</v>
      </c>
      <c r="B84" s="2" t="s">
        <v>479</v>
      </c>
      <c r="C84" s="1" t="s">
        <v>25</v>
      </c>
      <c r="D84" s="1">
        <v>381622</v>
      </c>
      <c r="E84" s="1" t="s">
        <v>27</v>
      </c>
      <c r="F84" s="11">
        <v>45461</v>
      </c>
      <c r="G84" s="11" t="s">
        <v>507</v>
      </c>
      <c r="H84" s="2" t="s">
        <v>745</v>
      </c>
      <c r="I84" s="2" t="s">
        <v>746</v>
      </c>
      <c r="J84" s="12">
        <v>0.013888888890505768</v>
      </c>
      <c r="K84" s="12">
        <v>0.02569444444452529</v>
      </c>
      <c r="L84" s="13">
        <f>CRF[[#This Row],[Time Spent on Configuration]]+CRF[[#This Row],[Time Spent on Review/Testing]]</f>
        <v>0.03958333333503106</v>
      </c>
      <c r="N84" s="1" t="s">
        <v>32</v>
      </c>
      <c r="O84" s="1" t="s">
        <v>41</v>
      </c>
      <c r="P84" s="1" t="s">
        <v>42</v>
      </c>
      <c r="Q84" s="11">
        <v>45461</v>
      </c>
      <c r="R84" s="1">
        <v>5</v>
      </c>
    </row>
    <row r="85" ht="45" customHeight="1" spans="1:18" x14ac:dyDescent="0.25">
      <c r="A85" s="1" t="s">
        <v>3663</v>
      </c>
      <c r="B85" s="2" t="s">
        <v>35</v>
      </c>
      <c r="C85" s="1" t="s">
        <v>25</v>
      </c>
      <c r="D85" s="1">
        <v>382536</v>
      </c>
      <c r="E85" s="1" t="s">
        <v>27</v>
      </c>
      <c r="F85" s="11">
        <v>45471</v>
      </c>
      <c r="G85" s="11" t="s">
        <v>507</v>
      </c>
      <c r="H85" s="2" t="s">
        <v>748</v>
      </c>
      <c r="I85" s="2" t="s">
        <v>749</v>
      </c>
      <c r="J85" s="12">
        <v>0.010416666667879326</v>
      </c>
      <c r="K85" s="12">
        <v>0.027777777777373558</v>
      </c>
      <c r="L85" s="13">
        <f>CRF[[#This Row],[Time Spent on Configuration]]+CRF[[#This Row],[Time Spent on Review/Testing]]</f>
        <v>0.038194444445252884</v>
      </c>
      <c r="N85" s="1" t="s">
        <v>41</v>
      </c>
      <c r="O85" s="1" t="s">
        <v>32</v>
      </c>
      <c r="P85" s="1" t="s">
        <v>42</v>
      </c>
      <c r="Q85" s="11">
        <v>45471</v>
      </c>
      <c r="R85" s="1">
        <v>5</v>
      </c>
    </row>
    <row r="86" ht="49.5" customHeight="1" spans="1:18" x14ac:dyDescent="0.25">
      <c r="A86" s="1" t="s">
        <v>3663</v>
      </c>
      <c r="B86" s="2" t="s">
        <v>641</v>
      </c>
      <c r="C86" s="1" t="s">
        <v>261</v>
      </c>
      <c r="D86" s="1">
        <v>383359</v>
      </c>
      <c r="E86" s="1" t="s">
        <v>27</v>
      </c>
      <c r="F86" s="11">
        <v>45476</v>
      </c>
      <c r="G86" s="11" t="s">
        <v>133</v>
      </c>
      <c r="H86" s="2" t="s">
        <v>752</v>
      </c>
      <c r="I86" s="2" t="s">
        <v>753</v>
      </c>
      <c r="J86" s="12">
        <v>0.013888888890505768</v>
      </c>
      <c r="K86" s="12">
        <v>0.04861111110949423</v>
      </c>
      <c r="L86" s="13">
        <f>CRF[[#This Row],[Time Spent on Configuration]]+CRF[[#This Row],[Time Spent on Review/Testing]]</f>
        <v>0.0625</v>
      </c>
      <c r="N86" s="1" t="s">
        <v>32</v>
      </c>
      <c r="O86" s="1" t="s">
        <v>41</v>
      </c>
      <c r="P86" s="1" t="s">
        <v>42</v>
      </c>
      <c r="Q86" s="11">
        <v>45476</v>
      </c>
      <c r="R86" s="1">
        <v>5</v>
      </c>
    </row>
    <row r="87" ht="45" customHeight="1" spans="1:18" x14ac:dyDescent="0.25">
      <c r="A87" s="1" t="s">
        <v>3676</v>
      </c>
      <c r="B87" s="2" t="s">
        <v>641</v>
      </c>
      <c r="C87" s="1" t="s">
        <v>261</v>
      </c>
      <c r="D87" s="1">
        <v>384238</v>
      </c>
      <c r="E87" s="1" t="s">
        <v>37</v>
      </c>
      <c r="F87" s="11">
        <v>45483</v>
      </c>
      <c r="G87" s="11" t="s">
        <v>96</v>
      </c>
      <c r="H87" s="2" t="s">
        <v>3851</v>
      </c>
      <c r="I87" s="2" t="s">
        <v>3851</v>
      </c>
      <c r="J87" s="12">
        <v>0.0625</v>
      </c>
      <c r="K87" s="12">
        <v>0.027777777777373558</v>
      </c>
      <c r="L87" s="13">
        <f>CRF[[#This Row],[Time Spent on Configuration]]+CRF[[#This Row],[Time Spent on Review/Testing]]</f>
        <v>0.09027777777737356</v>
      </c>
      <c r="N87" s="1" t="s">
        <v>31</v>
      </c>
      <c r="O87" s="1" t="s">
        <v>32</v>
      </c>
      <c r="P87" s="1" t="s">
        <v>42</v>
      </c>
      <c r="Q87" s="11">
        <v>45483</v>
      </c>
      <c r="R87" s="1">
        <v>5</v>
      </c>
    </row>
    <row r="88" ht="409.5" customHeight="1" spans="1:18" x14ac:dyDescent="0.25">
      <c r="A88" s="1" t="s">
        <v>3676</v>
      </c>
      <c r="B88" s="2" t="s">
        <v>286</v>
      </c>
      <c r="C88" s="1" t="s">
        <v>287</v>
      </c>
      <c r="D88" s="1">
        <v>383548</v>
      </c>
      <c r="E88" s="1" t="s">
        <v>37</v>
      </c>
      <c r="F88" s="11">
        <v>45483</v>
      </c>
      <c r="G88" s="11" t="s">
        <v>38</v>
      </c>
      <c r="H88" s="2" t="s">
        <v>3852</v>
      </c>
      <c r="I88" s="2" t="s">
        <v>3852</v>
      </c>
      <c r="J88" s="12">
        <v>0.0625</v>
      </c>
      <c r="K88" s="12">
        <v>0.05902777777737356</v>
      </c>
      <c r="L88" s="13">
        <f>CRF[[#This Row],[Time Spent on Configuration]]+CRF[[#This Row],[Time Spent on Review/Testing]]</f>
        <v>0.12152777777737356</v>
      </c>
      <c r="N88" s="1" t="s">
        <v>31</v>
      </c>
      <c r="O88" s="1" t="s">
        <v>41</v>
      </c>
      <c r="P88" s="1" t="s">
        <v>47</v>
      </c>
      <c r="Q88" s="11">
        <v>45483</v>
      </c>
      <c r="R88" s="1">
        <v>5</v>
      </c>
    </row>
    <row r="89" ht="120" customHeight="1" spans="1:18" x14ac:dyDescent="0.25">
      <c r="A89" s="1" t="s">
        <v>3676</v>
      </c>
      <c r="B89" s="2" t="s">
        <v>308</v>
      </c>
      <c r="C89" s="1" t="s">
        <v>309</v>
      </c>
      <c r="D89" s="1">
        <v>384416</v>
      </c>
      <c r="E89" s="1" t="s">
        <v>27</v>
      </c>
      <c r="F89" s="11">
        <v>45485</v>
      </c>
      <c r="G89" s="11" t="s">
        <v>38</v>
      </c>
      <c r="H89" s="41" t="s">
        <v>3853</v>
      </c>
      <c r="I89" s="41" t="s">
        <v>3853</v>
      </c>
      <c r="J89" s="12">
        <v>0.024305555554747116</v>
      </c>
      <c r="K89" s="12">
        <v>0.04513888889050577</v>
      </c>
      <c r="L89" s="13">
        <f>CRF[[#This Row],[Time Spent on Configuration]]+CRF[[#This Row],[Time Spent on Review/Testing]]</f>
        <v>0.06944444444525288</v>
      </c>
      <c r="N89" s="1" t="s">
        <v>31</v>
      </c>
      <c r="O89" s="1" t="s">
        <v>32</v>
      </c>
      <c r="P89" s="1" t="s">
        <v>42</v>
      </c>
      <c r="Q89" s="11">
        <v>45485</v>
      </c>
      <c r="R89" s="1">
        <v>5</v>
      </c>
    </row>
    <row r="90" ht="60" customHeight="1" spans="1:18" x14ac:dyDescent="0.25">
      <c r="A90" s="1" t="s">
        <v>3676</v>
      </c>
      <c r="B90" s="2" t="s">
        <v>24</v>
      </c>
      <c r="C90" s="1" t="s">
        <v>25</v>
      </c>
      <c r="D90" s="1">
        <v>383619</v>
      </c>
      <c r="E90" s="1" t="s">
        <v>27</v>
      </c>
      <c r="F90" s="11">
        <v>45485</v>
      </c>
      <c r="G90" s="11" t="s">
        <v>38</v>
      </c>
      <c r="H90" s="2" t="s">
        <v>3854</v>
      </c>
      <c r="I90" s="2" t="s">
        <v>3854</v>
      </c>
      <c r="J90" s="12">
        <v>0.024305555554747116</v>
      </c>
      <c r="K90" s="12">
        <v>0.027777777777373558</v>
      </c>
      <c r="L90" s="13">
        <f>CRF[[#This Row],[Time Spent on Configuration]]+CRF[[#This Row],[Time Spent on Review/Testing]]</f>
        <v>0.052083333332120674</v>
      </c>
      <c r="N90" s="1" t="s">
        <v>31</v>
      </c>
      <c r="O90" s="1" t="s">
        <v>32</v>
      </c>
      <c r="P90" s="1" t="s">
        <v>112</v>
      </c>
      <c r="Q90" s="11">
        <v>45485</v>
      </c>
      <c r="R90" s="1">
        <v>5</v>
      </c>
    </row>
    <row r="91" ht="45" customHeight="1" spans="1:18" x14ac:dyDescent="0.25">
      <c r="A91" s="1" t="s">
        <v>3676</v>
      </c>
      <c r="B91" s="2" t="s">
        <v>247</v>
      </c>
      <c r="C91" s="1" t="s">
        <v>25</v>
      </c>
      <c r="D91" s="1">
        <v>385105</v>
      </c>
      <c r="E91" s="1" t="s">
        <v>27</v>
      </c>
      <c r="F91" s="11">
        <v>45490</v>
      </c>
      <c r="G91" s="11" t="s">
        <v>38</v>
      </c>
      <c r="H91" s="2" t="s">
        <v>3855</v>
      </c>
      <c r="I91" s="2" t="s">
        <v>3856</v>
      </c>
      <c r="J91" s="12">
        <v>0.020833333332120674</v>
      </c>
      <c r="K91" s="12">
        <v>0.027777777777373558</v>
      </c>
      <c r="L91" s="13">
        <f>CRF[[#This Row],[Time Spent on Configuration]]+CRF[[#This Row],[Time Spent on Review/Testing]]</f>
        <v>0.04861111110949423</v>
      </c>
      <c r="N91" s="1" t="s">
        <v>31</v>
      </c>
      <c r="O91" s="1" t="s">
        <v>32</v>
      </c>
      <c r="P91" s="1" t="s">
        <v>47</v>
      </c>
      <c r="Q91" s="11">
        <v>45490</v>
      </c>
      <c r="R91" s="1">
        <v>5</v>
      </c>
    </row>
    <row r="92" ht="105" customHeight="1" spans="1:18" x14ac:dyDescent="0.25">
      <c r="A92" s="1" t="s">
        <v>3676</v>
      </c>
      <c r="B92" s="2" t="s">
        <v>113</v>
      </c>
      <c r="C92" s="1" t="s">
        <v>25</v>
      </c>
      <c r="D92" s="1">
        <v>383034</v>
      </c>
      <c r="E92" s="1" t="s">
        <v>27</v>
      </c>
      <c r="F92" s="11">
        <v>45490</v>
      </c>
      <c r="G92" s="11" t="s">
        <v>28</v>
      </c>
      <c r="H92" s="2" t="s">
        <v>3857</v>
      </c>
      <c r="I92" s="2" t="s">
        <v>3858</v>
      </c>
      <c r="J92" s="12">
        <v>0.03125</v>
      </c>
      <c r="K92" s="12">
        <v>0.041666666667879326</v>
      </c>
      <c r="L92" s="13">
        <f>CRF[[#This Row],[Time Spent on Configuration]]+CRF[[#This Row],[Time Spent on Review/Testing]]</f>
        <v>0.07291666666787933</v>
      </c>
      <c r="N92" s="1" t="s">
        <v>31</v>
      </c>
      <c r="O92" s="1" t="s">
        <v>32</v>
      </c>
      <c r="P92" s="1" t="s">
        <v>47</v>
      </c>
      <c r="Q92" s="11">
        <v>45490</v>
      </c>
      <c r="R92" s="1">
        <v>5</v>
      </c>
    </row>
    <row r="93" ht="45" customHeight="1" spans="1:18" x14ac:dyDescent="0.25">
      <c r="A93" s="1" t="s">
        <v>3676</v>
      </c>
      <c r="B93" s="2" t="s">
        <v>24</v>
      </c>
      <c r="C93" s="1" t="s">
        <v>25</v>
      </c>
      <c r="D93" s="1">
        <v>383719</v>
      </c>
      <c r="E93" s="1" t="s">
        <v>27</v>
      </c>
      <c r="F93" s="11">
        <v>45485</v>
      </c>
      <c r="G93" s="11" t="s">
        <v>38</v>
      </c>
      <c r="H93" s="2" t="s">
        <v>3859</v>
      </c>
      <c r="I93" s="2" t="s">
        <v>3860</v>
      </c>
      <c r="J93" s="12">
        <v>0.024305555554747116</v>
      </c>
      <c r="K93" s="12">
        <v>0.052083333332120674</v>
      </c>
      <c r="L93" s="13">
        <f>CRF[[#This Row],[Time Spent on Configuration]]+CRF[[#This Row],[Time Spent on Review/Testing]]</f>
        <v>0.07638888889050577</v>
      </c>
      <c r="N93" s="1" t="s">
        <v>31</v>
      </c>
      <c r="O93" s="1" t="s">
        <v>41</v>
      </c>
      <c r="P93" s="1" t="s">
        <v>112</v>
      </c>
      <c r="Q93" s="11">
        <v>45491</v>
      </c>
      <c r="R93" s="1">
        <v>5</v>
      </c>
    </row>
    <row r="94" ht="45" customHeight="1" spans="1:18" x14ac:dyDescent="0.25">
      <c r="A94" s="1" t="s">
        <v>3676</v>
      </c>
      <c r="B94" s="2" t="s">
        <v>258</v>
      </c>
      <c r="C94" s="1" t="s">
        <v>25</v>
      </c>
      <c r="D94" s="1">
        <v>376600</v>
      </c>
      <c r="E94" s="1" t="s">
        <v>27</v>
      </c>
      <c r="F94" s="11">
        <v>45497</v>
      </c>
      <c r="G94" s="11" t="s">
        <v>507</v>
      </c>
      <c r="H94" s="2" t="s">
        <v>3861</v>
      </c>
      <c r="I94" s="2" t="s">
        <v>773</v>
      </c>
      <c r="J94" s="12">
        <v>0.020833333332120674</v>
      </c>
      <c r="K94" s="12">
        <v>0.04513888889050577</v>
      </c>
      <c r="L94" s="13">
        <f>CRF[[#This Row],[Time Spent on Configuration]]+CRF[[#This Row],[Time Spent on Review/Testing]]</f>
        <v>0.06597222222262644</v>
      </c>
      <c r="N94" s="1" t="s">
        <v>32</v>
      </c>
      <c r="O94" s="1" t="s">
        <v>41</v>
      </c>
      <c r="P94" s="1" t="s">
        <v>42</v>
      </c>
      <c r="Q94" s="11">
        <v>45497</v>
      </c>
      <c r="R94" s="1">
        <v>5</v>
      </c>
    </row>
    <row r="95" ht="225" customHeight="1" spans="1:18" x14ac:dyDescent="0.25">
      <c r="A95" s="1" t="s">
        <v>3676</v>
      </c>
      <c r="B95" s="2" t="s">
        <v>199</v>
      </c>
      <c r="C95" s="1" t="s">
        <v>200</v>
      </c>
      <c r="D95" s="1">
        <v>385371</v>
      </c>
      <c r="E95" s="1" t="s">
        <v>37</v>
      </c>
      <c r="F95" s="11">
        <v>45497</v>
      </c>
      <c r="G95" s="11" t="s">
        <v>38</v>
      </c>
      <c r="H95" s="2" t="s">
        <v>3862</v>
      </c>
      <c r="I95" s="2" t="s">
        <v>3863</v>
      </c>
      <c r="J95" s="12">
        <v>0.020833333332120674</v>
      </c>
      <c r="K95" s="12"/>
      <c r="L95" s="13">
        <f>CRF[[#This Row],[Time Spent on Configuration]]+CRF[[#This Row],[Time Spent on Review/Testing]]</f>
        <v>0.020833333332120674</v>
      </c>
      <c r="N95" s="1" t="s">
        <v>31</v>
      </c>
      <c r="P95" s="1" t="s">
        <v>117</v>
      </c>
      <c r="Q95" s="11">
        <v>45497</v>
      </c>
      <c r="R95" s="1">
        <v>5</v>
      </c>
    </row>
    <row r="96" ht="210" customHeight="1" spans="1:18" x14ac:dyDescent="0.25">
      <c r="A96" s="1" t="s">
        <v>3676</v>
      </c>
      <c r="B96" s="2" t="s">
        <v>286</v>
      </c>
      <c r="C96" s="1" t="s">
        <v>287</v>
      </c>
      <c r="D96" s="1">
        <v>385254</v>
      </c>
      <c r="E96" s="1" t="s">
        <v>37</v>
      </c>
      <c r="F96" s="11">
        <v>45497</v>
      </c>
      <c r="G96" s="11" t="s">
        <v>670</v>
      </c>
      <c r="H96" s="2" t="s">
        <v>3864</v>
      </c>
      <c r="I96" s="2" t="s">
        <v>3865</v>
      </c>
      <c r="J96" s="12">
        <v>0.041666666667879326</v>
      </c>
      <c r="K96" s="12">
        <v>0.020833333332120674</v>
      </c>
      <c r="L96" s="13">
        <f>CRF[[#This Row],[Time Spent on Configuration]]+CRF[[#This Row],[Time Spent on Review/Testing]]</f>
        <v>0.0625</v>
      </c>
      <c r="N96" s="1" t="s">
        <v>31</v>
      </c>
      <c r="O96" s="1" t="s">
        <v>32</v>
      </c>
      <c r="P96" s="1" t="s">
        <v>47</v>
      </c>
      <c r="Q96" s="11">
        <v>45497</v>
      </c>
      <c r="R96" s="1">
        <v>5</v>
      </c>
    </row>
    <row r="97" ht="126" customHeight="1" spans="1:18" x14ac:dyDescent="0.25">
      <c r="A97" s="1" t="s">
        <v>3676</v>
      </c>
      <c r="B97" s="2" t="s">
        <v>545</v>
      </c>
      <c r="C97" s="1" t="s">
        <v>546</v>
      </c>
      <c r="D97" s="1">
        <v>381517</v>
      </c>
      <c r="E97" s="1" t="s">
        <v>27</v>
      </c>
      <c r="F97" s="11">
        <v>45503</v>
      </c>
      <c r="G97" s="11" t="s">
        <v>28</v>
      </c>
      <c r="H97" s="2" t="s">
        <v>781</v>
      </c>
      <c r="I97" s="42" t="s">
        <v>3866</v>
      </c>
      <c r="J97" s="12">
        <v>0.020833333332120674</v>
      </c>
      <c r="K97" s="12">
        <v>0.027777777777373558</v>
      </c>
      <c r="L97" s="13">
        <f>CRF[[#This Row],[Time Spent on Configuration]]+CRF[[#This Row],[Time Spent on Review/Testing]]</f>
        <v>0.04861111110949423</v>
      </c>
      <c r="N97" s="1" t="s">
        <v>53</v>
      </c>
      <c r="O97" s="1" t="s">
        <v>32</v>
      </c>
      <c r="P97" s="1" t="s">
        <v>47</v>
      </c>
      <c r="Q97" s="11">
        <v>45503</v>
      </c>
      <c r="R97" s="1">
        <v>5</v>
      </c>
    </row>
    <row r="98" ht="240" customHeight="1" spans="1:18" x14ac:dyDescent="0.25">
      <c r="A98" s="1" t="s">
        <v>3690</v>
      </c>
      <c r="B98" s="2" t="s">
        <v>118</v>
      </c>
      <c r="C98" s="1" t="s">
        <v>25</v>
      </c>
      <c r="D98" s="1">
        <v>385767</v>
      </c>
      <c r="E98" s="1" t="s">
        <v>27</v>
      </c>
      <c r="F98" s="11">
        <v>45505</v>
      </c>
      <c r="G98" s="11" t="s">
        <v>38</v>
      </c>
      <c r="H98" s="2" t="s">
        <v>3867</v>
      </c>
      <c r="I98" s="2" t="s">
        <v>786</v>
      </c>
      <c r="J98" s="12">
        <v>0.03472222222262644</v>
      </c>
      <c r="K98" s="12">
        <v>0.05902777777737356</v>
      </c>
      <c r="L98" s="13">
        <f>CRF[[#This Row],[Time Spent on Configuration]]+CRF[[#This Row],[Time Spent on Review/Testing]]</f>
        <v>0.09375</v>
      </c>
      <c r="N98" s="1" t="s">
        <v>31</v>
      </c>
      <c r="O98" s="1" t="s">
        <v>41</v>
      </c>
      <c r="P98" s="1" t="s">
        <v>42</v>
      </c>
      <c r="Q98" s="11">
        <v>45505</v>
      </c>
      <c r="R98" s="1">
        <v>5</v>
      </c>
    </row>
    <row r="99" ht="30" customHeight="1" spans="1:18" x14ac:dyDescent="0.25">
      <c r="A99" s="1" t="s">
        <v>3690</v>
      </c>
      <c r="B99" s="2" t="s">
        <v>667</v>
      </c>
      <c r="C99" s="1" t="s">
        <v>3868</v>
      </c>
      <c r="D99" s="1">
        <v>386992</v>
      </c>
      <c r="E99" s="1" t="s">
        <v>27</v>
      </c>
      <c r="F99" s="11">
        <v>45507</v>
      </c>
      <c r="G99" s="11" t="s">
        <v>507</v>
      </c>
      <c r="H99" s="2" t="s">
        <v>3869</v>
      </c>
      <c r="I99" s="2" t="s">
        <v>789</v>
      </c>
      <c r="J99" s="12">
        <v>0.03472222222262644</v>
      </c>
      <c r="K99" s="12">
        <v>0.03125</v>
      </c>
      <c r="L99" s="13">
        <f>CRF[[#This Row],[Time Spent on Configuration]]+CRF[[#This Row],[Time Spent on Review/Testing]]</f>
        <v>0.06597222222262644</v>
      </c>
      <c r="N99" s="1" t="s">
        <v>31</v>
      </c>
      <c r="O99" s="1" t="s">
        <v>41</v>
      </c>
      <c r="P99" s="1" t="s">
        <v>42</v>
      </c>
      <c r="Q99" s="11">
        <v>45507</v>
      </c>
      <c r="R99" s="1">
        <v>5</v>
      </c>
    </row>
    <row r="100" ht="45" customHeight="1" spans="1:18" x14ac:dyDescent="0.25">
      <c r="A100" s="1" t="s">
        <v>3690</v>
      </c>
      <c r="B100" s="2" t="s">
        <v>667</v>
      </c>
      <c r="C100" s="1" t="s">
        <v>3868</v>
      </c>
      <c r="D100" s="1">
        <v>386985</v>
      </c>
      <c r="E100" s="1" t="s">
        <v>37</v>
      </c>
      <c r="F100" s="11">
        <v>45507</v>
      </c>
      <c r="G100" s="11" t="s">
        <v>74</v>
      </c>
      <c r="H100" s="2" t="s">
        <v>3870</v>
      </c>
      <c r="I100" s="2" t="s">
        <v>3871</v>
      </c>
      <c r="J100" s="12">
        <v>0.03472222222262644</v>
      </c>
      <c r="K100" s="12">
        <v>0.027777777777373558</v>
      </c>
      <c r="L100" s="13">
        <f>CRF[[#This Row],[Time Spent on Configuration]]+CRF[[#This Row],[Time Spent on Review/Testing]]</f>
        <v>0.0625</v>
      </c>
      <c r="N100" s="1" t="s">
        <v>31</v>
      </c>
      <c r="O100" s="1" t="s">
        <v>41</v>
      </c>
      <c r="P100" s="1" t="s">
        <v>42</v>
      </c>
      <c r="Q100" s="11">
        <v>45507</v>
      </c>
      <c r="R100" s="1">
        <v>5</v>
      </c>
    </row>
    <row r="101" ht="92.25" customHeight="1" spans="1:18" x14ac:dyDescent="0.25">
      <c r="A101" s="1" t="s">
        <v>3690</v>
      </c>
      <c r="B101" s="2" t="s">
        <v>24</v>
      </c>
      <c r="C101" s="1" t="s">
        <v>25</v>
      </c>
      <c r="D101" s="1">
        <v>386964</v>
      </c>
      <c r="E101" s="1" t="s">
        <v>37</v>
      </c>
      <c r="F101" s="11">
        <v>45510</v>
      </c>
      <c r="G101" s="11" t="s">
        <v>28</v>
      </c>
      <c r="H101" s="2" t="s">
        <v>3872</v>
      </c>
      <c r="I101" s="2" t="s">
        <v>3873</v>
      </c>
      <c r="J101" s="12">
        <v>0.03125</v>
      </c>
      <c r="K101" s="12">
        <v>0.06597222222262644</v>
      </c>
      <c r="L101" s="13">
        <f>CRF[[#This Row],[Time Spent on Configuration]]+CRF[[#This Row],[Time Spent on Review/Testing]]</f>
        <v>0.09722222222262644</v>
      </c>
      <c r="N101" s="1" t="s">
        <v>41</v>
      </c>
      <c r="O101" s="1" t="s">
        <v>32</v>
      </c>
      <c r="P101" s="1" t="s">
        <v>244</v>
      </c>
      <c r="Q101" s="11">
        <v>45510</v>
      </c>
      <c r="R101" s="1">
        <v>5</v>
      </c>
    </row>
    <row r="102" ht="105" customHeight="1" spans="1:18" x14ac:dyDescent="0.25">
      <c r="A102" s="1" t="s">
        <v>3690</v>
      </c>
      <c r="B102" s="2" t="s">
        <v>796</v>
      </c>
      <c r="C102" s="1" t="s">
        <v>285</v>
      </c>
      <c r="D102" s="1">
        <v>387374</v>
      </c>
      <c r="E102" s="1" t="s">
        <v>37</v>
      </c>
      <c r="F102" s="11">
        <v>45511</v>
      </c>
      <c r="G102" s="11" t="s">
        <v>798</v>
      </c>
      <c r="H102" s="2" t="s">
        <v>799</v>
      </c>
      <c r="I102" s="2" t="s">
        <v>3874</v>
      </c>
      <c r="J102" s="12">
        <v>0.020833333332120674</v>
      </c>
      <c r="K102" s="12">
        <v>0.027777777777373558</v>
      </c>
      <c r="L102" s="13">
        <f>CRF[[#This Row],[Time Spent on Configuration]]+CRF[[#This Row],[Time Spent on Review/Testing]]</f>
        <v>0.04861111110949423</v>
      </c>
      <c r="N102" s="1" t="s">
        <v>31</v>
      </c>
      <c r="O102" s="1" t="s">
        <v>32</v>
      </c>
      <c r="P102" s="1" t="s">
        <v>47</v>
      </c>
      <c r="Q102" s="11">
        <v>45511</v>
      </c>
      <c r="R102" s="1">
        <v>5</v>
      </c>
    </row>
    <row r="103" ht="409.5" customHeight="1" spans="1:18" x14ac:dyDescent="0.25">
      <c r="A103" s="1" t="s">
        <v>3690</v>
      </c>
      <c r="B103" s="2" t="s">
        <v>113</v>
      </c>
      <c r="C103" s="1" t="s">
        <v>25</v>
      </c>
      <c r="D103" s="1">
        <v>386144</v>
      </c>
      <c r="E103" s="1" t="s">
        <v>37</v>
      </c>
      <c r="F103" s="14">
        <v>45511</v>
      </c>
      <c r="G103" s="1" t="s">
        <v>133</v>
      </c>
      <c r="H103" s="17" t="s">
        <v>3875</v>
      </c>
      <c r="I103" s="2" t="s">
        <v>3876</v>
      </c>
      <c r="J103" s="43">
        <v>0.013888888890505768</v>
      </c>
      <c r="L103" s="12">
        <v>0.013888888890505768</v>
      </c>
      <c r="N103" s="1" t="s">
        <v>32</v>
      </c>
      <c r="O103" s="1" t="s">
        <v>41</v>
      </c>
      <c r="P103" s="1" t="s">
        <v>47</v>
      </c>
      <c r="Q103" s="14">
        <v>45511</v>
      </c>
      <c r="R103" s="1">
        <v>5</v>
      </c>
    </row>
    <row r="104" ht="90" customHeight="1" spans="1:18" x14ac:dyDescent="0.25">
      <c r="A104" s="2" t="s">
        <v>3690</v>
      </c>
      <c r="B104" s="2" t="s">
        <v>804</v>
      </c>
      <c r="C104" s="1" t="s">
        <v>25</v>
      </c>
      <c r="D104" s="1">
        <v>387504</v>
      </c>
      <c r="E104" s="1" t="s">
        <v>27</v>
      </c>
      <c r="F104" s="11">
        <v>45512</v>
      </c>
      <c r="G104" s="1" t="s">
        <v>133</v>
      </c>
      <c r="H104" s="2" t="s">
        <v>806</v>
      </c>
      <c r="I104" s="2" t="s">
        <v>807</v>
      </c>
      <c r="J104" s="12">
        <v>0.010416666667879326</v>
      </c>
      <c r="K104" s="12">
        <v>0.04861111110949423</v>
      </c>
      <c r="L104" s="13">
        <f>CRF[[#This Row],[Time Spent on Configuration]]+CRF[[#This Row],[Time Spent on Review/Testing]]</f>
        <v>0.05902777777737356</v>
      </c>
      <c r="N104" s="1" t="s">
        <v>41</v>
      </c>
      <c r="O104" s="1" t="s">
        <v>32</v>
      </c>
      <c r="P104" s="1" t="s">
        <v>47</v>
      </c>
      <c r="Q104" s="11">
        <v>45512</v>
      </c>
      <c r="R104" s="1">
        <v>5</v>
      </c>
    </row>
    <row r="105" ht="75" customHeight="1" spans="1:18" x14ac:dyDescent="0.25">
      <c r="A105" s="1" t="s">
        <v>3690</v>
      </c>
      <c r="B105" s="2" t="s">
        <v>286</v>
      </c>
      <c r="C105" s="1" t="s">
        <v>287</v>
      </c>
      <c r="D105" s="1">
        <v>387825</v>
      </c>
      <c r="E105" s="1" t="s">
        <v>27</v>
      </c>
      <c r="F105" s="11">
        <v>45518</v>
      </c>
      <c r="G105" s="11" t="s">
        <v>38</v>
      </c>
      <c r="H105" s="2" t="s">
        <v>3877</v>
      </c>
      <c r="I105" s="2" t="s">
        <v>3878</v>
      </c>
      <c r="J105" s="12">
        <v>0.03472222222262644</v>
      </c>
      <c r="K105" s="12">
        <v>0.024305555554747116</v>
      </c>
      <c r="L105" s="13">
        <f>CRF[[#This Row],[Time Spent on Configuration]]+CRF[[#This Row],[Time Spent on Review/Testing]]</f>
        <v>0.05902777777737356</v>
      </c>
      <c r="N105" s="1" t="s">
        <v>31</v>
      </c>
      <c r="O105" s="1" t="s">
        <v>41</v>
      </c>
      <c r="P105" s="1" t="s">
        <v>47</v>
      </c>
      <c r="Q105" s="11">
        <v>45518</v>
      </c>
      <c r="R105" s="1">
        <v>5</v>
      </c>
    </row>
    <row r="106" ht="210" customHeight="1" spans="1:18" x14ac:dyDescent="0.25">
      <c r="A106" s="1" t="s">
        <v>3690</v>
      </c>
      <c r="B106" s="2" t="s">
        <v>286</v>
      </c>
      <c r="C106" s="1" t="str">
        <f>IFERROR(INDEX(C:C, MATCH(B106, B:B, 0)), "")</f>
        <v>Holmes Murphy</v>
      </c>
      <c r="D106" s="1">
        <v>387005</v>
      </c>
      <c r="E106" s="1" t="s">
        <v>27</v>
      </c>
      <c r="F106" s="11">
        <v>45520</v>
      </c>
      <c r="G106" s="11" t="s">
        <v>38</v>
      </c>
      <c r="H106" s="2" t="s">
        <v>3879</v>
      </c>
      <c r="I106" s="2" t="s">
        <v>3880</v>
      </c>
      <c r="J106" s="12">
        <v>0.041666666667879326</v>
      </c>
      <c r="K106" s="12">
        <v>0.03472222222262644</v>
      </c>
      <c r="L106" s="13">
        <f>CRF[[#This Row],[Time Spent on Configuration]]+CRF[[#This Row],[Time Spent on Review/Testing]]</f>
        <v>0.07638888889050577</v>
      </c>
      <c r="N106" s="1" t="s">
        <v>31</v>
      </c>
      <c r="O106" s="1" t="s">
        <v>32</v>
      </c>
      <c r="P106" s="1" t="s">
        <v>47</v>
      </c>
      <c r="Q106" s="11">
        <f>CRF[[#This Row],[Change Request Date]]</f>
        <v>45520</v>
      </c>
      <c r="R106" s="1">
        <v>5</v>
      </c>
    </row>
    <row r="107" ht="90" customHeight="1" spans="1:18" x14ac:dyDescent="0.25">
      <c r="A107" s="1" t="s">
        <v>3690</v>
      </c>
      <c r="B107" s="2" t="s">
        <v>163</v>
      </c>
      <c r="C107" s="1" t="str">
        <f>IFERROR(INDEX(C:C, MATCH(B107, B:B, 0)), "")</f>
        <v>TrueNorth</v>
      </c>
      <c r="D107" s="1">
        <v>387995</v>
      </c>
      <c r="E107" s="1" t="s">
        <v>37</v>
      </c>
      <c r="F107" s="11">
        <v>45524</v>
      </c>
      <c r="G107" s="11" t="s">
        <v>28</v>
      </c>
      <c r="H107" s="2" t="s">
        <v>3881</v>
      </c>
      <c r="I107" s="2" t="s">
        <v>3882</v>
      </c>
      <c r="J107" s="12">
        <v>0.013888888890505768</v>
      </c>
      <c r="K107" s="12">
        <v>0.041666666667879326</v>
      </c>
      <c r="L107" s="13">
        <f>CRF[[#This Row],[Time Spent on Configuration]]+CRF[[#This Row],[Time Spent on Review/Testing]]</f>
        <v>0.055555555554747116</v>
      </c>
      <c r="N107" s="1" t="s">
        <v>31</v>
      </c>
      <c r="O107" s="1" t="s">
        <v>32</v>
      </c>
      <c r="P107" s="1" t="s">
        <v>47</v>
      </c>
      <c r="Q107" s="11">
        <f>CRF[[#This Row],[Change Request Date]]</f>
        <v>45524</v>
      </c>
      <c r="R107" s="1">
        <v>5</v>
      </c>
    </row>
    <row r="108" ht="165" customHeight="1" spans="1:18" x14ac:dyDescent="0.25">
      <c r="A108" s="1" t="s">
        <v>3690</v>
      </c>
      <c r="B108" s="2" t="s">
        <v>479</v>
      </c>
      <c r="C108" s="1" t="str">
        <f>IFERROR(INDEX(C:C, MATCH(B108, B:B, 0)), "")</f>
        <v>TrueNorth</v>
      </c>
      <c r="D108" s="1">
        <v>353809</v>
      </c>
      <c r="E108" s="1" t="s">
        <v>27</v>
      </c>
      <c r="F108" s="11">
        <v>45525</v>
      </c>
      <c r="G108" s="11" t="s">
        <v>38</v>
      </c>
      <c r="H108" s="2" t="s">
        <v>3883</v>
      </c>
      <c r="I108" s="2" t="s">
        <v>3884</v>
      </c>
      <c r="J108" s="12">
        <v>0.020833333332120674</v>
      </c>
      <c r="K108" s="12">
        <v>0.04861111110949423</v>
      </c>
      <c r="L108" s="13">
        <f>CRF[[#This Row],[Time Spent on Configuration]]+CRF[[#This Row],[Time Spent on Review/Testing]]</f>
        <v>0.06944444444525288</v>
      </c>
      <c r="N108" s="1" t="s">
        <v>31</v>
      </c>
      <c r="O108" s="1" t="s">
        <v>32</v>
      </c>
      <c r="P108" s="1" t="s">
        <v>42</v>
      </c>
      <c r="Q108" s="11">
        <f>CRF[[#This Row],[Change Request Date]]</f>
        <v>45525</v>
      </c>
      <c r="R108" s="1">
        <v>5</v>
      </c>
    </row>
    <row r="109" ht="45" customHeight="1" spans="1:18" x14ac:dyDescent="0.25">
      <c r="A109" s="1" t="s">
        <v>3690</v>
      </c>
      <c r="B109" s="2" t="s">
        <v>258</v>
      </c>
      <c r="C109" s="1" t="str">
        <f>IFERROR(INDEX(C:C, MATCH(B109, B:B, 0)), "")</f>
        <v>TrueNorth</v>
      </c>
      <c r="D109" s="1">
        <v>376600</v>
      </c>
      <c r="E109" s="1" t="s">
        <v>27</v>
      </c>
      <c r="F109" s="11">
        <v>45534</v>
      </c>
      <c r="G109" s="11" t="s">
        <v>820</v>
      </c>
      <c r="H109" s="2" t="s">
        <v>821</v>
      </c>
      <c r="I109" s="2" t="s">
        <v>822</v>
      </c>
      <c r="J109" s="12">
        <v>0.03125</v>
      </c>
      <c r="K109" s="12">
        <v>0.03472222222262644</v>
      </c>
      <c r="L109" s="13">
        <f>CRF[[#This Row],[Time Spent on Configuration]]+CRF[[#This Row],[Time Spent on Review/Testing]]</f>
        <v>0.06597222222262644</v>
      </c>
      <c r="N109" s="1" t="s">
        <v>41</v>
      </c>
      <c r="O109" s="1" t="s">
        <v>32</v>
      </c>
      <c r="P109" s="1" t="s">
        <v>42</v>
      </c>
      <c r="Q109" s="11">
        <v>45534</v>
      </c>
      <c r="R109" s="1">
        <v>5</v>
      </c>
    </row>
    <row r="110" ht="30" customHeight="1" spans="1:18" x14ac:dyDescent="0.25">
      <c r="A110" s="1" t="s">
        <v>3699</v>
      </c>
      <c r="B110" s="2" t="s">
        <v>99</v>
      </c>
      <c r="C110" s="1" t="str">
        <f>IFERROR(INDEX(C:C, MATCH(B110, B:B, 0)), "")</f>
        <v>TrueNorth</v>
      </c>
      <c r="D110" s="1">
        <v>390246</v>
      </c>
      <c r="E110" s="1" t="s">
        <v>27</v>
      </c>
      <c r="F110" s="11">
        <v>45540</v>
      </c>
      <c r="G110" s="11" t="s">
        <v>28</v>
      </c>
      <c r="H110" s="2" t="s">
        <v>825</v>
      </c>
      <c r="I110" s="2" t="s">
        <v>826</v>
      </c>
      <c r="J110" s="12">
        <v>0.020833333332120674</v>
      </c>
      <c r="K110" s="12">
        <v>0.0625</v>
      </c>
      <c r="L110" s="13">
        <f>CRF[[#This Row],[Time Spent on Configuration]]+CRF[[#This Row],[Time Spent on Review/Testing]]</f>
        <v>0.08333333333212067</v>
      </c>
      <c r="N110" s="1" t="s">
        <v>31</v>
      </c>
      <c r="O110" s="1" t="s">
        <v>41</v>
      </c>
      <c r="P110" s="44" t="s">
        <v>47</v>
      </c>
      <c r="Q110" s="11">
        <v>45541</v>
      </c>
      <c r="R110" s="1">
        <v>5</v>
      </c>
    </row>
    <row r="111" ht="135" customHeight="1" spans="1:18" x14ac:dyDescent="0.25">
      <c r="A111" s="1" t="s">
        <v>3699</v>
      </c>
      <c r="B111" s="2" t="s">
        <v>641</v>
      </c>
      <c r="C111" s="1" t="s">
        <v>261</v>
      </c>
      <c r="D111" s="1">
        <v>389214</v>
      </c>
      <c r="E111" s="1" t="s">
        <v>27</v>
      </c>
      <c r="F111" s="11">
        <v>45545</v>
      </c>
      <c r="G111" s="11" t="s">
        <v>38</v>
      </c>
      <c r="H111" s="2" t="s">
        <v>828</v>
      </c>
      <c r="I111" s="2" t="s">
        <v>3885</v>
      </c>
      <c r="J111" s="12">
        <v>0.020833333332120674</v>
      </c>
      <c r="K111" s="12">
        <v>0.04513888889050577</v>
      </c>
      <c r="L111" s="13">
        <f>CRF[[#This Row],[Time Spent on Configuration]]+CRF[[#This Row],[Time Spent on Review/Testing]]</f>
        <v>0.06597222222262644</v>
      </c>
      <c r="N111" s="1" t="s">
        <v>32</v>
      </c>
      <c r="O111" s="1" t="s">
        <v>41</v>
      </c>
      <c r="P111" s="1" t="s">
        <v>42</v>
      </c>
      <c r="Q111" s="11">
        <v>45545</v>
      </c>
      <c r="R111" s="1">
        <v>5</v>
      </c>
    </row>
    <row r="112" ht="45" customHeight="1" spans="1:18" x14ac:dyDescent="0.25">
      <c r="A112" s="1" t="s">
        <v>3699</v>
      </c>
      <c r="B112" s="2" t="s">
        <v>199</v>
      </c>
      <c r="C112" s="1" t="s">
        <v>541</v>
      </c>
      <c r="D112" s="1">
        <v>389347</v>
      </c>
      <c r="E112" s="1" t="s">
        <v>37</v>
      </c>
      <c r="F112" s="11">
        <v>45546</v>
      </c>
      <c r="G112" s="1" t="s">
        <v>133</v>
      </c>
      <c r="H112" s="2" t="s">
        <v>831</v>
      </c>
      <c r="I112" s="2" t="s">
        <v>832</v>
      </c>
      <c r="J112" s="12">
        <v>0.013888888890505768</v>
      </c>
      <c r="K112" s="12">
        <v>0.052083333332120674</v>
      </c>
      <c r="L112" s="13">
        <f>CRF[[#This Row],[Time Spent on Configuration]]+CRF[[#This Row],[Time Spent on Review/Testing]]</f>
        <v>0.06597222222262644</v>
      </c>
      <c r="N112" s="1" t="s">
        <v>32</v>
      </c>
      <c r="O112" s="1" t="s">
        <v>41</v>
      </c>
      <c r="P112" s="1" t="s">
        <v>42</v>
      </c>
      <c r="Q112" s="11">
        <v>45546</v>
      </c>
      <c r="R112" s="1">
        <v>5</v>
      </c>
    </row>
    <row r="113" ht="30" customHeight="1" spans="1:18" x14ac:dyDescent="0.25">
      <c r="A113" s="1" t="s">
        <v>3699</v>
      </c>
      <c r="B113" s="2" t="s">
        <v>99</v>
      </c>
      <c r="C113" s="1" t="str">
        <f t="shared" ref="C113:C120" si="0">IFERROR(INDEX(C:C, MATCH(B113, B:B, 0)), "")</f>
        <v>TrueNorth</v>
      </c>
      <c r="D113" s="1">
        <v>391578</v>
      </c>
      <c r="E113" s="1" t="s">
        <v>27</v>
      </c>
      <c r="F113" s="11">
        <v>45553</v>
      </c>
      <c r="G113" s="11" t="s">
        <v>28</v>
      </c>
      <c r="H113" s="2" t="s">
        <v>834</v>
      </c>
      <c r="I113" s="2" t="s">
        <v>835</v>
      </c>
      <c r="J113" s="12">
        <v>0.020833333332120674</v>
      </c>
      <c r="K113" s="12">
        <v>0.04513888889050577</v>
      </c>
      <c r="L113" s="13">
        <f>CRF[[#This Row],[Time Spent on Configuration]]+CRF[[#This Row],[Time Spent on Review/Testing]]</f>
        <v>0.06597222222262644</v>
      </c>
      <c r="N113" s="1" t="s">
        <v>31</v>
      </c>
      <c r="O113" s="1" t="s">
        <v>41</v>
      </c>
      <c r="P113" s="1" t="s">
        <v>47</v>
      </c>
      <c r="Q113" s="11">
        <v>45553</v>
      </c>
      <c r="R113" s="1">
        <v>5</v>
      </c>
    </row>
    <row r="114" ht="390" customHeight="1" spans="1:18" x14ac:dyDescent="0.25">
      <c r="A114" s="1" t="s">
        <v>3699</v>
      </c>
      <c r="B114" s="2" t="s">
        <v>163</v>
      </c>
      <c r="C114" s="1" t="str">
        <f t="shared" si="0"/>
        <v>TrueNorth</v>
      </c>
      <c r="D114" s="1">
        <v>384448</v>
      </c>
      <c r="E114" s="1" t="s">
        <v>27</v>
      </c>
      <c r="F114" s="11">
        <v>45555</v>
      </c>
      <c r="G114" s="11" t="s">
        <v>28</v>
      </c>
      <c r="H114" s="2" t="s">
        <v>3886</v>
      </c>
      <c r="I114" s="2" t="s">
        <v>3887</v>
      </c>
      <c r="J114" s="12">
        <v>0.020833333332120674</v>
      </c>
      <c r="K114" s="12">
        <v>0.041666666667879326</v>
      </c>
      <c r="L114" s="13">
        <f>CRF[[#This Row],[Time Spent on Configuration]]+CRF[[#This Row],[Time Spent on Review/Testing]]</f>
        <v>0.0625</v>
      </c>
      <c r="N114" s="1" t="s">
        <v>53</v>
      </c>
      <c r="O114" s="1" t="s">
        <v>32</v>
      </c>
      <c r="P114" s="1" t="s">
        <v>47</v>
      </c>
      <c r="Q114" s="11">
        <v>45555</v>
      </c>
      <c r="R114" s="1">
        <v>5</v>
      </c>
    </row>
    <row r="115" ht="30" customHeight="1" spans="1:18" x14ac:dyDescent="0.25">
      <c r="A115" s="1" t="s">
        <v>3699</v>
      </c>
      <c r="B115" s="2" t="s">
        <v>334</v>
      </c>
      <c r="C115" s="1" t="str">
        <f t="shared" si="0"/>
        <v>Alera Group</v>
      </c>
      <c r="D115" s="1">
        <v>392052</v>
      </c>
      <c r="E115" s="1" t="s">
        <v>37</v>
      </c>
      <c r="F115" s="11">
        <v>45559</v>
      </c>
      <c r="G115" s="11" t="s">
        <v>507</v>
      </c>
      <c r="H115" s="2" t="s">
        <v>840</v>
      </c>
      <c r="I115" s="2" t="s">
        <v>841</v>
      </c>
      <c r="J115" s="12">
        <v>0.020833333332120674</v>
      </c>
      <c r="K115" s="12">
        <v>0.03472222222262644</v>
      </c>
      <c r="L115" s="13">
        <f>CRF[[#This Row],[Time Spent on Configuration]]+CRF[[#This Row],[Time Spent on Review/Testing]]</f>
        <v>0.055555555554747116</v>
      </c>
      <c r="N115" s="1" t="s">
        <v>574</v>
      </c>
      <c r="O115" s="1" t="s">
        <v>32</v>
      </c>
      <c r="P115" s="1" t="s">
        <v>42</v>
      </c>
      <c r="Q115" s="11">
        <v>45555</v>
      </c>
      <c r="R115" s="1">
        <v>5</v>
      </c>
    </row>
    <row r="116" ht="165" customHeight="1" spans="1:18" x14ac:dyDescent="0.25">
      <c r="A116" s="1" t="s">
        <v>3699</v>
      </c>
      <c r="B116" s="2" t="s">
        <v>281</v>
      </c>
      <c r="C116" s="1" t="str">
        <f t="shared" si="0"/>
        <v>Dickerson Insurance Service</v>
      </c>
      <c r="D116" s="1">
        <v>391180</v>
      </c>
      <c r="E116" s="1" t="s">
        <v>27</v>
      </c>
      <c r="F116" s="11">
        <v>45561</v>
      </c>
      <c r="G116" s="11" t="s">
        <v>74</v>
      </c>
      <c r="H116" s="2" t="s">
        <v>843</v>
      </c>
      <c r="I116" s="2" t="s">
        <v>3888</v>
      </c>
      <c r="J116" s="12">
        <v>0.03472222222262644</v>
      </c>
      <c r="K116" s="12">
        <v>0.05902777777737356</v>
      </c>
      <c r="L116" s="13">
        <f>CRF[[#This Row],[Time Spent on Configuration]]+CRF[[#This Row],[Time Spent on Review/Testing]]</f>
        <v>0.09375</v>
      </c>
      <c r="N116" s="1" t="s">
        <v>32</v>
      </c>
      <c r="O116" s="1" t="s">
        <v>41</v>
      </c>
      <c r="P116" s="1" t="s">
        <v>244</v>
      </c>
      <c r="Q116" s="11">
        <v>45561</v>
      </c>
      <c r="R116" s="1">
        <v>5</v>
      </c>
    </row>
    <row r="117" ht="75" customHeight="1" spans="1:18" x14ac:dyDescent="0.25">
      <c r="A117" s="1" t="s">
        <v>3699</v>
      </c>
      <c r="B117" s="2" t="s">
        <v>286</v>
      </c>
      <c r="C117" s="1" t="str">
        <f t="shared" si="0"/>
        <v>Holmes Murphy</v>
      </c>
      <c r="D117" s="1">
        <v>388689</v>
      </c>
      <c r="E117" s="1" t="s">
        <v>37</v>
      </c>
      <c r="F117" s="11">
        <v>45561</v>
      </c>
      <c r="G117" s="11" t="s">
        <v>74</v>
      </c>
      <c r="H117" s="2" t="s">
        <v>846</v>
      </c>
      <c r="I117" s="2" t="s">
        <v>847</v>
      </c>
      <c r="J117" s="12">
        <v>0.020833333332120674</v>
      </c>
      <c r="K117" s="12">
        <v>0.041666666667879326</v>
      </c>
      <c r="L117" s="13">
        <f>CRF[[#This Row],[Time Spent on Configuration]]+CRF[[#This Row],[Time Spent on Review/Testing]]</f>
        <v>0.0625</v>
      </c>
      <c r="N117" s="1" t="s">
        <v>574</v>
      </c>
      <c r="O117" s="1" t="s">
        <v>41</v>
      </c>
      <c r="P117" s="1" t="s">
        <v>47</v>
      </c>
      <c r="Q117" s="11">
        <v>45561</v>
      </c>
      <c r="R117" s="1">
        <v>5</v>
      </c>
    </row>
    <row r="118" ht="105" customHeight="1" spans="1:18" x14ac:dyDescent="0.25">
      <c r="A118" s="1" t="s">
        <v>3699</v>
      </c>
      <c r="B118" s="2" t="s">
        <v>545</v>
      </c>
      <c r="C118" s="1" t="str">
        <f t="shared" si="0"/>
        <v>EBS</v>
      </c>
      <c r="D118" s="1">
        <v>392587</v>
      </c>
      <c r="E118" s="1" t="s">
        <v>37</v>
      </c>
      <c r="F118" s="11">
        <v>45562</v>
      </c>
      <c r="G118" s="11" t="s">
        <v>74</v>
      </c>
      <c r="H118" s="2" t="s">
        <v>3889</v>
      </c>
      <c r="I118" s="2" t="s">
        <v>3889</v>
      </c>
      <c r="J118" s="12">
        <v>0.020833333332120674</v>
      </c>
      <c r="K118" s="12">
        <v>0.03125</v>
      </c>
      <c r="L118" s="13">
        <f>CRF[[#This Row],[Time Spent on Configuration]]+CRF[[#This Row],[Time Spent on Review/Testing]]</f>
        <v>0.052083333332120674</v>
      </c>
      <c r="N118" s="1" t="s">
        <v>31</v>
      </c>
      <c r="O118" s="1" t="s">
        <v>41</v>
      </c>
      <c r="P118" s="1" t="s">
        <v>47</v>
      </c>
      <c r="Q118" s="11">
        <v>45562</v>
      </c>
      <c r="R118" s="1">
        <v>5</v>
      </c>
    </row>
    <row r="119" ht="60" customHeight="1" spans="1:18" x14ac:dyDescent="0.25">
      <c r="A119" s="1" t="s">
        <v>3699</v>
      </c>
      <c r="B119" s="2" t="s">
        <v>545</v>
      </c>
      <c r="C119" s="1" t="str">
        <f t="shared" si="0"/>
        <v>EBS</v>
      </c>
      <c r="D119" s="1">
        <v>392603</v>
      </c>
      <c r="E119" s="1" t="s">
        <v>37</v>
      </c>
      <c r="F119" s="11">
        <v>45565</v>
      </c>
      <c r="G119" s="11" t="s">
        <v>353</v>
      </c>
      <c r="H119" s="2" t="s">
        <v>3890</v>
      </c>
      <c r="I119" s="2" t="s">
        <v>852</v>
      </c>
      <c r="J119" s="12">
        <v>0.006944444445252884</v>
      </c>
      <c r="K119" s="12">
        <v>0.013888888890505768</v>
      </c>
      <c r="L119" s="13">
        <f>CRF[[#This Row],[Time Spent on Configuration]]+CRF[[#This Row],[Time Spent on Review/Testing]]</f>
        <v>0.020833333332120674</v>
      </c>
      <c r="N119" s="1" t="s">
        <v>41</v>
      </c>
      <c r="O119" s="1" t="s">
        <v>32</v>
      </c>
      <c r="P119" s="1" t="s">
        <v>47</v>
      </c>
      <c r="Q119" s="11">
        <v>45565</v>
      </c>
      <c r="R119" s="1">
        <v>5</v>
      </c>
    </row>
    <row r="120" ht="105" customHeight="1" spans="1:18" x14ac:dyDescent="0.25">
      <c r="A120" s="1" t="s">
        <v>3708</v>
      </c>
      <c r="B120" s="2" t="s">
        <v>199</v>
      </c>
      <c r="C120" s="1" t="str">
        <f t="shared" si="0"/>
        <v>Hierl Insurance Inc</v>
      </c>
      <c r="D120" s="1">
        <v>392441</v>
      </c>
      <c r="E120" s="1" t="s">
        <v>37</v>
      </c>
      <c r="F120" s="11">
        <v>45569</v>
      </c>
      <c r="G120" s="11" t="s">
        <v>74</v>
      </c>
      <c r="H120" s="2" t="s">
        <v>3891</v>
      </c>
      <c r="I120" s="2" t="s">
        <v>3892</v>
      </c>
      <c r="J120" s="12">
        <v>0.020833333332120674</v>
      </c>
      <c r="K120" s="12">
        <v>0.027777777777373558</v>
      </c>
      <c r="L120" s="13">
        <f>CRF[[#This Row],[Time Spent on Configuration]]+CRF[[#This Row],[Time Spent on Review/Testing]]</f>
        <v>0.04861111110949423</v>
      </c>
      <c r="N120" s="1" t="s">
        <v>31</v>
      </c>
      <c r="O120" s="1" t="s">
        <v>41</v>
      </c>
      <c r="P120" s="1" t="s">
        <v>42</v>
      </c>
      <c r="Q120" s="11">
        <v>45569</v>
      </c>
      <c r="R120" s="1">
        <v>5</v>
      </c>
    </row>
    <row r="121" ht="210" customHeight="1" spans="1:18" x14ac:dyDescent="0.25">
      <c r="A121" s="1" t="s">
        <v>3708</v>
      </c>
      <c r="B121" s="2" t="s">
        <v>48</v>
      </c>
      <c r="C121" s="1" t="s">
        <v>25</v>
      </c>
      <c r="D121" s="1">
        <v>392543</v>
      </c>
      <c r="E121" s="1" t="s">
        <v>713</v>
      </c>
      <c r="F121" s="11">
        <v>45570</v>
      </c>
      <c r="G121" s="11" t="s">
        <v>74</v>
      </c>
      <c r="H121" s="2" t="s">
        <v>3893</v>
      </c>
      <c r="I121" s="2" t="s">
        <v>859</v>
      </c>
      <c r="J121" s="12">
        <v>0.0625</v>
      </c>
      <c r="K121" s="12">
        <v>0.027777777777373558</v>
      </c>
      <c r="L121" s="13">
        <f>CRF[[#This Row],[Time Spent on Configuration]]+CRF[[#This Row],[Time Spent on Review/Testing]]</f>
        <v>0.09027777777737356</v>
      </c>
      <c r="N121" s="1" t="s">
        <v>31</v>
      </c>
      <c r="O121" s="1" t="s">
        <v>32</v>
      </c>
      <c r="P121" s="1" t="s">
        <v>47</v>
      </c>
      <c r="Q121" s="11">
        <v>45570</v>
      </c>
      <c r="R121" s="1">
        <v>5</v>
      </c>
    </row>
    <row r="122" ht="105" customHeight="1" spans="1:18" x14ac:dyDescent="0.25">
      <c r="A122" s="1" t="s">
        <v>3708</v>
      </c>
      <c r="B122" s="2" t="s">
        <v>641</v>
      </c>
      <c r="C122" s="1" t="s">
        <v>261</v>
      </c>
      <c r="D122" s="1">
        <v>393468</v>
      </c>
      <c r="E122" s="1" t="s">
        <v>37</v>
      </c>
      <c r="F122" s="11">
        <v>45572</v>
      </c>
      <c r="G122" s="11" t="s">
        <v>38</v>
      </c>
      <c r="H122" s="2" t="s">
        <v>3894</v>
      </c>
      <c r="I122" s="2" t="s">
        <v>3895</v>
      </c>
      <c r="J122" s="12">
        <v>0.020833333332120674</v>
      </c>
      <c r="K122" s="12">
        <v>0.03125</v>
      </c>
      <c r="L122" s="13">
        <f>CRF[[#This Row],[Time Spent on Configuration]]+CRF[[#This Row],[Time Spent on Review/Testing]]</f>
        <v>0.052083333332120674</v>
      </c>
      <c r="N122" s="1" t="s">
        <v>32</v>
      </c>
      <c r="O122" s="1" t="s">
        <v>41</v>
      </c>
      <c r="P122" s="1" t="s">
        <v>42</v>
      </c>
      <c r="Q122" s="11">
        <v>45572</v>
      </c>
      <c r="R122" s="1">
        <v>5</v>
      </c>
    </row>
    <row r="123" ht="30" customHeight="1" spans="1:18" x14ac:dyDescent="0.25">
      <c r="A123" s="1" t="s">
        <v>3708</v>
      </c>
      <c r="B123" s="2" t="s">
        <v>258</v>
      </c>
      <c r="C123" s="1" t="str">
        <f>IFERROR(INDEX(C:C, MATCH(B123, B:B, 0)), "")</f>
        <v>TrueNorth</v>
      </c>
      <c r="D123" s="1">
        <v>390941</v>
      </c>
      <c r="E123" s="1" t="s">
        <v>27</v>
      </c>
      <c r="F123" s="11">
        <v>45573</v>
      </c>
      <c r="G123" s="11" t="s">
        <v>864</v>
      </c>
      <c r="H123" s="2" t="s">
        <v>3896</v>
      </c>
      <c r="I123" s="2" t="s">
        <v>3897</v>
      </c>
      <c r="J123" s="12">
        <v>0.03125</v>
      </c>
      <c r="K123" s="12">
        <v>0.03472222222262644</v>
      </c>
      <c r="L123" s="13">
        <f>CRF[[#This Row],[Time Spent on Configuration]]+CRF[[#This Row],[Time Spent on Review/Testing]]</f>
        <v>0.06597222222262644</v>
      </c>
      <c r="N123" s="1" t="s">
        <v>41</v>
      </c>
      <c r="O123" s="1" t="s">
        <v>32</v>
      </c>
      <c r="P123" s="1" t="s">
        <v>42</v>
      </c>
      <c r="Q123" s="11">
        <v>45573</v>
      </c>
      <c r="R123" s="1">
        <v>5</v>
      </c>
    </row>
    <row r="124" ht="105" customHeight="1" spans="1:18" x14ac:dyDescent="0.25">
      <c r="A124" s="1" t="s">
        <v>3708</v>
      </c>
      <c r="B124" s="2" t="s">
        <v>479</v>
      </c>
      <c r="C124" s="1" t="str">
        <f>IFERROR(INDEX(C:C, MATCH(B124, B:B, 0)), "")</f>
        <v>TrueNorth</v>
      </c>
      <c r="D124" s="1">
        <v>353809</v>
      </c>
      <c r="E124" s="1" t="s">
        <v>27</v>
      </c>
      <c r="F124" s="11">
        <v>45574</v>
      </c>
      <c r="G124" s="11" t="s">
        <v>38</v>
      </c>
      <c r="H124" s="2" t="s">
        <v>3898</v>
      </c>
      <c r="I124" s="2" t="s">
        <v>3899</v>
      </c>
      <c r="J124" s="12">
        <v>0.027777777777373558</v>
      </c>
      <c r="K124" s="12">
        <v>0.041666666667879326</v>
      </c>
      <c r="L124" s="13">
        <f>CRF[[#This Row],[Time Spent on Configuration]]+CRF[[#This Row],[Time Spent on Review/Testing]]</f>
        <v>0.06944444444525288</v>
      </c>
      <c r="N124" s="1" t="s">
        <v>41</v>
      </c>
      <c r="O124" s="1" t="s">
        <v>32</v>
      </c>
      <c r="P124" s="1" t="s">
        <v>42</v>
      </c>
      <c r="Q124" s="11">
        <v>45574</v>
      </c>
      <c r="R124" s="1">
        <v>5</v>
      </c>
    </row>
    <row r="125" ht="120" customHeight="1" spans="1:20" x14ac:dyDescent="0.25">
      <c r="A125" s="1" t="s">
        <v>3708</v>
      </c>
      <c r="B125" s="38" t="s">
        <v>146</v>
      </c>
      <c r="C125" s="1" t="s">
        <v>186</v>
      </c>
      <c r="D125" s="1">
        <v>394054</v>
      </c>
      <c r="E125" s="1" t="s">
        <v>27</v>
      </c>
      <c r="F125" s="11">
        <v>45575</v>
      </c>
      <c r="G125" s="11" t="s">
        <v>820</v>
      </c>
      <c r="H125" s="2" t="s">
        <v>3900</v>
      </c>
      <c r="I125" s="2" t="s">
        <v>3901</v>
      </c>
      <c r="J125" s="12">
        <v>0.020833333332120674</v>
      </c>
      <c r="K125" s="12">
        <v>0.03125</v>
      </c>
      <c r="L125" s="13">
        <f>CRF[[#This Row],[Time Spent on Configuration]]+CRF[[#This Row],[Time Spent on Review/Testing]]</f>
        <v>0.052083333332120674</v>
      </c>
      <c r="N125" s="1" t="s">
        <v>32</v>
      </c>
      <c r="O125" s="1" t="s">
        <v>41</v>
      </c>
      <c r="P125" s="1" t="s">
        <v>112</v>
      </c>
      <c r="Q125" s="11">
        <v>45575</v>
      </c>
      <c r="R125" s="1">
        <v>5</v>
      </c>
      <c r="T125" s="1" t="s">
        <v>872</v>
      </c>
    </row>
    <row r="126" ht="75" customHeight="1" spans="1:20" x14ac:dyDescent="0.25">
      <c r="A126" s="1" t="s">
        <v>3708</v>
      </c>
      <c r="B126" s="2" t="s">
        <v>258</v>
      </c>
      <c r="C126" s="1" t="str">
        <f>IFERROR(INDEX(C:C, MATCH(B126, B:B, 0)), "")</f>
        <v>TrueNorth</v>
      </c>
      <c r="D126" s="1">
        <v>393907</v>
      </c>
      <c r="E126" s="1" t="s">
        <v>27</v>
      </c>
      <c r="F126" s="11">
        <v>45575</v>
      </c>
      <c r="G126" s="11" t="s">
        <v>28</v>
      </c>
      <c r="H126" s="2" t="s">
        <v>874</v>
      </c>
      <c r="I126" s="2" t="s">
        <v>3902</v>
      </c>
      <c r="J126" s="12">
        <v>0.03472222222262644</v>
      </c>
      <c r="K126" s="12">
        <v>0.07291666666787933</v>
      </c>
      <c r="L126" s="13">
        <f>CRF[[#This Row],[Time Spent on Configuration]]+CRF[[#This Row],[Time Spent on Review/Testing]]</f>
        <v>0.10763888889050577</v>
      </c>
      <c r="N126" s="1" t="s">
        <v>32</v>
      </c>
      <c r="O126" s="1" t="s">
        <v>41</v>
      </c>
      <c r="P126" s="14" t="s">
        <v>42</v>
      </c>
      <c r="Q126" s="11">
        <v>45575</v>
      </c>
      <c r="R126" s="1">
        <v>5</v>
      </c>
      <c r="T126" s="1" t="s">
        <v>876</v>
      </c>
    </row>
    <row r="127" ht="75" customHeight="1" spans="1:20" x14ac:dyDescent="0.25">
      <c r="A127" s="1" t="s">
        <v>3708</v>
      </c>
      <c r="B127" s="2" t="s">
        <v>199</v>
      </c>
      <c r="C127" s="1" t="str">
        <f>IFERROR(INDEX(C:C, MATCH(B127, B:B, 0)), "")</f>
        <v>Hierl Insurance Inc</v>
      </c>
      <c r="D127" s="1">
        <v>393909</v>
      </c>
      <c r="E127" s="1" t="s">
        <v>37</v>
      </c>
      <c r="F127" s="11">
        <v>45580</v>
      </c>
      <c r="G127" s="11" t="s">
        <v>74</v>
      </c>
      <c r="H127" s="2" t="s">
        <v>3903</v>
      </c>
      <c r="I127" s="2" t="s">
        <v>3904</v>
      </c>
      <c r="J127" s="12">
        <v>0.03472222222262644</v>
      </c>
      <c r="K127" s="12">
        <v>0.04861111110949423</v>
      </c>
      <c r="L127" s="13">
        <f>CRF[[#This Row],[Time Spent on Configuration]]+CRF[[#This Row],[Time Spent on Review/Testing]]</f>
        <v>0.08333333333212067</v>
      </c>
      <c r="N127" s="1" t="s">
        <v>31</v>
      </c>
      <c r="O127" s="1" t="s">
        <v>32</v>
      </c>
      <c r="P127" s="14" t="s">
        <v>42</v>
      </c>
      <c r="Q127" s="11">
        <v>45580</v>
      </c>
      <c r="R127" s="1">
        <v>2</v>
      </c>
      <c r="T127" s="1" t="s">
        <v>872</v>
      </c>
    </row>
    <row r="128" ht="105" customHeight="1" spans="1:18" x14ac:dyDescent="0.25">
      <c r="A128" s="1" t="s">
        <v>3708</v>
      </c>
      <c r="B128" s="2" t="s">
        <v>796</v>
      </c>
      <c r="C128" s="1" t="str">
        <f>IFERROR(INDEX(C:C, MATCH(B128, B:B, 0)), "")</f>
        <v>Dillingham Benefits</v>
      </c>
      <c r="D128" s="1">
        <v>393749</v>
      </c>
      <c r="E128" s="1" t="s">
        <v>37</v>
      </c>
      <c r="F128" s="11">
        <v>45581</v>
      </c>
      <c r="G128" s="11" t="s">
        <v>74</v>
      </c>
      <c r="H128" s="2" t="s">
        <v>3905</v>
      </c>
      <c r="I128" s="2" t="s">
        <v>3906</v>
      </c>
      <c r="J128" s="12">
        <v>0.03472222222262644</v>
      </c>
      <c r="K128" s="12">
        <v>0.04513888889050577</v>
      </c>
      <c r="L128" s="13">
        <f>CRF[[#This Row],[Time Spent on Configuration]]+CRF[[#This Row],[Time Spent on Review/Testing]]</f>
        <v>0.07986111110949423</v>
      </c>
      <c r="N128" s="1" t="s">
        <v>31</v>
      </c>
      <c r="O128" s="1" t="s">
        <v>32</v>
      </c>
      <c r="P128" s="14" t="s">
        <v>47</v>
      </c>
      <c r="Q128" s="11">
        <v>45581</v>
      </c>
      <c r="R128" s="1">
        <v>5</v>
      </c>
    </row>
    <row r="129" ht="300" customHeight="1" spans="1:18" x14ac:dyDescent="0.25">
      <c r="A129" s="1" t="s">
        <v>3708</v>
      </c>
      <c r="B129" s="2" t="s">
        <v>35</v>
      </c>
      <c r="C129" s="1" t="str">
        <f>IFERROR(INDEX(C:C, MATCH(B129, B:B, 0)), "")</f>
        <v>TrueNorth</v>
      </c>
      <c r="D129" s="1">
        <v>394406</v>
      </c>
      <c r="E129" s="1" t="s">
        <v>27</v>
      </c>
      <c r="F129" s="11">
        <v>45583</v>
      </c>
      <c r="G129" s="11" t="s">
        <v>38</v>
      </c>
      <c r="H129" s="2" t="s">
        <v>3907</v>
      </c>
      <c r="I129" s="2" t="s">
        <v>3908</v>
      </c>
      <c r="J129" s="12">
        <v>0.041666666667879326</v>
      </c>
      <c r="K129" s="12">
        <v>0.055555555554747116</v>
      </c>
      <c r="L129" s="13">
        <f>CRF[[#This Row],[Time Spent on Configuration]]+CRF[[#This Row],[Time Spent on Review/Testing]]</f>
        <v>0.09722222222262644</v>
      </c>
      <c r="N129" s="1" t="s">
        <v>31</v>
      </c>
      <c r="O129" s="1" t="s">
        <v>32</v>
      </c>
      <c r="P129" s="14" t="s">
        <v>42</v>
      </c>
      <c r="Q129" s="11">
        <v>45583</v>
      </c>
      <c r="R129" s="1">
        <v>2</v>
      </c>
    </row>
    <row r="130" ht="150" customHeight="1" spans="1:18" x14ac:dyDescent="0.25">
      <c r="A130" s="1" t="s">
        <v>3708</v>
      </c>
      <c r="B130" s="2" t="s">
        <v>545</v>
      </c>
      <c r="C130" s="1" t="str">
        <f>IFERROR(INDEX(C:C, MATCH(B130, B:B, 0)), "")</f>
        <v>EBS</v>
      </c>
      <c r="D130" s="1">
        <v>392603</v>
      </c>
      <c r="E130" s="1" t="s">
        <v>37</v>
      </c>
      <c r="F130" s="11">
        <v>45589</v>
      </c>
      <c r="G130" s="11" t="s">
        <v>74</v>
      </c>
      <c r="H130" s="2" t="s">
        <v>3909</v>
      </c>
      <c r="I130" s="2" t="s">
        <v>3910</v>
      </c>
      <c r="J130" s="12">
        <v>0.020833333332120674</v>
      </c>
      <c r="K130" s="12">
        <v>0.05902777777737356</v>
      </c>
      <c r="L130" s="13">
        <f>CRF[[#This Row],[Time Spent on Configuration]]+CRF[[#This Row],[Time Spent on Review/Testing]]</f>
        <v>0.07986111110949423</v>
      </c>
      <c r="N130" s="1" t="s">
        <v>31</v>
      </c>
      <c r="O130" s="1" t="s">
        <v>41</v>
      </c>
      <c r="P130" s="1" t="s">
        <v>47</v>
      </c>
      <c r="Q130" s="11">
        <v>45589</v>
      </c>
      <c r="R130" s="1">
        <v>5</v>
      </c>
    </row>
    <row r="131" ht="60" customHeight="1" spans="1:18" x14ac:dyDescent="0.25">
      <c r="A131" s="1" t="s">
        <v>3708</v>
      </c>
      <c r="B131" s="2" t="s">
        <v>185</v>
      </c>
      <c r="C131" s="1" t="s">
        <v>186</v>
      </c>
      <c r="D131" s="1">
        <v>395295</v>
      </c>
      <c r="E131" s="1" t="s">
        <v>27</v>
      </c>
      <c r="F131" s="11">
        <v>45590</v>
      </c>
      <c r="G131" s="11" t="s">
        <v>28</v>
      </c>
      <c r="H131" s="2" t="s">
        <v>889</v>
      </c>
      <c r="I131" s="2" t="s">
        <v>890</v>
      </c>
      <c r="J131" s="12">
        <v>0.027777777777373558</v>
      </c>
      <c r="K131" s="12">
        <v>0.06597222222262644</v>
      </c>
      <c r="L131" s="13">
        <f>CRF[[#This Row],[Time Spent on Configuration]]+CRF[[#This Row],[Time Spent on Review/Testing]]</f>
        <v>0.09375</v>
      </c>
      <c r="N131" s="1" t="s">
        <v>32</v>
      </c>
      <c r="O131" s="1" t="s">
        <v>41</v>
      </c>
      <c r="P131" s="1" t="s">
        <v>47</v>
      </c>
      <c r="Q131" s="11">
        <v>45591</v>
      </c>
      <c r="R131" s="1">
        <v>5</v>
      </c>
    </row>
    <row r="132" ht="90" customHeight="1" spans="1:20" x14ac:dyDescent="0.25">
      <c r="A132" s="1" t="s">
        <v>3725</v>
      </c>
      <c r="B132" s="2" t="s">
        <v>510</v>
      </c>
      <c r="C132" s="1" t="s">
        <v>25</v>
      </c>
      <c r="D132" s="1">
        <v>396291</v>
      </c>
      <c r="E132" s="1" t="s">
        <v>27</v>
      </c>
      <c r="F132" s="11">
        <v>45600</v>
      </c>
      <c r="G132" s="11" t="s">
        <v>38</v>
      </c>
      <c r="H132" s="2" t="s">
        <v>893</v>
      </c>
      <c r="I132" s="2" t="s">
        <v>3911</v>
      </c>
      <c r="J132" s="12">
        <v>0.020833333332120674</v>
      </c>
      <c r="K132" s="12">
        <v>0.03472222222262644</v>
      </c>
      <c r="L132" s="13">
        <f>CRF[[#This Row],[Time Spent on Configuration]]+CRF[[#This Row],[Time Spent on Review/Testing]]</f>
        <v>0.055555555554747116</v>
      </c>
      <c r="N132" s="1" t="s">
        <v>32</v>
      </c>
      <c r="O132" s="1" t="s">
        <v>41</v>
      </c>
      <c r="P132" s="1" t="s">
        <v>47</v>
      </c>
      <c r="Q132" s="11">
        <v>45600</v>
      </c>
      <c r="R132" s="1">
        <v>5</v>
      </c>
      <c r="T132" s="1" t="s">
        <v>872</v>
      </c>
    </row>
    <row r="133" ht="135" customHeight="1" spans="1:20" x14ac:dyDescent="0.25">
      <c r="A133" s="1" t="s">
        <v>3725</v>
      </c>
      <c r="B133" s="2" t="s">
        <v>60</v>
      </c>
      <c r="C133" s="1" t="s">
        <v>61</v>
      </c>
      <c r="D133" s="1">
        <v>394937</v>
      </c>
      <c r="E133" s="1" t="s">
        <v>37</v>
      </c>
      <c r="F133" s="11">
        <v>45601</v>
      </c>
      <c r="G133" s="11" t="s">
        <v>28</v>
      </c>
      <c r="H133" s="2" t="s">
        <v>3912</v>
      </c>
      <c r="I133" s="2" t="s">
        <v>3913</v>
      </c>
      <c r="J133" s="12">
        <v>0.03125</v>
      </c>
      <c r="K133" s="12">
        <v>0.041666666667879326</v>
      </c>
      <c r="L133" s="13">
        <f>CRF[[#This Row],[Time Spent on Configuration]]+CRF[[#This Row],[Time Spent on Review/Testing]]</f>
        <v>0.07291666666787933</v>
      </c>
      <c r="N133" s="1" t="s">
        <v>31</v>
      </c>
      <c r="O133" s="1" t="s">
        <v>32</v>
      </c>
      <c r="P133" s="1" t="s">
        <v>47</v>
      </c>
      <c r="Q133" s="11">
        <v>45601</v>
      </c>
      <c r="R133" s="1">
        <v>5</v>
      </c>
      <c r="T133" s="1" t="s">
        <v>872</v>
      </c>
    </row>
    <row r="134" ht="255" customHeight="1" spans="1:20" x14ac:dyDescent="0.25">
      <c r="A134" s="1" t="s">
        <v>3725</v>
      </c>
      <c r="B134" s="2" t="s">
        <v>118</v>
      </c>
      <c r="C134" s="1" t="s">
        <v>25</v>
      </c>
      <c r="D134" s="1">
        <v>389759</v>
      </c>
      <c r="E134" s="1" t="s">
        <v>27</v>
      </c>
      <c r="F134" s="11">
        <v>45601</v>
      </c>
      <c r="G134" s="11" t="s">
        <v>38</v>
      </c>
      <c r="H134" s="2" t="s">
        <v>3914</v>
      </c>
      <c r="I134" s="2" t="s">
        <v>900</v>
      </c>
      <c r="J134" s="12">
        <v>0.020833333332120674</v>
      </c>
      <c r="K134" s="12">
        <v>0.03472222222262644</v>
      </c>
      <c r="L134" s="13">
        <f>CRF[[#This Row],[Time Spent on Configuration]]+CRF[[#This Row],[Time Spent on Review/Testing]]</f>
        <v>0.055555555554747116</v>
      </c>
      <c r="N134" s="1" t="s">
        <v>53</v>
      </c>
      <c r="O134" s="1" t="s">
        <v>32</v>
      </c>
      <c r="P134" s="1" t="s">
        <v>47</v>
      </c>
      <c r="Q134" s="11">
        <v>45601</v>
      </c>
      <c r="R134" s="1">
        <v>5</v>
      </c>
      <c r="T134" s="1" t="s">
        <v>872</v>
      </c>
    </row>
    <row r="135" ht="90" customHeight="1" spans="1:20" x14ac:dyDescent="0.25">
      <c r="A135" s="1" t="s">
        <v>3725</v>
      </c>
      <c r="B135" s="2" t="s">
        <v>35</v>
      </c>
      <c r="C135" s="1" t="s">
        <v>25</v>
      </c>
      <c r="D135" s="1">
        <v>396772</v>
      </c>
      <c r="E135" s="1" t="s">
        <v>27</v>
      </c>
      <c r="F135" s="11">
        <v>45603</v>
      </c>
      <c r="G135" s="11" t="s">
        <v>38</v>
      </c>
      <c r="H135" s="2" t="s">
        <v>902</v>
      </c>
      <c r="I135" s="2" t="s">
        <v>3915</v>
      </c>
      <c r="J135" s="12">
        <v>0.041666666667879326</v>
      </c>
      <c r="K135" s="12">
        <v>0.020833333332120674</v>
      </c>
      <c r="L135" s="13">
        <f>CRF[[#This Row],[Time Spent on Configuration]]+CRF[[#This Row],[Time Spent on Review/Testing]]</f>
        <v>0.0625</v>
      </c>
      <c r="N135" s="1" t="s">
        <v>53</v>
      </c>
      <c r="O135" s="1" t="s">
        <v>32</v>
      </c>
      <c r="P135" s="1" t="s">
        <v>42</v>
      </c>
      <c r="Q135" s="11">
        <v>45603</v>
      </c>
      <c r="R135" s="1">
        <v>5</v>
      </c>
      <c r="T135" s="1" t="s">
        <v>872</v>
      </c>
    </row>
    <row r="136" ht="165" customHeight="1" spans="1:18" x14ac:dyDescent="0.25">
      <c r="A136" s="1" t="s">
        <v>3725</v>
      </c>
      <c r="B136" s="2" t="s">
        <v>83</v>
      </c>
      <c r="C136" s="1" t="s">
        <v>78</v>
      </c>
      <c r="D136" s="1">
        <v>398171</v>
      </c>
      <c r="E136" s="1" t="s">
        <v>37</v>
      </c>
      <c r="F136" s="11">
        <v>45611</v>
      </c>
      <c r="G136" s="11" t="s">
        <v>74</v>
      </c>
      <c r="H136" s="2" t="s">
        <v>3916</v>
      </c>
      <c r="I136" s="2" t="s">
        <v>906</v>
      </c>
      <c r="J136" s="12">
        <v>0.020833333332120674</v>
      </c>
      <c r="K136" s="12">
        <v>0.06944444444525288</v>
      </c>
      <c r="L136" s="13">
        <f>CRF[[#This Row],[Time Spent on Configuration]]+CRF[[#This Row],[Time Spent on Review/Testing]]</f>
        <v>0.09027777777737356</v>
      </c>
      <c r="N136" s="1" t="s">
        <v>53</v>
      </c>
      <c r="O136" s="1" t="s">
        <v>32</v>
      </c>
      <c r="P136" s="1" t="s">
        <v>112</v>
      </c>
      <c r="Q136" s="11">
        <v>45614</v>
      </c>
      <c r="R136" s="1">
        <v>5</v>
      </c>
    </row>
    <row r="137" ht="90" customHeight="1" spans="1:18" x14ac:dyDescent="0.25">
      <c r="A137" s="1" t="s">
        <v>3725</v>
      </c>
      <c r="B137" s="2" t="s">
        <v>288</v>
      </c>
      <c r="C137" s="1" t="s">
        <v>289</v>
      </c>
      <c r="D137" s="1">
        <v>398020</v>
      </c>
      <c r="E137" s="1" t="s">
        <v>27</v>
      </c>
      <c r="F137" s="11">
        <v>45617</v>
      </c>
      <c r="G137" s="11" t="s">
        <v>820</v>
      </c>
      <c r="H137" s="2" t="s">
        <v>3917</v>
      </c>
      <c r="I137" s="2" t="s">
        <v>3918</v>
      </c>
      <c r="J137" s="12">
        <v>0.020833333332120674</v>
      </c>
      <c r="K137" s="12">
        <v>0.027777777777373558</v>
      </c>
      <c r="L137" s="13">
        <f>CRF[[#This Row],[Time Spent on Configuration]]+CRF[[#This Row],[Time Spent on Review/Testing]]</f>
        <v>0.04861111110949423</v>
      </c>
      <c r="N137" s="1" t="s">
        <v>53</v>
      </c>
      <c r="O137" s="1" t="s">
        <v>32</v>
      </c>
      <c r="P137" s="1" t="s">
        <v>112</v>
      </c>
      <c r="Q137" s="11">
        <v>45617</v>
      </c>
      <c r="R137" s="1">
        <v>5</v>
      </c>
    </row>
    <row r="138" ht="225" customHeight="1" spans="1:18" x14ac:dyDescent="0.25">
      <c r="A138" s="1" t="s">
        <v>3725</v>
      </c>
      <c r="B138" s="2" t="s">
        <v>308</v>
      </c>
      <c r="C138" s="1" t="s">
        <v>309</v>
      </c>
      <c r="D138" s="1">
        <v>398627</v>
      </c>
      <c r="E138" s="1" t="s">
        <v>37</v>
      </c>
      <c r="F138" s="11">
        <v>45623</v>
      </c>
      <c r="G138" s="11" t="s">
        <v>670</v>
      </c>
      <c r="H138" s="2" t="s">
        <v>911</v>
      </c>
      <c r="I138" s="2" t="s">
        <v>3919</v>
      </c>
      <c r="J138" s="12">
        <v>0.013888888890505768</v>
      </c>
      <c r="K138" s="12">
        <v>0.020833333332120674</v>
      </c>
      <c r="L138" s="13">
        <f>CRF[[#This Row],[Time Spent on Configuration]]+CRF[[#This Row],[Time Spent on Review/Testing]]</f>
        <v>0.03472222222262644</v>
      </c>
      <c r="N138" s="1" t="s">
        <v>31</v>
      </c>
      <c r="O138" s="1" t="s">
        <v>32</v>
      </c>
      <c r="P138" s="1" t="s">
        <v>42</v>
      </c>
      <c r="Q138" s="11">
        <v>45623</v>
      </c>
      <c r="R138" s="1">
        <v>5</v>
      </c>
    </row>
    <row r="139" ht="45" customHeight="1" spans="1:18" x14ac:dyDescent="0.25">
      <c r="A139" s="1" t="s">
        <v>3725</v>
      </c>
      <c r="B139" s="2" t="s">
        <v>83</v>
      </c>
      <c r="C139" s="1" t="s">
        <v>78</v>
      </c>
      <c r="D139" s="1">
        <v>400299</v>
      </c>
      <c r="E139" s="1" t="s">
        <v>37</v>
      </c>
      <c r="F139" s="11">
        <v>45624</v>
      </c>
      <c r="G139" s="11" t="s">
        <v>74</v>
      </c>
      <c r="H139" s="2" t="s">
        <v>914</v>
      </c>
      <c r="I139" s="2" t="s">
        <v>915</v>
      </c>
      <c r="J139" s="12">
        <v>0.020833333332120674</v>
      </c>
      <c r="K139" s="12">
        <v>0.027777777777373558</v>
      </c>
      <c r="L139" s="13">
        <f>CRF[[#This Row],[Time Spent on Configuration]]+CRF[[#This Row],[Time Spent on Review/Testing]]</f>
        <v>0.04861111110949423</v>
      </c>
      <c r="N139" s="1" t="s">
        <v>53</v>
      </c>
      <c r="O139" s="1" t="s">
        <v>32</v>
      </c>
      <c r="P139" s="1" t="s">
        <v>112</v>
      </c>
      <c r="Q139" s="11">
        <v>45625</v>
      </c>
      <c r="R139" s="1">
        <v>5</v>
      </c>
    </row>
    <row r="140" ht="75" customHeight="1" spans="1:18" x14ac:dyDescent="0.25">
      <c r="A140" s="1" t="s">
        <v>3733</v>
      </c>
      <c r="B140" s="2" t="s">
        <v>258</v>
      </c>
      <c r="C140" s="1" t="s">
        <v>25</v>
      </c>
      <c r="D140" s="1">
        <v>398176</v>
      </c>
      <c r="E140" s="1" t="s">
        <v>37</v>
      </c>
      <c r="F140" s="11">
        <v>45630</v>
      </c>
      <c r="G140" s="11" t="s">
        <v>670</v>
      </c>
      <c r="H140" s="2" t="s">
        <v>3920</v>
      </c>
      <c r="I140" s="2" t="s">
        <v>919</v>
      </c>
      <c r="J140" s="12">
        <v>0.055555555554747116</v>
      </c>
      <c r="K140" s="12"/>
      <c r="L140" s="13">
        <f>CRF[[#This Row],[Time Spent on Configuration]]+CRF[[#This Row],[Time Spent on Review/Testing]]</f>
        <v>0.055555555554747116</v>
      </c>
      <c r="O140" s="1" t="s">
        <v>31</v>
      </c>
      <c r="P140" s="1" t="s">
        <v>42</v>
      </c>
      <c r="Q140" s="11">
        <v>45630</v>
      </c>
      <c r="R140" s="1">
        <v>5</v>
      </c>
    </row>
    <row r="141" ht="405" customHeight="1" spans="1:18" x14ac:dyDescent="0.25">
      <c r="A141" s="1" t="s">
        <v>3733</v>
      </c>
      <c r="B141" s="2" t="s">
        <v>35</v>
      </c>
      <c r="C141" s="1" t="s">
        <v>25</v>
      </c>
      <c r="D141" s="1">
        <v>398363</v>
      </c>
      <c r="E141" s="1" t="s">
        <v>27</v>
      </c>
      <c r="F141" s="11">
        <v>45632</v>
      </c>
      <c r="G141" s="11" t="s">
        <v>74</v>
      </c>
      <c r="H141" s="2" t="s">
        <v>3921</v>
      </c>
      <c r="I141" s="2" t="s">
        <v>3922</v>
      </c>
      <c r="J141" s="12">
        <v>0.08333333333212067</v>
      </c>
      <c r="K141" s="12">
        <v>0.055555555554747116</v>
      </c>
      <c r="L141" s="13">
        <f>CRF[[#This Row],[Time Spent on Configuration]]+CRF[[#This Row],[Time Spent on Review/Testing]]</f>
        <v>0.13888888889050577</v>
      </c>
      <c r="N141" s="1" t="s">
        <v>31</v>
      </c>
      <c r="O141" s="1" t="s">
        <v>32</v>
      </c>
      <c r="P141" s="1" t="s">
        <v>42</v>
      </c>
      <c r="Q141" s="11">
        <v>45635</v>
      </c>
      <c r="R141" s="1">
        <v>5</v>
      </c>
    </row>
    <row r="142" ht="60" customHeight="1" spans="1:18" x14ac:dyDescent="0.25">
      <c r="A142" s="1" t="s">
        <v>3733</v>
      </c>
      <c r="B142" s="2" t="s">
        <v>77</v>
      </c>
      <c r="C142" s="1" t="s">
        <v>78</v>
      </c>
      <c r="D142" s="1">
        <v>401666</v>
      </c>
      <c r="E142" s="1" t="s">
        <v>37</v>
      </c>
      <c r="F142" s="11">
        <v>45632</v>
      </c>
      <c r="G142" s="11" t="s">
        <v>924</v>
      </c>
      <c r="H142" s="1" t="s">
        <v>3923</v>
      </c>
      <c r="I142" s="2" t="s">
        <v>926</v>
      </c>
      <c r="J142" s="12">
        <v>0.020833333332120674</v>
      </c>
      <c r="K142" s="12">
        <v>0.03472222222262644</v>
      </c>
      <c r="L142" s="13">
        <f>CRF[[#This Row],[Time Spent on Configuration]]+CRF[[#This Row],[Time Spent on Review/Testing]]</f>
        <v>0.055555555554747116</v>
      </c>
      <c r="N142" s="1" t="s">
        <v>347</v>
      </c>
      <c r="O142" s="1" t="s">
        <v>32</v>
      </c>
      <c r="P142" s="1" t="s">
        <v>112</v>
      </c>
      <c r="Q142" s="11">
        <v>45632</v>
      </c>
      <c r="R142" s="1">
        <v>5</v>
      </c>
    </row>
    <row r="143" ht="165" customHeight="1" spans="1:18" x14ac:dyDescent="0.25">
      <c r="A143" s="1" t="s">
        <v>3733</v>
      </c>
      <c r="B143" s="2" t="s">
        <v>545</v>
      </c>
      <c r="C143" s="1" t="str">
        <f>IFERROR(INDEX(C:C, MATCH(B143, B:B, 0)), "")</f>
        <v>EBS</v>
      </c>
      <c r="D143" s="1">
        <v>394682</v>
      </c>
      <c r="E143" s="1" t="s">
        <v>37</v>
      </c>
      <c r="F143" s="11">
        <v>45632</v>
      </c>
      <c r="G143" s="11" t="s">
        <v>74</v>
      </c>
      <c r="H143" s="2" t="s">
        <v>3924</v>
      </c>
      <c r="I143" s="2" t="s">
        <v>3925</v>
      </c>
      <c r="J143" s="12">
        <v>0.041666666667879326</v>
      </c>
      <c r="K143" s="12">
        <v>0.06944444444525288</v>
      </c>
      <c r="L143" s="13">
        <f>CRF[[#This Row],[Time Spent on Configuration]]+CRF[[#This Row],[Time Spent on Review/Testing]]</f>
        <v>0.11111111110949423</v>
      </c>
      <c r="N143" s="1" t="s">
        <v>31</v>
      </c>
      <c r="O143" s="1" t="s">
        <v>32</v>
      </c>
      <c r="P143" s="1" t="s">
        <v>47</v>
      </c>
      <c r="Q143" s="11">
        <v>45635</v>
      </c>
      <c r="R143" s="1">
        <v>5</v>
      </c>
    </row>
    <row r="144" ht="225" customHeight="1" spans="1:18" x14ac:dyDescent="0.25">
      <c r="A144" s="1" t="s">
        <v>3733</v>
      </c>
      <c r="B144" s="2" t="s">
        <v>35</v>
      </c>
      <c r="C144" s="1" t="s">
        <v>25</v>
      </c>
      <c r="D144" s="1">
        <v>402722</v>
      </c>
      <c r="E144" s="1" t="s">
        <v>27</v>
      </c>
      <c r="F144" s="11">
        <v>45643</v>
      </c>
      <c r="G144" s="11" t="s">
        <v>28</v>
      </c>
      <c r="H144" s="2" t="s">
        <v>3926</v>
      </c>
      <c r="I144" s="2" t="s">
        <v>3927</v>
      </c>
      <c r="J144" s="12">
        <v>0.03472222222262644</v>
      </c>
      <c r="K144" s="12"/>
      <c r="L144" s="13">
        <f>CRF[[#This Row],[Time Spent on Configuration]]+CRF[[#This Row],[Time Spent on Review/Testing]]</f>
        <v>0.03472222222262644</v>
      </c>
      <c r="N144" s="1" t="s">
        <v>32</v>
      </c>
      <c r="P144" s="1" t="s">
        <v>42</v>
      </c>
      <c r="Q144" s="11">
        <v>45643</v>
      </c>
      <c r="R144" s="1">
        <v>5</v>
      </c>
    </row>
    <row r="145" ht="180" customHeight="1" spans="1:18" x14ac:dyDescent="0.25">
      <c r="A145" s="1" t="s">
        <v>3733</v>
      </c>
      <c r="B145" s="2" t="s">
        <v>113</v>
      </c>
      <c r="C145" s="1" t="s">
        <v>25</v>
      </c>
      <c r="D145" s="1">
        <v>401524</v>
      </c>
      <c r="E145" s="1" t="s">
        <v>37</v>
      </c>
      <c r="F145" s="11">
        <v>45644</v>
      </c>
      <c r="G145" s="11" t="s">
        <v>28</v>
      </c>
      <c r="H145" s="2" t="s">
        <v>3928</v>
      </c>
      <c r="I145" s="2" t="s">
        <v>935</v>
      </c>
      <c r="J145" s="12">
        <v>0.03472222222262644</v>
      </c>
      <c r="K145" s="12">
        <v>0.041666666667879326</v>
      </c>
      <c r="L145" s="13">
        <f>CRF[[#This Row],[Time Spent on Configuration]]+CRF[[#This Row],[Time Spent on Review/Testing]]</f>
        <v>0.07638888889050577</v>
      </c>
      <c r="N145" s="1" t="s">
        <v>31</v>
      </c>
      <c r="O145" s="1" t="s">
        <v>32</v>
      </c>
      <c r="P145" s="1" t="s">
        <v>47</v>
      </c>
      <c r="Q145" s="11">
        <v>45644</v>
      </c>
      <c r="R145" s="1">
        <v>5</v>
      </c>
    </row>
    <row r="146" ht="75" customHeight="1" spans="1:18" x14ac:dyDescent="0.25">
      <c r="A146" s="1" t="s">
        <v>3733</v>
      </c>
      <c r="B146" s="2" t="s">
        <v>936</v>
      </c>
      <c r="C146" s="1" t="s">
        <v>25</v>
      </c>
      <c r="D146" s="1">
        <v>403145</v>
      </c>
      <c r="E146" s="1" t="s">
        <v>27</v>
      </c>
      <c r="F146" s="11">
        <v>45644</v>
      </c>
      <c r="G146" s="11" t="s">
        <v>38</v>
      </c>
      <c r="H146" s="2" t="s">
        <v>3929</v>
      </c>
      <c r="I146" s="2" t="s">
        <v>3930</v>
      </c>
      <c r="J146" s="12">
        <v>0.03472222222262644</v>
      </c>
      <c r="K146" s="12">
        <v>0.041666666667879326</v>
      </c>
      <c r="L146" s="13">
        <f>CRF[[#This Row],[Time Spent on Configuration]]+CRF[[#This Row],[Time Spent on Review/Testing]]</f>
        <v>0.07638888889050577</v>
      </c>
      <c r="N146" s="1" t="s">
        <v>31</v>
      </c>
      <c r="O146" s="1" t="s">
        <v>32</v>
      </c>
      <c r="P146" s="1" t="s">
        <v>112</v>
      </c>
      <c r="Q146" s="11">
        <v>45644</v>
      </c>
      <c r="R146" s="1">
        <v>5</v>
      </c>
    </row>
    <row r="147" ht="195" customHeight="1" spans="1:18" x14ac:dyDescent="0.25">
      <c r="A147" s="1" t="s">
        <v>3733</v>
      </c>
      <c r="B147" s="2" t="s">
        <v>936</v>
      </c>
      <c r="C147" s="1" t="s">
        <v>25</v>
      </c>
      <c r="D147" s="1">
        <v>403055</v>
      </c>
      <c r="E147" s="1" t="s">
        <v>27</v>
      </c>
      <c r="F147" s="11">
        <v>45645</v>
      </c>
      <c r="G147" s="11" t="s">
        <v>38</v>
      </c>
      <c r="H147" s="2" t="s">
        <v>3931</v>
      </c>
      <c r="I147" s="2" t="s">
        <v>3932</v>
      </c>
      <c r="J147" s="12">
        <v>0.041666666667879326</v>
      </c>
      <c r="K147" s="12">
        <v>0.0625</v>
      </c>
      <c r="L147" s="13">
        <f>CRF[[#This Row],[Time Spent on Configuration]]+CRF[[#This Row],[Time Spent on Review/Testing]]</f>
        <v>0.10416666666787933</v>
      </c>
      <c r="N147" s="1" t="s">
        <v>31</v>
      </c>
      <c r="O147" s="1" t="s">
        <v>32</v>
      </c>
      <c r="P147" s="1" t="s">
        <v>112</v>
      </c>
      <c r="Q147" s="11">
        <v>45644</v>
      </c>
      <c r="R147" s="1">
        <v>1</v>
      </c>
    </row>
    <row r="148" ht="285" customHeight="1" spans="1:18" x14ac:dyDescent="0.25">
      <c r="A148" s="1" t="s">
        <v>3733</v>
      </c>
      <c r="B148" s="2" t="s">
        <v>113</v>
      </c>
      <c r="C148" s="1" t="s">
        <v>25</v>
      </c>
      <c r="D148" s="1">
        <v>373055</v>
      </c>
      <c r="E148" s="1" t="s">
        <v>37</v>
      </c>
      <c r="F148" s="11">
        <v>45649</v>
      </c>
      <c r="G148" s="11" t="s">
        <v>38</v>
      </c>
      <c r="H148" s="2" t="s">
        <v>3933</v>
      </c>
      <c r="I148" s="2" t="s">
        <v>3934</v>
      </c>
      <c r="J148" s="12">
        <v>0.0625</v>
      </c>
      <c r="K148" s="12">
        <v>0.0625</v>
      </c>
      <c r="L148" s="13">
        <f>CRF[[#This Row],[Time Spent on Configuration]]+CRF[[#This Row],[Time Spent on Review/Testing]]</f>
        <v>0.125</v>
      </c>
      <c r="N148" s="1" t="s">
        <v>31</v>
      </c>
      <c r="O148" s="1" t="s">
        <v>32</v>
      </c>
      <c r="P148" s="1" t="s">
        <v>117</v>
      </c>
      <c r="Q148" s="11">
        <v>45649</v>
      </c>
      <c r="R148" s="1">
        <v>5</v>
      </c>
    </row>
    <row r="149" ht="75" customHeight="1" spans="1:18" x14ac:dyDescent="0.25">
      <c r="A149" s="1" t="s">
        <v>3733</v>
      </c>
      <c r="B149" s="2" t="s">
        <v>199</v>
      </c>
      <c r="C149" s="1" t="s">
        <v>541</v>
      </c>
      <c r="D149" s="1">
        <v>403338</v>
      </c>
      <c r="E149" s="1" t="s">
        <v>37</v>
      </c>
      <c r="F149" s="11">
        <v>45650</v>
      </c>
      <c r="G149" s="11" t="s">
        <v>28</v>
      </c>
      <c r="H149" s="2" t="s">
        <v>3935</v>
      </c>
      <c r="I149" s="2" t="s">
        <v>3936</v>
      </c>
      <c r="J149" s="12">
        <v>0.013888888890505768</v>
      </c>
      <c r="K149" s="12">
        <v>0.041666666667879326</v>
      </c>
      <c r="L149" s="13">
        <f>CRF[[#This Row],[Time Spent on Configuration]]+CRF[[#This Row],[Time Spent on Review/Testing]]</f>
        <v>0.055555555554747116</v>
      </c>
      <c r="N149" s="1" t="s">
        <v>31</v>
      </c>
      <c r="O149" s="1" t="s">
        <v>32</v>
      </c>
      <c r="P149" s="1" t="s">
        <v>42</v>
      </c>
      <c r="Q149" s="11">
        <v>45650</v>
      </c>
      <c r="R149" s="1">
        <v>5</v>
      </c>
    </row>
  </sheetData>
  <pageMargins left="0.7" right="0.7" top="0.75" bottom="0.75" header="0.3" footer="0.3"/>
  <pageSetup paperSize="9" orientation="portrait" horizontalDpi="4294967295" verticalDpi="4294967295" scale="100" fitToWidth="1" fitToHeight="1" firstPageNumber="1" useFirstPageNumber="1" copies="1"/>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Views>
    <sheetView workbookViewId="0" zoomScale="100" zoomScaleNormal="100"/>
  </sheetViews>
  <sheetFormatPr defaultRowHeight="12.75" outlineLevelRow="0" outlineLevelCol="0" x14ac:dyDescent="0.25" defaultColWidth="9.140625" customHeight="1"/>
  <cols>
    <col min="1" max="1" width="10.85546875" style="82" customWidth="1"/>
    <col min="2" max="2" width="23.85546875" style="82" customWidth="1"/>
    <col min="3" max="3" width="20.7109375" style="82" customWidth="1"/>
    <col min="4" max="4" width="15.140625" style="82" customWidth="1"/>
    <col min="5" max="5" width="20.28515625" style="82" customWidth="1"/>
    <col min="6" max="6" width="21.85546875" style="82" customWidth="1"/>
    <col min="7" max="16384" width="9.140625" style="82" customWidth="1"/>
  </cols>
  <sheetData>
    <row r="1" ht="25.5" customHeight="1" spans="1:6" s="75" customFormat="1" x14ac:dyDescent="0.25">
      <c r="A1" s="83" t="s">
        <v>1</v>
      </c>
      <c r="B1" s="83" t="s">
        <v>2</v>
      </c>
      <c r="C1" s="83" t="s">
        <v>4777</v>
      </c>
      <c r="D1" s="83" t="s">
        <v>5</v>
      </c>
      <c r="E1" s="83" t="s">
        <v>7</v>
      </c>
      <c r="F1" s="83" t="s">
        <v>4778</v>
      </c>
    </row>
    <row r="2" spans="1:6" x14ac:dyDescent="0.25">
      <c r="A2" s="82" t="s">
        <v>3690</v>
      </c>
      <c r="B2" s="84" t="s">
        <v>950</v>
      </c>
      <c r="C2" s="82" t="s">
        <v>4779</v>
      </c>
      <c r="D2" s="82" t="s">
        <v>951</v>
      </c>
      <c r="E2" s="85" t="s">
        <v>4780</v>
      </c>
      <c r="F2" s="82">
        <v>2.3</v>
      </c>
    </row>
    <row r="3" spans="1:6" x14ac:dyDescent="0.25">
      <c r="A3" s="82" t="s">
        <v>3690</v>
      </c>
      <c r="B3" s="84" t="s">
        <v>950</v>
      </c>
      <c r="C3" s="82" t="s">
        <v>4779</v>
      </c>
      <c r="D3" s="82" t="s">
        <v>37</v>
      </c>
      <c r="E3" s="85" t="s">
        <v>4780</v>
      </c>
      <c r="F3" s="82">
        <v>0.45</v>
      </c>
    </row>
    <row r="4" spans="1:6" x14ac:dyDescent="0.25">
      <c r="A4" s="82" t="s">
        <v>3690</v>
      </c>
      <c r="B4" s="84" t="s">
        <v>950</v>
      </c>
      <c r="C4" s="82" t="s">
        <v>4779</v>
      </c>
      <c r="D4" s="82" t="s">
        <v>37</v>
      </c>
      <c r="E4" s="85" t="s">
        <v>4781</v>
      </c>
      <c r="F4" s="82">
        <v>0.3</v>
      </c>
    </row>
    <row r="5" spans="1:6" x14ac:dyDescent="0.25">
      <c r="A5" s="82" t="s">
        <v>3699</v>
      </c>
      <c r="B5" s="84" t="s">
        <v>950</v>
      </c>
      <c r="C5" s="82" t="s">
        <v>4779</v>
      </c>
      <c r="D5" s="82" t="s">
        <v>37</v>
      </c>
      <c r="E5" s="85" t="s">
        <v>4781</v>
      </c>
      <c r="F5" s="82">
        <v>0.3</v>
      </c>
    </row>
    <row r="6" spans="1:6" x14ac:dyDescent="0.25">
      <c r="A6" s="82" t="s">
        <v>3690</v>
      </c>
      <c r="B6" s="84" t="s">
        <v>962</v>
      </c>
      <c r="C6" s="82" t="s">
        <v>963</v>
      </c>
      <c r="D6" s="82" t="s">
        <v>4762</v>
      </c>
      <c r="E6" s="85" t="s">
        <v>4782</v>
      </c>
      <c r="F6" s="82">
        <v>0.45</v>
      </c>
    </row>
    <row r="7" spans="1:6" x14ac:dyDescent="0.25">
      <c r="A7" s="82" t="s">
        <v>3690</v>
      </c>
      <c r="B7" s="84" t="s">
        <v>968</v>
      </c>
      <c r="C7" s="82" t="s">
        <v>261</v>
      </c>
      <c r="D7" s="82" t="s">
        <v>4762</v>
      </c>
      <c r="E7" s="85" t="s">
        <v>4782</v>
      </c>
      <c r="F7" s="82">
        <v>0.3</v>
      </c>
    </row>
    <row r="8" spans="1:6" x14ac:dyDescent="0.25">
      <c r="A8" s="82" t="s">
        <v>3690</v>
      </c>
      <c r="B8" s="84" t="s">
        <v>284</v>
      </c>
      <c r="C8" s="82" t="s">
        <v>285</v>
      </c>
      <c r="D8" s="82" t="s">
        <v>4762</v>
      </c>
      <c r="E8" s="85" t="s">
        <v>4782</v>
      </c>
      <c r="F8" s="82">
        <v>2.3</v>
      </c>
    </row>
    <row r="9" spans="1:6" x14ac:dyDescent="0.25">
      <c r="A9" s="82" t="s">
        <v>3690</v>
      </c>
      <c r="B9" s="84" t="s">
        <v>4736</v>
      </c>
      <c r="C9" s="82" t="s">
        <v>974</v>
      </c>
      <c r="D9" s="82" t="s">
        <v>4762</v>
      </c>
      <c r="E9" s="85" t="s">
        <v>4783</v>
      </c>
      <c r="F9" s="82">
        <v>1</v>
      </c>
    </row>
    <row r="10" spans="1:6" x14ac:dyDescent="0.25">
      <c r="A10" s="82" t="s">
        <v>3690</v>
      </c>
      <c r="B10" s="84" t="s">
        <v>4737</v>
      </c>
      <c r="C10" s="82" t="s">
        <v>44</v>
      </c>
      <c r="D10" s="82" t="s">
        <v>4762</v>
      </c>
      <c r="E10" s="85" t="s">
        <v>4782</v>
      </c>
      <c r="F10" s="82">
        <v>0.3</v>
      </c>
    </row>
    <row r="11" spans="1:6" x14ac:dyDescent="0.25">
      <c r="A11" s="82" t="s">
        <v>3690</v>
      </c>
      <c r="B11" s="84" t="s">
        <v>4784</v>
      </c>
      <c r="C11" s="82" t="s">
        <v>3573</v>
      </c>
      <c r="D11" s="82" t="s">
        <v>4762</v>
      </c>
      <c r="E11" s="85" t="s">
        <v>4782</v>
      </c>
      <c r="F11" s="82">
        <v>3.3</v>
      </c>
    </row>
    <row r="12" spans="1:6" x14ac:dyDescent="0.25">
      <c r="A12" s="82" t="s">
        <v>3690</v>
      </c>
      <c r="B12" s="84" t="s">
        <v>4784</v>
      </c>
      <c r="C12" s="82" t="s">
        <v>3573</v>
      </c>
      <c r="D12" s="82" t="s">
        <v>4762</v>
      </c>
      <c r="E12" s="85" t="s">
        <v>4782</v>
      </c>
      <c r="F12" s="82">
        <v>1.3</v>
      </c>
    </row>
    <row r="13" spans="1:6" x14ac:dyDescent="0.25">
      <c r="A13" s="82" t="s">
        <v>3690</v>
      </c>
      <c r="B13" s="84" t="s">
        <v>4738</v>
      </c>
      <c r="C13" s="82" t="s">
        <v>3573</v>
      </c>
      <c r="D13" s="82" t="s">
        <v>4762</v>
      </c>
      <c r="E13" s="85" t="s">
        <v>4781</v>
      </c>
      <c r="F13" s="82">
        <v>0.45</v>
      </c>
    </row>
    <row r="14" spans="1:6" x14ac:dyDescent="0.25">
      <c r="A14" s="82" t="s">
        <v>3690</v>
      </c>
      <c r="B14" s="84" t="s">
        <v>988</v>
      </c>
      <c r="C14" s="82" t="s">
        <v>989</v>
      </c>
      <c r="D14" s="82" t="s">
        <v>4762</v>
      </c>
      <c r="E14" s="85" t="s">
        <v>4782</v>
      </c>
      <c r="F14" s="82">
        <v>3</v>
      </c>
    </row>
    <row r="15" spans="1:6" x14ac:dyDescent="0.25">
      <c r="A15" s="82" t="s">
        <v>3690</v>
      </c>
      <c r="B15" s="84" t="s">
        <v>988</v>
      </c>
      <c r="C15" s="82" t="s">
        <v>989</v>
      </c>
      <c r="D15" s="82" t="s">
        <v>4762</v>
      </c>
      <c r="E15" s="85" t="s">
        <v>4785</v>
      </c>
      <c r="F15" s="82">
        <v>2.3</v>
      </c>
    </row>
    <row r="16" spans="1:6" x14ac:dyDescent="0.25">
      <c r="A16" s="82" t="s">
        <v>3690</v>
      </c>
      <c r="B16" s="84" t="s">
        <v>988</v>
      </c>
      <c r="C16" s="82" t="s">
        <v>989</v>
      </c>
      <c r="D16" s="82" t="s">
        <v>4762</v>
      </c>
      <c r="E16" s="85" t="s">
        <v>4782</v>
      </c>
      <c r="F16" s="82">
        <v>4</v>
      </c>
    </row>
    <row r="17" spans="1:6" x14ac:dyDescent="0.25">
      <c r="A17" s="82" t="s">
        <v>3690</v>
      </c>
      <c r="B17" s="84" t="s">
        <v>988</v>
      </c>
      <c r="C17" s="82" t="s">
        <v>989</v>
      </c>
      <c r="D17" s="82" t="s">
        <v>4762</v>
      </c>
      <c r="E17" s="85" t="s">
        <v>4782</v>
      </c>
      <c r="F17" s="82">
        <v>4</v>
      </c>
    </row>
    <row r="18" spans="1:6" x14ac:dyDescent="0.25">
      <c r="A18" s="82" t="s">
        <v>3690</v>
      </c>
      <c r="B18" s="84" t="s">
        <v>998</v>
      </c>
      <c r="C18" s="82" t="s">
        <v>989</v>
      </c>
      <c r="D18" s="82" t="s">
        <v>4762</v>
      </c>
      <c r="E18" s="85" t="s">
        <v>4783</v>
      </c>
      <c r="F18" s="82">
        <v>0.3</v>
      </c>
    </row>
    <row r="19" spans="1:6" x14ac:dyDescent="0.25">
      <c r="A19" s="82" t="s">
        <v>3690</v>
      </c>
      <c r="B19" s="84" t="s">
        <v>1002</v>
      </c>
      <c r="C19" s="82" t="s">
        <v>1003</v>
      </c>
      <c r="D19" s="82" t="s">
        <v>4762</v>
      </c>
      <c r="E19" s="85" t="s">
        <v>4782</v>
      </c>
      <c r="F19" s="82">
        <v>0.45</v>
      </c>
    </row>
    <row r="20" spans="1:6" x14ac:dyDescent="0.25">
      <c r="A20" s="82" t="s">
        <v>3690</v>
      </c>
      <c r="B20" s="84" t="s">
        <v>1006</v>
      </c>
      <c r="C20" s="82" t="s">
        <v>989</v>
      </c>
      <c r="D20" s="82" t="s">
        <v>4762</v>
      </c>
      <c r="E20" s="85" t="s">
        <v>4783</v>
      </c>
      <c r="F20" s="82">
        <v>1</v>
      </c>
    </row>
    <row r="21" spans="1:6" x14ac:dyDescent="0.25">
      <c r="A21" s="82" t="s">
        <v>3690</v>
      </c>
      <c r="B21" s="84" t="s">
        <v>1009</v>
      </c>
      <c r="C21" s="82" t="s">
        <v>4779</v>
      </c>
      <c r="D21" s="82" t="s">
        <v>37</v>
      </c>
      <c r="E21" s="85" t="s">
        <v>4780</v>
      </c>
      <c r="F21" s="82">
        <v>0.3</v>
      </c>
    </row>
    <row r="22" spans="1:6" x14ac:dyDescent="0.25">
      <c r="A22" s="82" t="s">
        <v>3690</v>
      </c>
      <c r="B22" s="84" t="s">
        <v>4786</v>
      </c>
      <c r="C22" s="82" t="s">
        <v>3573</v>
      </c>
      <c r="D22" s="82" t="s">
        <v>4762</v>
      </c>
      <c r="E22" s="85" t="s">
        <v>4782</v>
      </c>
      <c r="F22" s="82">
        <v>0.3</v>
      </c>
    </row>
    <row r="23" spans="1:6" x14ac:dyDescent="0.25">
      <c r="A23" s="82" t="s">
        <v>3699</v>
      </c>
      <c r="B23" s="84" t="s">
        <v>1018</v>
      </c>
      <c r="C23" s="82" t="s">
        <v>1019</v>
      </c>
      <c r="D23" s="82" t="s">
        <v>4762</v>
      </c>
      <c r="E23" s="85" t="s">
        <v>4782</v>
      </c>
      <c r="F23" s="82">
        <v>0.3</v>
      </c>
    </row>
    <row r="24" spans="1:6" x14ac:dyDescent="0.25">
      <c r="A24" s="82" t="s">
        <v>3699</v>
      </c>
      <c r="B24" s="84" t="s">
        <v>4736</v>
      </c>
      <c r="C24" s="82" t="s">
        <v>974</v>
      </c>
      <c r="D24" s="82" t="s">
        <v>4762</v>
      </c>
      <c r="E24" s="85" t="s">
        <v>4782</v>
      </c>
      <c r="F24" s="82">
        <v>0.45</v>
      </c>
    </row>
    <row r="25" spans="1:6" x14ac:dyDescent="0.25">
      <c r="A25" s="82" t="s">
        <v>3699</v>
      </c>
      <c r="B25" s="84" t="s">
        <v>4787</v>
      </c>
      <c r="C25" s="82" t="s">
        <v>285</v>
      </c>
      <c r="D25" s="82" t="s">
        <v>4762</v>
      </c>
      <c r="E25" s="85" t="s">
        <v>4783</v>
      </c>
      <c r="F25" s="82">
        <v>0.3</v>
      </c>
    </row>
    <row r="26" spans="1:6" x14ac:dyDescent="0.25">
      <c r="A26" s="82" t="s">
        <v>3699</v>
      </c>
      <c r="B26" s="84" t="s">
        <v>3952</v>
      </c>
      <c r="C26" s="82" t="s">
        <v>261</v>
      </c>
      <c r="D26" s="82" t="s">
        <v>4762</v>
      </c>
      <c r="E26" s="85" t="s">
        <v>4781</v>
      </c>
      <c r="F26" s="82">
        <v>1</v>
      </c>
    </row>
    <row r="27" spans="1:6" x14ac:dyDescent="0.25">
      <c r="A27" s="82" t="s">
        <v>3699</v>
      </c>
      <c r="B27" s="84" t="s">
        <v>1002</v>
      </c>
      <c r="C27" s="82" t="s">
        <v>1003</v>
      </c>
      <c r="D27" s="82" t="s">
        <v>4762</v>
      </c>
      <c r="E27" s="85" t="s">
        <v>4782</v>
      </c>
      <c r="F27" s="82">
        <v>3.3</v>
      </c>
    </row>
    <row r="28" spans="1:6" x14ac:dyDescent="0.25">
      <c r="A28" s="82" t="s">
        <v>3699</v>
      </c>
      <c r="B28" s="84" t="s">
        <v>4786</v>
      </c>
      <c r="C28" s="82" t="s">
        <v>3573</v>
      </c>
      <c r="D28" s="82" t="s">
        <v>4762</v>
      </c>
      <c r="E28" s="85" t="s">
        <v>4782</v>
      </c>
      <c r="F28" s="82">
        <v>4</v>
      </c>
    </row>
  </sheetData>
  <pageMargins left="0.7" right="0.7" top="0.75" bottom="0.75" header="0.3" footer="0.3"/>
  <pageSetup paperSize="9"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1"/>
  <sheetViews>
    <sheetView workbookViewId="0" zoomScale="100" zoomScaleNormal="100">
      <selection activeCell="B9" sqref="B9"/>
    </sheetView>
  </sheetViews>
  <sheetFormatPr defaultRowHeight="12.75" outlineLevelRow="0" outlineLevelCol="0" x14ac:dyDescent="0.25" defaultColWidth="9.140625" customHeight="1"/>
  <cols>
    <col min="1" max="1" width="19.5703125" style="86" customWidth="1"/>
    <col min="2" max="2" width="16.85546875" style="81" customWidth="1"/>
    <col min="3" max="3" width="15.42578125" style="81" customWidth="1"/>
    <col min="4" max="4" width="16.42578125" style="81" customWidth="1"/>
    <col min="5" max="5" width="19.85546875" style="81" customWidth="1"/>
    <col min="6" max="6" width="13.140625" style="81" customWidth="1"/>
    <col min="7" max="7" width="10" style="81" customWidth="1"/>
    <col min="8" max="8" width="11.28515625" style="81" customWidth="1"/>
    <col min="9" max="9" width="22" style="81" customWidth="1"/>
    <col min="10" max="10" width="24.28515625" style="81" customWidth="1"/>
    <col min="11" max="11" width="27.42578125" style="81" customWidth="1"/>
    <col min="12" max="12" width="16.42578125" style="81" customWidth="1"/>
    <col min="13" max="13" width="6.28515625" style="81" customWidth="1"/>
    <col min="14" max="14" width="19.5703125" style="81" customWidth="1"/>
    <col min="15" max="15" width="11.28515625" style="81" customWidth="1"/>
    <col min="16" max="16" width="19.5703125" style="81" customWidth="1"/>
    <col min="17" max="17" width="11.28515625" style="81" customWidth="1"/>
    <col min="18" max="16384" width="9.140625" style="81" customWidth="1"/>
  </cols>
  <sheetData>
    <row r="1" spans="1:1" x14ac:dyDescent="0.25">
      <c r="A1" s="87" t="s">
        <v>4726</v>
      </c>
    </row>
    <row r="2" ht="15" customHeight="1" spans="1:2" x14ac:dyDescent="0.25">
      <c r="A2" s="86" t="s">
        <v>4788</v>
      </c>
      <c r="B2" s="81" t="s">
        <v>4728</v>
      </c>
    </row>
    <row r="3" ht="15" customHeight="1" spans="1:7" x14ac:dyDescent="0.25">
      <c r="A3" s="86" t="s">
        <v>4729</v>
      </c>
      <c r="B3" s="81" t="s">
        <v>4783</v>
      </c>
      <c r="C3" s="81" t="s">
        <v>4780</v>
      </c>
      <c r="D3" s="81" t="s">
        <v>4782</v>
      </c>
      <c r="E3" s="81" t="s">
        <v>4785</v>
      </c>
      <c r="F3" s="81" t="s">
        <v>4781</v>
      </c>
      <c r="G3" s="81" t="s">
        <v>4735</v>
      </c>
    </row>
    <row r="4" ht="15" customHeight="1" spans="1:7" x14ac:dyDescent="0.25">
      <c r="A4" s="86" t="s">
        <v>950</v>
      </c>
      <c r="C4" s="81">
        <v>2.75</v>
      </c>
      <c r="F4" s="81">
        <v>0.6</v>
      </c>
      <c r="G4" s="81">
        <v>3.35</v>
      </c>
    </row>
    <row r="5" ht="15" customHeight="1" spans="1:7" x14ac:dyDescent="0.25">
      <c r="A5" s="86" t="s">
        <v>962</v>
      </c>
      <c r="D5" s="81">
        <v>0.45</v>
      </c>
      <c r="G5" s="81">
        <v>0.45</v>
      </c>
    </row>
    <row r="6" ht="15" customHeight="1" spans="1:7" x14ac:dyDescent="0.25">
      <c r="A6" s="86" t="s">
        <v>968</v>
      </c>
      <c r="D6" s="81">
        <v>0.3</v>
      </c>
      <c r="G6" s="81">
        <v>0.3</v>
      </c>
    </row>
    <row r="7" ht="15" customHeight="1" spans="1:7" x14ac:dyDescent="0.25">
      <c r="A7" s="86" t="s">
        <v>1018</v>
      </c>
      <c r="D7" s="81">
        <v>0.3</v>
      </c>
      <c r="G7" s="81">
        <v>0.3</v>
      </c>
    </row>
    <row r="8" ht="15" customHeight="1" spans="1:7" x14ac:dyDescent="0.25">
      <c r="A8" s="86" t="s">
        <v>284</v>
      </c>
      <c r="D8" s="81">
        <v>2.3</v>
      </c>
      <c r="G8" s="81">
        <v>2.3</v>
      </c>
    </row>
    <row r="9" ht="15" customHeight="1" spans="1:7" x14ac:dyDescent="0.25">
      <c r="A9" s="86" t="s">
        <v>4736</v>
      </c>
      <c r="B9" s="81">
        <v>1</v>
      </c>
      <c r="D9" s="81">
        <v>0.45</v>
      </c>
      <c r="G9" s="81">
        <v>1.45</v>
      </c>
    </row>
    <row r="10" ht="15" customHeight="1" spans="1:7" x14ac:dyDescent="0.25">
      <c r="A10" s="86" t="s">
        <v>4737</v>
      </c>
      <c r="D10" s="81">
        <v>0.3</v>
      </c>
      <c r="G10" s="81">
        <v>0.3</v>
      </c>
    </row>
    <row r="11" ht="15" customHeight="1" spans="1:7" x14ac:dyDescent="0.25">
      <c r="A11" s="86" t="s">
        <v>4784</v>
      </c>
      <c r="D11" s="81">
        <v>4.6</v>
      </c>
      <c r="G11" s="81">
        <v>4.6</v>
      </c>
    </row>
    <row r="12" ht="15" customHeight="1" spans="1:7" x14ac:dyDescent="0.25">
      <c r="A12" s="86" t="s">
        <v>4738</v>
      </c>
      <c r="F12" s="81">
        <v>0.45</v>
      </c>
      <c r="G12" s="81">
        <v>0.45</v>
      </c>
    </row>
    <row r="13" ht="15" customHeight="1" spans="1:7" x14ac:dyDescent="0.25">
      <c r="A13" s="86" t="s">
        <v>988</v>
      </c>
      <c r="D13" s="81">
        <v>11</v>
      </c>
      <c r="E13" s="81">
        <v>2.3</v>
      </c>
      <c r="G13" s="81">
        <v>13.3</v>
      </c>
    </row>
    <row r="14" ht="15" customHeight="1" spans="1:7" x14ac:dyDescent="0.25">
      <c r="A14" s="86" t="s">
        <v>4787</v>
      </c>
      <c r="B14" s="81">
        <v>0.3</v>
      </c>
      <c r="G14" s="81">
        <v>0.3</v>
      </c>
    </row>
    <row r="15" ht="15" customHeight="1" spans="1:7" x14ac:dyDescent="0.25">
      <c r="A15" s="86" t="s">
        <v>998</v>
      </c>
      <c r="B15" s="81">
        <v>0.3</v>
      </c>
      <c r="G15" s="81">
        <v>0.3</v>
      </c>
    </row>
    <row r="16" ht="15" customHeight="1" spans="1:7" x14ac:dyDescent="0.25">
      <c r="A16" s="86" t="s">
        <v>3952</v>
      </c>
      <c r="F16" s="81">
        <v>1</v>
      </c>
      <c r="G16" s="81">
        <v>1</v>
      </c>
    </row>
    <row r="17" ht="15" customHeight="1" spans="1:7" x14ac:dyDescent="0.25">
      <c r="A17" s="86" t="s">
        <v>1002</v>
      </c>
      <c r="D17" s="81">
        <v>3.75</v>
      </c>
      <c r="G17" s="81">
        <v>3.75</v>
      </c>
    </row>
    <row r="18" ht="15" customHeight="1" spans="1:7" x14ac:dyDescent="0.25">
      <c r="A18" s="86" t="s">
        <v>1006</v>
      </c>
      <c r="B18" s="81">
        <v>1</v>
      </c>
      <c r="G18" s="81">
        <v>1</v>
      </c>
    </row>
    <row r="19" ht="15" customHeight="1" spans="1:7" x14ac:dyDescent="0.25">
      <c r="A19" s="86" t="s">
        <v>1009</v>
      </c>
      <c r="C19" s="81">
        <v>0.3</v>
      </c>
      <c r="G19" s="81">
        <v>0.3</v>
      </c>
    </row>
    <row r="20" ht="15" customHeight="1" spans="1:7" x14ac:dyDescent="0.25">
      <c r="A20" s="86" t="s">
        <v>4786</v>
      </c>
      <c r="D20" s="81">
        <v>4.3</v>
      </c>
      <c r="G20" s="81">
        <v>4.3</v>
      </c>
    </row>
    <row r="21" ht="15" customHeight="1" spans="1:7" x14ac:dyDescent="0.25">
      <c r="A21" s="86" t="s">
        <v>4735</v>
      </c>
      <c r="B21" s="81">
        <v>2.6</v>
      </c>
      <c r="C21" s="81">
        <v>3.05</v>
      </c>
      <c r="D21" s="81">
        <v>27.75</v>
      </c>
      <c r="E21" s="81">
        <v>2.3</v>
      </c>
      <c r="F21" s="81">
        <v>2.05</v>
      </c>
      <c r="G21" s="81">
        <v>37.75</v>
      </c>
    </row>
    <row r="23" spans="1:1" x14ac:dyDescent="0.25">
      <c r="A23" s="87" t="s">
        <v>4789</v>
      </c>
    </row>
    <row r="24" ht="15" customHeight="1" spans="1:2" x14ac:dyDescent="0.25">
      <c r="A24" s="86" t="s">
        <v>4755</v>
      </c>
      <c r="B24" s="81" t="s">
        <v>4728</v>
      </c>
    </row>
    <row r="25" ht="15" customHeight="1" spans="1:7" x14ac:dyDescent="0.25">
      <c r="A25" s="86" t="s">
        <v>4729</v>
      </c>
      <c r="B25" s="81" t="s">
        <v>4783</v>
      </c>
      <c r="C25" s="81" t="s">
        <v>4780</v>
      </c>
      <c r="D25" s="81" t="s">
        <v>4782</v>
      </c>
      <c r="E25" s="81" t="s">
        <v>4785</v>
      </c>
      <c r="F25" s="81" t="s">
        <v>4781</v>
      </c>
      <c r="G25" s="81" t="s">
        <v>4735</v>
      </c>
    </row>
    <row r="26" ht="15" customHeight="1" spans="1:7" x14ac:dyDescent="0.25">
      <c r="A26" s="86" t="s">
        <v>1019</v>
      </c>
      <c r="D26" s="81">
        <v>1</v>
      </c>
      <c r="G26" s="81">
        <v>1</v>
      </c>
    </row>
    <row r="27" ht="15" customHeight="1" spans="1:7" x14ac:dyDescent="0.25">
      <c r="A27" s="86" t="s">
        <v>974</v>
      </c>
      <c r="B27" s="81">
        <v>1</v>
      </c>
      <c r="D27" s="81">
        <v>1</v>
      </c>
      <c r="G27" s="81">
        <v>2</v>
      </c>
    </row>
    <row r="28" ht="15" customHeight="1" spans="1:7" x14ac:dyDescent="0.25">
      <c r="A28" s="86" t="s">
        <v>285</v>
      </c>
      <c r="B28" s="81">
        <v>1</v>
      </c>
      <c r="D28" s="81">
        <v>1</v>
      </c>
      <c r="G28" s="81">
        <v>2</v>
      </c>
    </row>
    <row r="29" ht="15" customHeight="1" spans="1:7" x14ac:dyDescent="0.25">
      <c r="A29" s="86" t="s">
        <v>963</v>
      </c>
      <c r="D29" s="81">
        <v>1</v>
      </c>
      <c r="G29" s="81">
        <v>1</v>
      </c>
    </row>
    <row r="30" ht="15" customHeight="1" spans="1:7" x14ac:dyDescent="0.25">
      <c r="A30" s="86" t="s">
        <v>261</v>
      </c>
      <c r="D30" s="81">
        <v>1</v>
      </c>
      <c r="F30" s="81">
        <v>1</v>
      </c>
      <c r="G30" s="81">
        <v>2</v>
      </c>
    </row>
    <row r="31" ht="15" customHeight="1" spans="1:7" x14ac:dyDescent="0.25">
      <c r="A31" s="86" t="s">
        <v>4779</v>
      </c>
      <c r="C31" s="81">
        <v>3</v>
      </c>
      <c r="F31" s="81">
        <v>2</v>
      </c>
      <c r="G31" s="81">
        <v>5</v>
      </c>
    </row>
    <row r="32" ht="15" customHeight="1" spans="1:7" x14ac:dyDescent="0.25">
      <c r="A32" s="86" t="s">
        <v>44</v>
      </c>
      <c r="D32" s="81">
        <v>1</v>
      </c>
      <c r="G32" s="81">
        <v>1</v>
      </c>
    </row>
    <row r="33" ht="15" customHeight="1" spans="1:7" x14ac:dyDescent="0.25">
      <c r="A33" s="86" t="s">
        <v>989</v>
      </c>
      <c r="B33" s="81">
        <v>2</v>
      </c>
      <c r="D33" s="81">
        <v>3</v>
      </c>
      <c r="E33" s="81">
        <v>1</v>
      </c>
      <c r="G33" s="81">
        <v>6</v>
      </c>
    </row>
    <row r="34" ht="15" customHeight="1" spans="1:7" x14ac:dyDescent="0.25">
      <c r="A34" s="86" t="s">
        <v>1003</v>
      </c>
      <c r="D34" s="81">
        <v>2</v>
      </c>
      <c r="G34" s="81">
        <v>2</v>
      </c>
    </row>
    <row r="35" ht="15" customHeight="1" spans="1:7" x14ac:dyDescent="0.25">
      <c r="A35" s="86" t="s">
        <v>3573</v>
      </c>
      <c r="D35" s="81">
        <v>4</v>
      </c>
      <c r="F35" s="81">
        <v>1</v>
      </c>
      <c r="G35" s="81">
        <v>5</v>
      </c>
    </row>
    <row r="36" ht="15" customHeight="1" spans="1:7" x14ac:dyDescent="0.25">
      <c r="A36" s="86" t="s">
        <v>4735</v>
      </c>
      <c r="B36" s="81">
        <v>4</v>
      </c>
      <c r="C36" s="81">
        <v>3</v>
      </c>
      <c r="D36" s="81">
        <v>15</v>
      </c>
      <c r="E36" s="81">
        <v>1</v>
      </c>
      <c r="F36" s="81">
        <v>4</v>
      </c>
      <c r="G36" s="81">
        <v>27</v>
      </c>
    </row>
    <row r="37" ht="15" customHeight="1" x14ac:dyDescent="0.25"/>
    <row r="40" spans="1:1" x14ac:dyDescent="0.25">
      <c r="A40" s="81"/>
    </row>
    <row r="41" spans="1:1" x14ac:dyDescent="0.25">
      <c r="A41" s="81"/>
    </row>
    <row r="42" spans="1:1" x14ac:dyDescent="0.25">
      <c r="A42" s="81"/>
    </row>
    <row r="43" spans="1:1" x14ac:dyDescent="0.25">
      <c r="A43" s="81"/>
    </row>
    <row r="44" spans="1:1" x14ac:dyDescent="0.25">
      <c r="A44" s="81"/>
    </row>
    <row r="45" spans="1:1" x14ac:dyDescent="0.25">
      <c r="A45" s="81"/>
    </row>
    <row r="46" spans="1:1" x14ac:dyDescent="0.25">
      <c r="A46" s="81"/>
    </row>
    <row r="47" spans="1:1" x14ac:dyDescent="0.25">
      <c r="A47" s="81"/>
    </row>
    <row r="48" spans="1:1" x14ac:dyDescent="0.25">
      <c r="A48" s="81"/>
    </row>
    <row r="49" spans="1:1" x14ac:dyDescent="0.25">
      <c r="A49" s="81"/>
    </row>
    <row r="50" spans="1:1" x14ac:dyDescent="0.25">
      <c r="A50" s="81"/>
    </row>
    <row r="51" spans="1:1" x14ac:dyDescent="0.25">
      <c r="A51" s="81"/>
    </row>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sheetData>
  <pageMargins left="0.7" right="0.7" top="0.75" bottom="0.75" header="0.3" footer="0.3"/>
  <pageSetup paperSize="9" orientation="portrait" horizontalDpi="4294967295" verticalDpi="300"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64"/>
  <sheetViews>
    <sheetView workbookViewId="0" zoomScale="100" zoomScaleNormal="100">
      <selection activeCell="F12" sqref="F12"/>
    </sheetView>
  </sheetViews>
  <sheetFormatPr defaultRowHeight="15" outlineLevelRow="0" outlineLevelCol="0" x14ac:dyDescent="0.25" defaultColWidth="9.140625"/>
  <cols>
    <col min="1" max="1" width="14.28515625" customWidth="1"/>
    <col min="2" max="2" width="11.5703125" customWidth="1"/>
    <col min="3" max="3" width="6.140625" customWidth="1"/>
    <col min="4" max="4" width="7" customWidth="1"/>
    <col min="5" max="6" width="5.5703125" customWidth="1"/>
    <col min="7" max="8" width="4.42578125" customWidth="1"/>
    <col min="9" max="9" width="5.5703125" customWidth="1"/>
    <col min="10" max="10" width="4.28515625" customWidth="1"/>
    <col min="11" max="11" width="5" customWidth="1"/>
    <col min="12" max="12" width="4.5703125" customWidth="1"/>
    <col min="13" max="13" width="5.7109375" customWidth="1"/>
    <col min="14" max="14" width="5.5703125" customWidth="1"/>
    <col min="15" max="15" width="5.7109375" customWidth="1"/>
    <col min="16" max="16384" width="9.140625" customWidth="1"/>
  </cols>
  <sheetData>
    <row r="2" ht="25.5" customHeight="1" spans="1:15" x14ac:dyDescent="0.25">
      <c r="A2" s="80" t="s">
        <v>4755</v>
      </c>
      <c r="B2" s="80" t="s">
        <v>4728</v>
      </c>
      <c r="C2" s="81"/>
      <c r="D2" s="81"/>
      <c r="E2" s="81"/>
      <c r="F2" s="81"/>
      <c r="G2" s="81"/>
      <c r="H2" s="81"/>
      <c r="I2" s="81"/>
      <c r="J2" s="81"/>
      <c r="K2" s="81"/>
      <c r="L2" s="81"/>
      <c r="M2" s="81"/>
      <c r="N2" s="81"/>
      <c r="O2" s="81"/>
    </row>
    <row r="3" ht="63.75" customHeight="1" spans="1:15" s="17" customFormat="1" x14ac:dyDescent="0.25">
      <c r="A3" s="80" t="s">
        <v>4729</v>
      </c>
      <c r="B3" s="80" t="s">
        <v>50</v>
      </c>
      <c r="C3" s="80" t="s">
        <v>953</v>
      </c>
      <c r="D3" s="80" t="s">
        <v>28</v>
      </c>
      <c r="E3" s="80" t="s">
        <v>4730</v>
      </c>
      <c r="F3" s="80" t="s">
        <v>96</v>
      </c>
      <c r="G3" s="80" t="s">
        <v>255</v>
      </c>
      <c r="H3" s="80" t="s">
        <v>670</v>
      </c>
      <c r="I3" s="80" t="s">
        <v>4731</v>
      </c>
      <c r="J3" s="80" t="s">
        <v>4732</v>
      </c>
      <c r="K3" s="80" t="s">
        <v>1368</v>
      </c>
      <c r="L3" s="80" t="s">
        <v>4733</v>
      </c>
      <c r="M3" s="80" t="s">
        <v>4734</v>
      </c>
      <c r="N3" s="80" t="s">
        <v>507</v>
      </c>
      <c r="O3" s="80" t="s">
        <v>4735</v>
      </c>
    </row>
    <row r="4" spans="1:15" x14ac:dyDescent="0.25">
      <c r="A4" s="81" t="s">
        <v>3690</v>
      </c>
      <c r="B4" s="81"/>
      <c r="C4" s="81"/>
      <c r="D4" s="81"/>
      <c r="E4" s="81"/>
      <c r="F4" s="81"/>
      <c r="G4" s="81"/>
      <c r="H4" s="81"/>
      <c r="I4" s="81"/>
      <c r="J4" s="81"/>
      <c r="K4" s="81"/>
      <c r="L4" s="81"/>
      <c r="M4" s="81"/>
      <c r="N4" s="81"/>
      <c r="O4" s="81"/>
    </row>
    <row r="5" spans="1:15" x14ac:dyDescent="0.25">
      <c r="A5" s="81" t="s">
        <v>4762</v>
      </c>
      <c r="B5" s="81">
        <v>2</v>
      </c>
      <c r="C5" s="81"/>
      <c r="D5" s="81">
        <v>12</v>
      </c>
      <c r="E5" s="81">
        <v>2</v>
      </c>
      <c r="F5" s="81">
        <v>1</v>
      </c>
      <c r="G5" s="81">
        <v>2</v>
      </c>
      <c r="H5" s="81"/>
      <c r="I5" s="81"/>
      <c r="J5" s="81"/>
      <c r="K5" s="81"/>
      <c r="L5" s="81"/>
      <c r="M5" s="81"/>
      <c r="N5" s="81"/>
      <c r="O5" s="81">
        <v>19</v>
      </c>
    </row>
    <row r="6" spans="1:15" x14ac:dyDescent="0.25">
      <c r="A6" s="81" t="s">
        <v>37</v>
      </c>
      <c r="B6" s="81">
        <v>1</v>
      </c>
      <c r="C6" s="81">
        <v>3</v>
      </c>
      <c r="D6" s="81">
        <v>7</v>
      </c>
      <c r="E6" s="81"/>
      <c r="F6" s="81"/>
      <c r="G6" s="81"/>
      <c r="H6" s="81"/>
      <c r="I6" s="81"/>
      <c r="J6" s="81"/>
      <c r="K6" s="81"/>
      <c r="L6" s="81"/>
      <c r="M6" s="81"/>
      <c r="N6" s="81"/>
      <c r="O6" s="81">
        <v>11</v>
      </c>
    </row>
    <row r="7" spans="1:15" x14ac:dyDescent="0.25">
      <c r="A7" s="81" t="s">
        <v>951</v>
      </c>
      <c r="B7" s="81"/>
      <c r="C7" s="81">
        <v>1</v>
      </c>
      <c r="D7" s="81">
        <v>1</v>
      </c>
      <c r="E7" s="81"/>
      <c r="F7" s="81"/>
      <c r="G7" s="81"/>
      <c r="H7" s="81"/>
      <c r="I7" s="81"/>
      <c r="J7" s="81"/>
      <c r="K7" s="81"/>
      <c r="L7" s="81"/>
      <c r="M7" s="81"/>
      <c r="N7" s="81"/>
      <c r="O7" s="81">
        <v>2</v>
      </c>
    </row>
    <row r="8" spans="1:15" x14ac:dyDescent="0.25">
      <c r="A8" s="81" t="s">
        <v>4763</v>
      </c>
      <c r="B8" s="81">
        <v>3</v>
      </c>
      <c r="C8" s="81">
        <v>4</v>
      </c>
      <c r="D8" s="81">
        <v>20</v>
      </c>
      <c r="E8" s="81">
        <v>2</v>
      </c>
      <c r="F8" s="81">
        <v>1</v>
      </c>
      <c r="G8" s="81">
        <v>2</v>
      </c>
      <c r="H8" s="81"/>
      <c r="I8" s="81"/>
      <c r="J8" s="81"/>
      <c r="K8" s="81"/>
      <c r="L8" s="81"/>
      <c r="M8" s="81"/>
      <c r="N8" s="81"/>
      <c r="O8" s="81">
        <v>32</v>
      </c>
    </row>
    <row r="9" spans="1:15" x14ac:dyDescent="0.25">
      <c r="A9" s="81" t="s">
        <v>3699</v>
      </c>
      <c r="B9" s="81"/>
      <c r="C9" s="81"/>
      <c r="D9" s="81"/>
      <c r="E9" s="81"/>
      <c r="F9" s="81"/>
      <c r="G9" s="81"/>
      <c r="H9" s="81"/>
      <c r="I9" s="81"/>
      <c r="J9" s="81"/>
      <c r="K9" s="81"/>
      <c r="L9" s="81"/>
      <c r="M9" s="81"/>
      <c r="N9" s="81"/>
      <c r="O9" s="81"/>
    </row>
    <row r="10" spans="1:15" x14ac:dyDescent="0.25">
      <c r="A10" s="81" t="s">
        <v>4762</v>
      </c>
      <c r="B10" s="81">
        <v>2</v>
      </c>
      <c r="C10" s="81"/>
      <c r="D10" s="81">
        <v>11</v>
      </c>
      <c r="E10" s="81"/>
      <c r="F10" s="81"/>
      <c r="G10" s="81">
        <v>1</v>
      </c>
      <c r="H10" s="81"/>
      <c r="I10" s="81"/>
      <c r="J10" s="81"/>
      <c r="K10" s="81"/>
      <c r="L10" s="81"/>
      <c r="M10" s="81"/>
      <c r="N10" s="81"/>
      <c r="O10" s="81">
        <v>14</v>
      </c>
    </row>
    <row r="11" spans="1:15" x14ac:dyDescent="0.25">
      <c r="A11" s="81" t="s">
        <v>37</v>
      </c>
      <c r="B11" s="81">
        <v>1</v>
      </c>
      <c r="C11" s="81"/>
      <c r="D11" s="81">
        <v>4</v>
      </c>
      <c r="E11" s="81"/>
      <c r="F11" s="81"/>
      <c r="G11" s="81">
        <v>2</v>
      </c>
      <c r="H11" s="81"/>
      <c r="I11" s="81"/>
      <c r="J11" s="81"/>
      <c r="K11" s="81"/>
      <c r="L11" s="81"/>
      <c r="M11" s="81"/>
      <c r="N11" s="81"/>
      <c r="O11" s="81">
        <v>7</v>
      </c>
    </row>
    <row r="12" spans="1:15" x14ac:dyDescent="0.25">
      <c r="A12" s="81" t="s">
        <v>4764</v>
      </c>
      <c r="B12" s="81">
        <v>3</v>
      </c>
      <c r="C12" s="81"/>
      <c r="D12" s="81">
        <v>15</v>
      </c>
      <c r="E12" s="81"/>
      <c r="F12" s="81"/>
      <c r="G12" s="81">
        <v>3</v>
      </c>
      <c r="H12" s="81"/>
      <c r="I12" s="81"/>
      <c r="J12" s="81"/>
      <c r="K12" s="81"/>
      <c r="L12" s="81"/>
      <c r="M12" s="81"/>
      <c r="N12" s="81"/>
      <c r="O12" s="81">
        <v>21</v>
      </c>
    </row>
    <row r="13" spans="1:15" x14ac:dyDescent="0.25">
      <c r="A13" s="81" t="s">
        <v>3708</v>
      </c>
      <c r="B13" s="81"/>
      <c r="C13" s="81"/>
      <c r="D13" s="81"/>
      <c r="E13" s="81"/>
      <c r="F13" s="81"/>
      <c r="G13" s="81"/>
      <c r="H13" s="81"/>
      <c r="I13" s="81"/>
      <c r="J13" s="81"/>
      <c r="K13" s="81"/>
      <c r="L13" s="81"/>
      <c r="M13" s="81"/>
      <c r="N13" s="81"/>
      <c r="O13" s="81"/>
    </row>
    <row r="14" spans="1:15" x14ac:dyDescent="0.25">
      <c r="A14" s="81" t="s">
        <v>4762</v>
      </c>
      <c r="B14" s="81">
        <v>1</v>
      </c>
      <c r="C14" s="81"/>
      <c r="D14" s="81">
        <v>4</v>
      </c>
      <c r="E14" s="81">
        <v>2</v>
      </c>
      <c r="F14" s="81"/>
      <c r="G14" s="81">
        <v>3</v>
      </c>
      <c r="H14" s="81"/>
      <c r="I14" s="81"/>
      <c r="J14" s="81"/>
      <c r="K14" s="81"/>
      <c r="L14" s="81"/>
      <c r="M14" s="81"/>
      <c r="N14" s="81"/>
      <c r="O14" s="81">
        <v>10</v>
      </c>
    </row>
    <row r="15" spans="1:15" x14ac:dyDescent="0.25">
      <c r="A15" s="81" t="s">
        <v>37</v>
      </c>
      <c r="B15" s="81"/>
      <c r="C15" s="81">
        <v>1</v>
      </c>
      <c r="D15" s="81">
        <v>4</v>
      </c>
      <c r="E15" s="81"/>
      <c r="F15" s="81"/>
      <c r="G15" s="81">
        <v>1</v>
      </c>
      <c r="H15" s="81">
        <v>1</v>
      </c>
      <c r="I15" s="81">
        <v>1</v>
      </c>
      <c r="J15" s="81"/>
      <c r="K15" s="81"/>
      <c r="L15" s="81"/>
      <c r="M15" s="81"/>
      <c r="N15" s="81"/>
      <c r="O15" s="81">
        <v>8</v>
      </c>
    </row>
    <row r="16" spans="1:15" x14ac:dyDescent="0.25">
      <c r="A16" s="81" t="s">
        <v>951</v>
      </c>
      <c r="B16" s="81"/>
      <c r="C16" s="81"/>
      <c r="D16" s="81">
        <v>2</v>
      </c>
      <c r="E16" s="81"/>
      <c r="F16" s="81"/>
      <c r="G16" s="81"/>
      <c r="H16" s="81"/>
      <c r="I16" s="81"/>
      <c r="J16" s="81"/>
      <c r="K16" s="81"/>
      <c r="L16" s="81"/>
      <c r="M16" s="81"/>
      <c r="N16" s="81"/>
      <c r="O16" s="81">
        <v>2</v>
      </c>
    </row>
    <row r="17" spans="1:15" x14ac:dyDescent="0.25">
      <c r="A17" s="81" t="s">
        <v>4765</v>
      </c>
      <c r="B17" s="81">
        <v>1</v>
      </c>
      <c r="C17" s="81">
        <v>1</v>
      </c>
      <c r="D17" s="81">
        <v>10</v>
      </c>
      <c r="E17" s="81">
        <v>2</v>
      </c>
      <c r="F17" s="81"/>
      <c r="G17" s="81">
        <v>4</v>
      </c>
      <c r="H17" s="81">
        <v>1</v>
      </c>
      <c r="I17" s="81">
        <v>1</v>
      </c>
      <c r="J17" s="81"/>
      <c r="K17" s="81"/>
      <c r="L17" s="81"/>
      <c r="M17" s="81"/>
      <c r="N17" s="81"/>
      <c r="O17" s="81">
        <v>20</v>
      </c>
    </row>
    <row r="18" spans="1:15" x14ac:dyDescent="0.25">
      <c r="A18" s="81" t="s">
        <v>3725</v>
      </c>
      <c r="B18" s="81"/>
      <c r="C18" s="81"/>
      <c r="D18" s="81"/>
      <c r="E18" s="81"/>
      <c r="F18" s="81"/>
      <c r="G18" s="81"/>
      <c r="H18" s="81"/>
      <c r="I18" s="81"/>
      <c r="J18" s="81"/>
      <c r="K18" s="81"/>
      <c r="L18" s="81"/>
      <c r="M18" s="81"/>
      <c r="N18" s="81"/>
      <c r="O18" s="81"/>
    </row>
    <row r="19" spans="1:15" x14ac:dyDescent="0.25">
      <c r="A19" s="81" t="s">
        <v>4762</v>
      </c>
      <c r="B19" s="81">
        <v>1</v>
      </c>
      <c r="C19" s="81"/>
      <c r="D19" s="81">
        <v>6</v>
      </c>
      <c r="E19" s="81"/>
      <c r="F19" s="81"/>
      <c r="G19" s="81">
        <v>2</v>
      </c>
      <c r="H19" s="81"/>
      <c r="I19" s="81"/>
      <c r="J19" s="81"/>
      <c r="K19" s="81"/>
      <c r="L19" s="81"/>
      <c r="M19" s="81"/>
      <c r="N19" s="81"/>
      <c r="O19" s="81">
        <v>9</v>
      </c>
    </row>
    <row r="20" spans="1:15" x14ac:dyDescent="0.25">
      <c r="A20" s="81" t="s">
        <v>37</v>
      </c>
      <c r="B20" s="81"/>
      <c r="C20" s="81"/>
      <c r="D20" s="81">
        <v>2</v>
      </c>
      <c r="E20" s="81"/>
      <c r="F20" s="81"/>
      <c r="G20" s="81"/>
      <c r="H20" s="81"/>
      <c r="I20" s="81"/>
      <c r="J20" s="81"/>
      <c r="K20" s="81"/>
      <c r="L20" s="81"/>
      <c r="M20" s="81"/>
      <c r="N20" s="81"/>
      <c r="O20" s="81">
        <v>2</v>
      </c>
    </row>
    <row r="21" spans="1:15" x14ac:dyDescent="0.25">
      <c r="A21" s="81" t="s">
        <v>4766</v>
      </c>
      <c r="B21" s="81">
        <v>1</v>
      </c>
      <c r="C21" s="81"/>
      <c r="D21" s="81">
        <v>8</v>
      </c>
      <c r="E21" s="81"/>
      <c r="F21" s="81"/>
      <c r="G21" s="81">
        <v>2</v>
      </c>
      <c r="H21" s="81"/>
      <c r="I21" s="81"/>
      <c r="J21" s="81"/>
      <c r="K21" s="81"/>
      <c r="L21" s="81"/>
      <c r="M21" s="81"/>
      <c r="N21" s="81"/>
      <c r="O21" s="81">
        <v>11</v>
      </c>
    </row>
    <row r="22" spans="1:15" x14ac:dyDescent="0.25">
      <c r="A22" s="81" t="s">
        <v>3733</v>
      </c>
      <c r="B22" s="81"/>
      <c r="C22" s="81"/>
      <c r="D22" s="81"/>
      <c r="E22" s="81"/>
      <c r="F22" s="81"/>
      <c r="G22" s="81"/>
      <c r="H22" s="81"/>
      <c r="I22" s="81"/>
      <c r="J22" s="81"/>
      <c r="K22" s="81"/>
      <c r="L22" s="81"/>
      <c r="M22" s="81"/>
      <c r="N22" s="81"/>
      <c r="O22" s="81"/>
    </row>
    <row r="23" spans="1:15" x14ac:dyDescent="0.25">
      <c r="A23" s="81" t="s">
        <v>4762</v>
      </c>
      <c r="B23" s="81"/>
      <c r="C23" s="81"/>
      <c r="D23" s="81">
        <v>4</v>
      </c>
      <c r="E23" s="81"/>
      <c r="F23" s="81"/>
      <c r="G23" s="81">
        <v>1</v>
      </c>
      <c r="H23" s="81"/>
      <c r="I23" s="81"/>
      <c r="J23" s="81"/>
      <c r="K23" s="81"/>
      <c r="L23" s="81">
        <v>1</v>
      </c>
      <c r="M23" s="81"/>
      <c r="N23" s="81"/>
      <c r="O23" s="81">
        <v>6</v>
      </c>
    </row>
    <row r="24" spans="1:15" x14ac:dyDescent="0.25">
      <c r="A24" s="81" t="s">
        <v>37</v>
      </c>
      <c r="B24" s="81"/>
      <c r="C24" s="81"/>
      <c r="D24" s="81">
        <v>12</v>
      </c>
      <c r="E24" s="81"/>
      <c r="F24" s="81"/>
      <c r="G24" s="81"/>
      <c r="H24" s="81"/>
      <c r="I24" s="81"/>
      <c r="J24" s="81"/>
      <c r="K24" s="81"/>
      <c r="L24" s="81">
        <v>1</v>
      </c>
      <c r="M24" s="81"/>
      <c r="N24" s="81"/>
      <c r="O24" s="81">
        <v>13</v>
      </c>
    </row>
    <row r="25" spans="1:15" x14ac:dyDescent="0.25">
      <c r="A25" s="81" t="s">
        <v>951</v>
      </c>
      <c r="B25" s="81">
        <v>1</v>
      </c>
      <c r="C25" s="81">
        <v>1</v>
      </c>
      <c r="D25" s="81"/>
      <c r="E25" s="81"/>
      <c r="F25" s="81"/>
      <c r="G25" s="81"/>
      <c r="H25" s="81"/>
      <c r="I25" s="81">
        <v>1</v>
      </c>
      <c r="J25" s="81"/>
      <c r="K25" s="81"/>
      <c r="L25" s="81"/>
      <c r="M25" s="81"/>
      <c r="N25" s="81"/>
      <c r="O25" s="81">
        <v>3</v>
      </c>
    </row>
    <row r="26" spans="1:15" x14ac:dyDescent="0.25">
      <c r="A26" s="81" t="s">
        <v>4767</v>
      </c>
      <c r="B26" s="81"/>
      <c r="C26" s="81"/>
      <c r="D26" s="81">
        <v>2</v>
      </c>
      <c r="E26" s="81"/>
      <c r="F26" s="81"/>
      <c r="G26" s="81"/>
      <c r="H26" s="81"/>
      <c r="I26" s="81"/>
      <c r="J26" s="81"/>
      <c r="K26" s="81"/>
      <c r="L26" s="81"/>
      <c r="M26" s="81"/>
      <c r="N26" s="81"/>
      <c r="O26" s="81">
        <v>2</v>
      </c>
    </row>
    <row r="27" spans="1:15" x14ac:dyDescent="0.25">
      <c r="A27" s="81" t="s">
        <v>4768</v>
      </c>
      <c r="B27" s="81"/>
      <c r="C27" s="81"/>
      <c r="D27" s="81">
        <v>1</v>
      </c>
      <c r="E27" s="81"/>
      <c r="F27" s="81"/>
      <c r="G27" s="81"/>
      <c r="H27" s="81"/>
      <c r="I27" s="81"/>
      <c r="J27" s="81"/>
      <c r="K27" s="81"/>
      <c r="L27" s="81"/>
      <c r="M27" s="81"/>
      <c r="N27" s="81"/>
      <c r="O27" s="81">
        <v>1</v>
      </c>
    </row>
    <row r="28" spans="1:15" x14ac:dyDescent="0.25">
      <c r="A28" s="81" t="s">
        <v>4769</v>
      </c>
      <c r="B28" s="81">
        <v>1</v>
      </c>
      <c r="C28" s="81">
        <v>1</v>
      </c>
      <c r="D28" s="81">
        <v>19</v>
      </c>
      <c r="E28" s="81"/>
      <c r="F28" s="81"/>
      <c r="G28" s="81">
        <v>1</v>
      </c>
      <c r="H28" s="81"/>
      <c r="I28" s="81">
        <v>1</v>
      </c>
      <c r="J28" s="81"/>
      <c r="K28" s="81"/>
      <c r="L28" s="81">
        <v>2</v>
      </c>
      <c r="M28" s="81"/>
      <c r="N28" s="81"/>
      <c r="O28" s="81">
        <v>25</v>
      </c>
    </row>
    <row r="29" spans="1:15" x14ac:dyDescent="0.25">
      <c r="A29" s="81" t="s">
        <v>3576</v>
      </c>
      <c r="B29" s="81"/>
      <c r="C29" s="81"/>
      <c r="D29" s="81"/>
      <c r="E29" s="81"/>
      <c r="F29" s="81"/>
      <c r="G29" s="81"/>
      <c r="H29" s="81"/>
      <c r="I29" s="81"/>
      <c r="J29" s="81"/>
      <c r="K29" s="81"/>
      <c r="L29" s="81"/>
      <c r="M29" s="81"/>
      <c r="N29" s="81"/>
      <c r="O29" s="81"/>
    </row>
    <row r="30" spans="1:15" x14ac:dyDescent="0.25">
      <c r="A30" s="81" t="s">
        <v>4762</v>
      </c>
      <c r="B30" s="81">
        <v>3</v>
      </c>
      <c r="C30" s="81"/>
      <c r="D30" s="81">
        <v>7</v>
      </c>
      <c r="E30" s="81"/>
      <c r="F30" s="81"/>
      <c r="G30" s="81">
        <v>1</v>
      </c>
      <c r="H30" s="81"/>
      <c r="I30" s="81"/>
      <c r="J30" s="81"/>
      <c r="K30" s="81"/>
      <c r="L30" s="81"/>
      <c r="M30" s="81"/>
      <c r="N30" s="81"/>
      <c r="O30" s="81">
        <v>11</v>
      </c>
    </row>
    <row r="31" spans="1:15" x14ac:dyDescent="0.25">
      <c r="A31" s="81" t="s">
        <v>37</v>
      </c>
      <c r="B31" s="81"/>
      <c r="C31" s="81">
        <v>3</v>
      </c>
      <c r="D31" s="81">
        <v>8</v>
      </c>
      <c r="E31" s="81">
        <v>1</v>
      </c>
      <c r="F31" s="81"/>
      <c r="G31" s="81">
        <v>3</v>
      </c>
      <c r="H31" s="81"/>
      <c r="I31" s="81"/>
      <c r="J31" s="81"/>
      <c r="K31" s="81">
        <v>1</v>
      </c>
      <c r="L31" s="81"/>
      <c r="M31" s="81"/>
      <c r="N31" s="81"/>
      <c r="O31" s="81">
        <v>16</v>
      </c>
    </row>
    <row r="32" spans="1:15" x14ac:dyDescent="0.25">
      <c r="A32" s="81" t="s">
        <v>951</v>
      </c>
      <c r="B32" s="81"/>
      <c r="C32" s="81">
        <v>2</v>
      </c>
      <c r="D32" s="81">
        <v>3</v>
      </c>
      <c r="E32" s="81"/>
      <c r="F32" s="81"/>
      <c r="G32" s="81"/>
      <c r="H32" s="81"/>
      <c r="I32" s="81"/>
      <c r="J32" s="81"/>
      <c r="K32" s="81"/>
      <c r="L32" s="81"/>
      <c r="M32" s="81"/>
      <c r="N32" s="81"/>
      <c r="O32" s="81">
        <v>5</v>
      </c>
    </row>
    <row r="33" spans="1:15" x14ac:dyDescent="0.25">
      <c r="A33" s="81" t="s">
        <v>4770</v>
      </c>
      <c r="B33" s="81">
        <v>3</v>
      </c>
      <c r="C33" s="81">
        <v>5</v>
      </c>
      <c r="D33" s="81">
        <v>18</v>
      </c>
      <c r="E33" s="81">
        <v>1</v>
      </c>
      <c r="F33" s="81"/>
      <c r="G33" s="81">
        <v>4</v>
      </c>
      <c r="H33" s="81"/>
      <c r="I33" s="81"/>
      <c r="J33" s="81"/>
      <c r="K33" s="81">
        <v>1</v>
      </c>
      <c r="L33" s="81"/>
      <c r="M33" s="81"/>
      <c r="N33" s="81"/>
      <c r="O33" s="81">
        <v>32</v>
      </c>
    </row>
    <row r="34" spans="1:15" x14ac:dyDescent="0.25">
      <c r="A34" s="81" t="s">
        <v>3594</v>
      </c>
      <c r="B34" s="81"/>
      <c r="C34" s="81"/>
      <c r="D34" s="81"/>
      <c r="E34" s="81"/>
      <c r="F34" s="81"/>
      <c r="G34" s="81"/>
      <c r="H34" s="81"/>
      <c r="I34" s="81"/>
      <c r="J34" s="81"/>
      <c r="K34" s="81"/>
      <c r="L34" s="81"/>
      <c r="M34" s="81"/>
      <c r="N34" s="81"/>
      <c r="O34" s="81"/>
    </row>
    <row r="35" spans="1:15" x14ac:dyDescent="0.25">
      <c r="A35" s="81" t="s">
        <v>4762</v>
      </c>
      <c r="B35" s="81">
        <v>3</v>
      </c>
      <c r="C35" s="81">
        <v>2</v>
      </c>
      <c r="D35" s="81">
        <v>6</v>
      </c>
      <c r="E35" s="81"/>
      <c r="F35" s="81"/>
      <c r="G35" s="81">
        <v>1</v>
      </c>
      <c r="H35" s="81">
        <v>1</v>
      </c>
      <c r="I35" s="81"/>
      <c r="J35" s="81"/>
      <c r="K35" s="81"/>
      <c r="L35" s="81"/>
      <c r="M35" s="81"/>
      <c r="N35" s="81"/>
      <c r="O35" s="81">
        <v>13</v>
      </c>
    </row>
    <row r="36" spans="1:15" x14ac:dyDescent="0.25">
      <c r="A36" s="81" t="s">
        <v>37</v>
      </c>
      <c r="B36" s="81">
        <v>2</v>
      </c>
      <c r="C36" s="81">
        <v>1</v>
      </c>
      <c r="D36" s="81">
        <v>9</v>
      </c>
      <c r="E36" s="81">
        <v>1</v>
      </c>
      <c r="F36" s="81"/>
      <c r="G36" s="81">
        <v>2</v>
      </c>
      <c r="H36" s="81">
        <v>1</v>
      </c>
      <c r="I36" s="81"/>
      <c r="J36" s="81"/>
      <c r="K36" s="81"/>
      <c r="L36" s="81"/>
      <c r="M36" s="81"/>
      <c r="N36" s="81"/>
      <c r="O36" s="81">
        <v>16</v>
      </c>
    </row>
    <row r="37" spans="1:15" x14ac:dyDescent="0.25">
      <c r="A37" s="81" t="s">
        <v>4771</v>
      </c>
      <c r="B37" s="81">
        <v>5</v>
      </c>
      <c r="C37" s="81">
        <v>3</v>
      </c>
      <c r="D37" s="81">
        <v>15</v>
      </c>
      <c r="E37" s="81">
        <v>1</v>
      </c>
      <c r="F37" s="81"/>
      <c r="G37" s="81">
        <v>3</v>
      </c>
      <c r="H37" s="81">
        <v>2</v>
      </c>
      <c r="I37" s="81"/>
      <c r="J37" s="81"/>
      <c r="K37" s="81"/>
      <c r="L37" s="81"/>
      <c r="M37" s="81"/>
      <c r="N37" s="81"/>
      <c r="O37" s="81">
        <v>29</v>
      </c>
    </row>
    <row r="38" spans="1:15" x14ac:dyDescent="0.25">
      <c r="A38" s="81" t="s">
        <v>3613</v>
      </c>
      <c r="B38" s="81"/>
      <c r="C38" s="81"/>
      <c r="D38" s="81"/>
      <c r="E38" s="81"/>
      <c r="F38" s="81"/>
      <c r="G38" s="81"/>
      <c r="H38" s="81"/>
      <c r="I38" s="81"/>
      <c r="J38" s="81"/>
      <c r="K38" s="81"/>
      <c r="L38" s="81"/>
      <c r="M38" s="81"/>
      <c r="N38" s="81"/>
      <c r="O38" s="81"/>
    </row>
    <row r="39" spans="1:15" x14ac:dyDescent="0.25">
      <c r="A39" s="81" t="s">
        <v>4762</v>
      </c>
      <c r="B39" s="81">
        <v>2</v>
      </c>
      <c r="C39" s="81">
        <v>1</v>
      </c>
      <c r="D39" s="81">
        <v>5</v>
      </c>
      <c r="E39" s="81"/>
      <c r="F39" s="81">
        <v>1</v>
      </c>
      <c r="G39" s="81"/>
      <c r="H39" s="81"/>
      <c r="I39" s="81"/>
      <c r="J39" s="81"/>
      <c r="K39" s="81"/>
      <c r="L39" s="81"/>
      <c r="M39" s="81"/>
      <c r="N39" s="81"/>
      <c r="O39" s="81">
        <v>9</v>
      </c>
    </row>
    <row r="40" spans="1:15" x14ac:dyDescent="0.25">
      <c r="A40" s="81" t="s">
        <v>37</v>
      </c>
      <c r="B40" s="81">
        <v>3</v>
      </c>
      <c r="C40" s="81">
        <v>3</v>
      </c>
      <c r="D40" s="81">
        <v>10</v>
      </c>
      <c r="E40" s="81"/>
      <c r="F40" s="81"/>
      <c r="G40" s="81">
        <v>3</v>
      </c>
      <c r="H40" s="81"/>
      <c r="I40" s="81"/>
      <c r="J40" s="81"/>
      <c r="K40" s="81"/>
      <c r="L40" s="81"/>
      <c r="M40" s="81"/>
      <c r="N40" s="81"/>
      <c r="O40" s="81">
        <v>19</v>
      </c>
    </row>
    <row r="41" spans="1:15" x14ac:dyDescent="0.25">
      <c r="A41" s="81" t="s">
        <v>951</v>
      </c>
      <c r="B41" s="81"/>
      <c r="C41" s="81">
        <v>1</v>
      </c>
      <c r="D41" s="81"/>
      <c r="E41" s="81"/>
      <c r="F41" s="81"/>
      <c r="G41" s="81"/>
      <c r="H41" s="81"/>
      <c r="I41" s="81">
        <v>2</v>
      </c>
      <c r="J41" s="81"/>
      <c r="K41" s="81"/>
      <c r="L41" s="81"/>
      <c r="M41" s="81"/>
      <c r="N41" s="81"/>
      <c r="O41" s="81">
        <v>3</v>
      </c>
    </row>
    <row r="42" spans="1:15" x14ac:dyDescent="0.25">
      <c r="A42" s="81" t="s">
        <v>4772</v>
      </c>
      <c r="B42" s="81">
        <v>5</v>
      </c>
      <c r="C42" s="81">
        <v>5</v>
      </c>
      <c r="D42" s="81">
        <v>15</v>
      </c>
      <c r="E42" s="81"/>
      <c r="F42" s="81">
        <v>1</v>
      </c>
      <c r="G42" s="81">
        <v>3</v>
      </c>
      <c r="H42" s="81"/>
      <c r="I42" s="81">
        <v>2</v>
      </c>
      <c r="J42" s="81"/>
      <c r="K42" s="81"/>
      <c r="L42" s="81"/>
      <c r="M42" s="81"/>
      <c r="N42" s="81"/>
      <c r="O42" s="81">
        <v>31</v>
      </c>
    </row>
    <row r="43" spans="1:15" x14ac:dyDescent="0.25">
      <c r="A43" s="81" t="s">
        <v>3624</v>
      </c>
      <c r="B43" s="81"/>
      <c r="C43" s="81"/>
      <c r="D43" s="81"/>
      <c r="E43" s="81"/>
      <c r="F43" s="81"/>
      <c r="G43" s="81"/>
      <c r="H43" s="81"/>
      <c r="I43" s="81"/>
      <c r="J43" s="81"/>
      <c r="K43" s="81"/>
      <c r="L43" s="81"/>
      <c r="M43" s="81"/>
      <c r="N43" s="81"/>
      <c r="O43" s="81"/>
    </row>
    <row r="44" spans="1:15" x14ac:dyDescent="0.25">
      <c r="A44" s="81" t="s">
        <v>4762</v>
      </c>
      <c r="B44" s="81">
        <v>2</v>
      </c>
      <c r="C44" s="81"/>
      <c r="D44" s="81">
        <v>3</v>
      </c>
      <c r="E44" s="81"/>
      <c r="F44" s="81"/>
      <c r="G44" s="81"/>
      <c r="H44" s="81"/>
      <c r="I44" s="81">
        <v>1</v>
      </c>
      <c r="J44" s="81"/>
      <c r="K44" s="81"/>
      <c r="L44" s="81"/>
      <c r="M44" s="81"/>
      <c r="N44" s="81"/>
      <c r="O44" s="81">
        <v>6</v>
      </c>
    </row>
    <row r="45" spans="1:15" x14ac:dyDescent="0.25">
      <c r="A45" s="81" t="s">
        <v>37</v>
      </c>
      <c r="B45" s="81"/>
      <c r="C45" s="81"/>
      <c r="D45" s="81">
        <v>7</v>
      </c>
      <c r="E45" s="81"/>
      <c r="F45" s="81">
        <v>1</v>
      </c>
      <c r="G45" s="81">
        <v>1</v>
      </c>
      <c r="H45" s="81"/>
      <c r="I45" s="81">
        <v>1</v>
      </c>
      <c r="J45" s="81"/>
      <c r="K45" s="81"/>
      <c r="L45" s="81"/>
      <c r="M45" s="81"/>
      <c r="N45" s="81"/>
      <c r="O45" s="81">
        <v>10</v>
      </c>
    </row>
    <row r="46" spans="1:15" x14ac:dyDescent="0.25">
      <c r="A46" s="81" t="s">
        <v>951</v>
      </c>
      <c r="B46" s="81">
        <v>1</v>
      </c>
      <c r="C46" s="81"/>
      <c r="D46" s="81">
        <v>2</v>
      </c>
      <c r="E46" s="81"/>
      <c r="F46" s="81"/>
      <c r="G46" s="81"/>
      <c r="H46" s="81"/>
      <c r="I46" s="81"/>
      <c r="J46" s="81"/>
      <c r="K46" s="81"/>
      <c r="L46" s="81"/>
      <c r="M46" s="81"/>
      <c r="N46" s="81"/>
      <c r="O46" s="81">
        <v>3</v>
      </c>
    </row>
    <row r="47" spans="1:15" x14ac:dyDescent="0.25">
      <c r="A47" s="81" t="s">
        <v>713</v>
      </c>
      <c r="B47" s="81">
        <v>2</v>
      </c>
      <c r="C47" s="81"/>
      <c r="D47" s="81">
        <v>1</v>
      </c>
      <c r="E47" s="81"/>
      <c r="F47" s="81"/>
      <c r="G47" s="81"/>
      <c r="H47" s="81">
        <v>1</v>
      </c>
      <c r="I47" s="81"/>
      <c r="J47" s="81"/>
      <c r="K47" s="81"/>
      <c r="L47" s="81"/>
      <c r="M47" s="81"/>
      <c r="N47" s="81"/>
      <c r="O47" s="81">
        <v>4</v>
      </c>
    </row>
    <row r="48" spans="1:15" x14ac:dyDescent="0.25">
      <c r="A48" s="81" t="s">
        <v>4773</v>
      </c>
      <c r="B48" s="81">
        <v>5</v>
      </c>
      <c r="C48" s="81"/>
      <c r="D48" s="81">
        <v>13</v>
      </c>
      <c r="E48" s="81"/>
      <c r="F48" s="81">
        <v>1</v>
      </c>
      <c r="G48" s="81">
        <v>1</v>
      </c>
      <c r="H48" s="81">
        <v>1</v>
      </c>
      <c r="I48" s="81">
        <v>2</v>
      </c>
      <c r="J48" s="81"/>
      <c r="K48" s="81"/>
      <c r="L48" s="81"/>
      <c r="M48" s="81"/>
      <c r="N48" s="81"/>
      <c r="O48" s="81">
        <v>23</v>
      </c>
    </row>
    <row r="49" spans="1:15" x14ac:dyDescent="0.25">
      <c r="A49" s="81" t="s">
        <v>3646</v>
      </c>
      <c r="B49" s="81"/>
      <c r="C49" s="81"/>
      <c r="D49" s="81"/>
      <c r="E49" s="81"/>
      <c r="F49" s="81"/>
      <c r="G49" s="81"/>
      <c r="H49" s="81"/>
      <c r="I49" s="81"/>
      <c r="J49" s="81"/>
      <c r="K49" s="81"/>
      <c r="L49" s="81"/>
      <c r="M49" s="81"/>
      <c r="N49" s="81"/>
      <c r="O49" s="81"/>
    </row>
    <row r="50" spans="1:15" x14ac:dyDescent="0.25">
      <c r="A50" s="81" t="s">
        <v>4762</v>
      </c>
      <c r="B50" s="81">
        <v>4</v>
      </c>
      <c r="C50" s="81">
        <v>1</v>
      </c>
      <c r="D50" s="81">
        <v>12</v>
      </c>
      <c r="E50" s="81">
        <v>1</v>
      </c>
      <c r="F50" s="81"/>
      <c r="G50" s="81"/>
      <c r="H50" s="81"/>
      <c r="I50" s="81"/>
      <c r="J50" s="81"/>
      <c r="K50" s="81"/>
      <c r="L50" s="81"/>
      <c r="M50" s="81"/>
      <c r="N50" s="81"/>
      <c r="O50" s="81">
        <v>18</v>
      </c>
    </row>
    <row r="51" spans="1:15" x14ac:dyDescent="0.25">
      <c r="A51" s="81" t="s">
        <v>37</v>
      </c>
      <c r="B51" s="81"/>
      <c r="C51" s="81">
        <v>3</v>
      </c>
      <c r="D51" s="81">
        <v>8</v>
      </c>
      <c r="E51" s="81"/>
      <c r="F51" s="81"/>
      <c r="G51" s="81"/>
      <c r="H51" s="81"/>
      <c r="I51" s="81">
        <v>1</v>
      </c>
      <c r="J51" s="81"/>
      <c r="K51" s="81"/>
      <c r="L51" s="81"/>
      <c r="M51" s="81"/>
      <c r="N51" s="81"/>
      <c r="O51" s="81">
        <v>12</v>
      </c>
    </row>
    <row r="52" spans="1:15" x14ac:dyDescent="0.25">
      <c r="A52" s="81" t="s">
        <v>951</v>
      </c>
      <c r="B52" s="81">
        <v>1</v>
      </c>
      <c r="C52" s="81"/>
      <c r="D52" s="81">
        <v>1</v>
      </c>
      <c r="E52" s="81"/>
      <c r="F52" s="81"/>
      <c r="G52" s="81"/>
      <c r="H52" s="81"/>
      <c r="I52" s="81"/>
      <c r="J52" s="81"/>
      <c r="K52" s="81"/>
      <c r="L52" s="81"/>
      <c r="M52" s="81"/>
      <c r="N52" s="81"/>
      <c r="O52" s="81">
        <v>2</v>
      </c>
    </row>
    <row r="53" spans="1:15" x14ac:dyDescent="0.25">
      <c r="A53" s="81" t="s">
        <v>4774</v>
      </c>
      <c r="B53" s="81">
        <v>5</v>
      </c>
      <c r="C53" s="81">
        <v>4</v>
      </c>
      <c r="D53" s="81">
        <v>21</v>
      </c>
      <c r="E53" s="81">
        <v>1</v>
      </c>
      <c r="F53" s="81"/>
      <c r="G53" s="81"/>
      <c r="H53" s="81"/>
      <c r="I53" s="81">
        <v>1</v>
      </c>
      <c r="J53" s="81"/>
      <c r="K53" s="81"/>
      <c r="L53" s="81"/>
      <c r="M53" s="81"/>
      <c r="N53" s="81"/>
      <c r="O53" s="81">
        <v>32</v>
      </c>
    </row>
    <row r="54" spans="1:15" x14ac:dyDescent="0.25">
      <c r="A54" s="81" t="s">
        <v>3663</v>
      </c>
      <c r="B54" s="81"/>
      <c r="C54" s="81"/>
      <c r="D54" s="81"/>
      <c r="E54" s="81"/>
      <c r="F54" s="81"/>
      <c r="G54" s="81"/>
      <c r="H54" s="81"/>
      <c r="I54" s="81"/>
      <c r="J54" s="81"/>
      <c r="K54" s="81"/>
      <c r="L54" s="81"/>
      <c r="M54" s="81"/>
      <c r="N54" s="81"/>
      <c r="O54" s="81"/>
    </row>
    <row r="55" spans="1:15" x14ac:dyDescent="0.25">
      <c r="A55" s="81" t="s">
        <v>4762</v>
      </c>
      <c r="B55" s="81">
        <v>1</v>
      </c>
      <c r="C55" s="81"/>
      <c r="D55" s="81">
        <v>4</v>
      </c>
      <c r="E55" s="81"/>
      <c r="F55" s="81"/>
      <c r="G55" s="81">
        <v>3</v>
      </c>
      <c r="H55" s="81"/>
      <c r="I55" s="81"/>
      <c r="J55" s="81"/>
      <c r="K55" s="81"/>
      <c r="L55" s="81"/>
      <c r="M55" s="81"/>
      <c r="N55" s="81"/>
      <c r="O55" s="81">
        <v>8</v>
      </c>
    </row>
    <row r="56" spans="1:15" x14ac:dyDescent="0.25">
      <c r="A56" s="81" t="s">
        <v>37</v>
      </c>
      <c r="B56" s="81"/>
      <c r="C56" s="81">
        <v>1</v>
      </c>
      <c r="D56" s="81">
        <v>9</v>
      </c>
      <c r="E56" s="81"/>
      <c r="F56" s="81"/>
      <c r="G56" s="81"/>
      <c r="H56" s="81">
        <v>2</v>
      </c>
      <c r="I56" s="81">
        <v>1</v>
      </c>
      <c r="J56" s="81">
        <v>1</v>
      </c>
      <c r="K56" s="81"/>
      <c r="L56" s="81"/>
      <c r="M56" s="81"/>
      <c r="N56" s="81"/>
      <c r="O56" s="81">
        <v>14</v>
      </c>
    </row>
    <row r="57" spans="1:15" x14ac:dyDescent="0.25">
      <c r="A57" s="81" t="s">
        <v>951</v>
      </c>
      <c r="B57" s="81"/>
      <c r="C57" s="81"/>
      <c r="D57" s="81"/>
      <c r="E57" s="81"/>
      <c r="F57" s="81"/>
      <c r="G57" s="81">
        <v>1</v>
      </c>
      <c r="H57" s="81"/>
      <c r="I57" s="81">
        <v>1</v>
      </c>
      <c r="J57" s="81"/>
      <c r="K57" s="81"/>
      <c r="L57" s="81"/>
      <c r="M57" s="81"/>
      <c r="N57" s="81"/>
      <c r="O57" s="81">
        <v>2</v>
      </c>
    </row>
    <row r="58" spans="1:15" x14ac:dyDescent="0.25">
      <c r="A58" s="81" t="s">
        <v>4775</v>
      </c>
      <c r="B58" s="81">
        <v>1</v>
      </c>
      <c r="C58" s="81">
        <v>1</v>
      </c>
      <c r="D58" s="81">
        <v>13</v>
      </c>
      <c r="E58" s="81"/>
      <c r="F58" s="81"/>
      <c r="G58" s="81">
        <v>4</v>
      </c>
      <c r="H58" s="81">
        <v>2</v>
      </c>
      <c r="I58" s="81">
        <v>2</v>
      </c>
      <c r="J58" s="81">
        <v>1</v>
      </c>
      <c r="K58" s="81"/>
      <c r="L58" s="81"/>
      <c r="M58" s="81"/>
      <c r="N58" s="81"/>
      <c r="O58" s="81">
        <v>24</v>
      </c>
    </row>
    <row r="59" spans="1:15" x14ac:dyDescent="0.25">
      <c r="A59" s="81" t="s">
        <v>3676</v>
      </c>
      <c r="B59" s="81"/>
      <c r="C59" s="81"/>
      <c r="D59" s="81"/>
      <c r="E59" s="81"/>
      <c r="F59" s="81"/>
      <c r="G59" s="81"/>
      <c r="H59" s="81"/>
      <c r="I59" s="81"/>
      <c r="J59" s="81"/>
      <c r="K59" s="81"/>
      <c r="L59" s="81"/>
      <c r="M59" s="81"/>
      <c r="N59" s="81"/>
      <c r="O59" s="81"/>
    </row>
    <row r="60" spans="1:15" x14ac:dyDescent="0.25">
      <c r="A60" s="81" t="s">
        <v>4762</v>
      </c>
      <c r="B60" s="81"/>
      <c r="C60" s="81">
        <v>1</v>
      </c>
      <c r="D60" s="81">
        <v>6</v>
      </c>
      <c r="E60" s="81">
        <v>1</v>
      </c>
      <c r="F60" s="81"/>
      <c r="G60" s="81">
        <v>2</v>
      </c>
      <c r="H60" s="81">
        <v>1</v>
      </c>
      <c r="I60" s="81"/>
      <c r="J60" s="81"/>
      <c r="K60" s="81"/>
      <c r="L60" s="81"/>
      <c r="M60" s="81">
        <v>1</v>
      </c>
      <c r="N60" s="81"/>
      <c r="O60" s="81">
        <v>12</v>
      </c>
    </row>
    <row r="61" spans="1:15" x14ac:dyDescent="0.25">
      <c r="A61" s="81" t="s">
        <v>37</v>
      </c>
      <c r="B61" s="81">
        <v>1</v>
      </c>
      <c r="C61" s="81">
        <v>3</v>
      </c>
      <c r="D61" s="81">
        <v>4</v>
      </c>
      <c r="E61" s="81"/>
      <c r="F61" s="81"/>
      <c r="G61" s="81"/>
      <c r="H61" s="81"/>
      <c r="I61" s="81"/>
      <c r="J61" s="81"/>
      <c r="K61" s="81"/>
      <c r="L61" s="81"/>
      <c r="M61" s="81"/>
      <c r="N61" s="81">
        <v>1</v>
      </c>
      <c r="O61" s="81">
        <v>9</v>
      </c>
    </row>
    <row r="62" spans="1:15" x14ac:dyDescent="0.25">
      <c r="A62" s="81" t="s">
        <v>951</v>
      </c>
      <c r="B62" s="81"/>
      <c r="C62" s="81">
        <v>1</v>
      </c>
      <c r="D62" s="81"/>
      <c r="E62" s="81"/>
      <c r="F62" s="81"/>
      <c r="G62" s="81">
        <v>6</v>
      </c>
      <c r="H62" s="81"/>
      <c r="I62" s="81"/>
      <c r="J62" s="81"/>
      <c r="K62" s="81">
        <v>1</v>
      </c>
      <c r="L62" s="81"/>
      <c r="M62" s="81"/>
      <c r="N62" s="81"/>
      <c r="O62" s="81">
        <v>8</v>
      </c>
    </row>
    <row r="63" spans="1:15" x14ac:dyDescent="0.25">
      <c r="A63" s="81" t="s">
        <v>4776</v>
      </c>
      <c r="B63" s="81">
        <v>1</v>
      </c>
      <c r="C63" s="81">
        <v>5</v>
      </c>
      <c r="D63" s="81">
        <v>10</v>
      </c>
      <c r="E63" s="81">
        <v>1</v>
      </c>
      <c r="F63" s="81"/>
      <c r="G63" s="81">
        <v>8</v>
      </c>
      <c r="H63" s="81">
        <v>1</v>
      </c>
      <c r="I63" s="81"/>
      <c r="J63" s="81"/>
      <c r="K63" s="81">
        <v>1</v>
      </c>
      <c r="L63" s="81"/>
      <c r="M63" s="81">
        <v>1</v>
      </c>
      <c r="N63" s="81">
        <v>1</v>
      </c>
      <c r="O63" s="81">
        <v>29</v>
      </c>
    </row>
    <row r="64" spans="1:15" x14ac:dyDescent="0.25">
      <c r="A64" s="81" t="s">
        <v>4735</v>
      </c>
      <c r="B64" s="81">
        <v>34</v>
      </c>
      <c r="C64" s="81">
        <v>29</v>
      </c>
      <c r="D64" s="81">
        <v>177</v>
      </c>
      <c r="E64" s="81">
        <v>8</v>
      </c>
      <c r="F64" s="81">
        <v>3</v>
      </c>
      <c r="G64" s="81">
        <v>35</v>
      </c>
      <c r="H64" s="81">
        <v>7</v>
      </c>
      <c r="I64" s="81">
        <v>9</v>
      </c>
      <c r="J64" s="81">
        <v>1</v>
      </c>
      <c r="K64" s="81">
        <v>2</v>
      </c>
      <c r="L64" s="81">
        <v>2</v>
      </c>
      <c r="M64" s="81">
        <v>1</v>
      </c>
      <c r="N64" s="81">
        <v>1</v>
      </c>
      <c r="O64" s="81">
        <v>309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5"/>
  <sheetViews>
    <sheetView workbookViewId="0" zoomScale="100" zoomScaleNormal="100">
      <selection activeCell="E34" sqref="E34"/>
    </sheetView>
  </sheetViews>
  <sheetFormatPr defaultRowHeight="12.75" outlineLevelRow="0" outlineLevelCol="0" x14ac:dyDescent="0.2" defaultColWidth="9.140625" customHeight="1"/>
  <cols>
    <col min="1" max="1" width="35.7109375" style="75" customWidth="1"/>
    <col min="2" max="2" width="18.140625" style="75" customWidth="1"/>
    <col min="3" max="3" width="10.85546875" style="75" customWidth="1"/>
    <col min="4" max="4" width="12.85546875" style="75" customWidth="1"/>
    <col min="5" max="5" width="13.5703125" style="75" customWidth="1"/>
    <col min="6" max="6" width="11.28515625" style="75" customWidth="1"/>
    <col min="7" max="7" width="8.85546875" style="75" customWidth="1"/>
    <col min="8" max="8" width="13.42578125" style="75" customWidth="1"/>
    <col min="9" max="9" width="14.5703125" style="75" customWidth="1"/>
    <col min="10" max="10" width="8.85546875" style="75" customWidth="1"/>
    <col min="11" max="11" width="14.140625" style="75" customWidth="1"/>
    <col min="12" max="12" width="9" style="75" customWidth="1"/>
    <col min="13" max="13" width="17.28515625" style="75" customWidth="1"/>
    <col min="14" max="14" width="9.5703125" style="75" customWidth="1"/>
    <col min="15" max="15" width="10" style="75" customWidth="1"/>
    <col min="16" max="16" width="29.85546875" style="75" customWidth="1"/>
    <col min="17" max="17" width="31.42578125" style="75" customWidth="1"/>
    <col min="18" max="18" width="29.85546875" style="75" customWidth="1"/>
    <col min="19" max="19" width="31.42578125" style="75" customWidth="1"/>
    <col min="20" max="20" width="29.85546875" style="75" customWidth="1"/>
    <col min="21" max="21" width="31.42578125" style="75" customWidth="1"/>
    <col min="22" max="22" width="29.85546875" style="75" customWidth="1"/>
    <col min="23" max="23" width="31.42578125" style="75" customWidth="1"/>
    <col min="24" max="24" width="29.85546875" style="75" customWidth="1"/>
    <col min="25" max="25" width="31.42578125" style="75" customWidth="1"/>
    <col min="26" max="26" width="29.85546875" style="75" customWidth="1"/>
    <col min="27" max="27" width="31.42578125" style="75" customWidth="1"/>
    <col min="28" max="28" width="34.28515625" style="75" customWidth="1"/>
    <col min="29" max="29" width="35.85546875" style="75" customWidth="1"/>
    <col min="30" max="16384" width="9.140625" style="75" customWidth="1"/>
  </cols>
  <sheetData>
    <row r="1" spans="1:1" x14ac:dyDescent="0.25">
      <c r="A1" s="76" t="s">
        <v>4726</v>
      </c>
    </row>
    <row r="2" ht="15" customHeight="1" spans="1:2" x14ac:dyDescent="0.25">
      <c r="A2" s="75" t="s">
        <v>4727</v>
      </c>
      <c r="B2" s="75" t="s">
        <v>4728</v>
      </c>
    </row>
    <row r="3" ht="15" customHeight="1" spans="1:15" x14ac:dyDescent="0.25">
      <c r="A3" s="75" t="s">
        <v>4729</v>
      </c>
      <c r="B3" s="75" t="s">
        <v>50</v>
      </c>
      <c r="C3" s="75" t="s">
        <v>953</v>
      </c>
      <c r="D3" s="75" t="s">
        <v>28</v>
      </c>
      <c r="E3" s="75" t="s">
        <v>4730</v>
      </c>
      <c r="F3" s="75" t="s">
        <v>96</v>
      </c>
      <c r="G3" s="75" t="s">
        <v>255</v>
      </c>
      <c r="H3" s="75" t="s">
        <v>670</v>
      </c>
      <c r="I3" s="75" t="s">
        <v>4731</v>
      </c>
      <c r="J3" s="75" t="s">
        <v>4732</v>
      </c>
      <c r="K3" s="75" t="s">
        <v>1368</v>
      </c>
      <c r="L3" s="75" t="s">
        <v>4733</v>
      </c>
      <c r="M3" s="75" t="s">
        <v>4734</v>
      </c>
      <c r="N3" s="75" t="s">
        <v>507</v>
      </c>
      <c r="O3" s="75" t="s">
        <v>4735</v>
      </c>
    </row>
    <row r="4" ht="15" customHeight="1" spans="1:15" x14ac:dyDescent="0.25">
      <c r="A4" s="77" t="s">
        <v>950</v>
      </c>
      <c r="B4" s="78">
        <v>0.041666666667879326</v>
      </c>
      <c r="C4" s="78">
        <v>0.15625</v>
      </c>
      <c r="D4" s="78">
        <v>0.07291666666787933</v>
      </c>
      <c r="E4" s="78"/>
      <c r="F4" s="78"/>
      <c r="G4" s="78">
        <v>0.0625</v>
      </c>
      <c r="H4" s="78"/>
      <c r="I4" s="78"/>
      <c r="J4" s="78"/>
      <c r="K4" s="78"/>
      <c r="L4" s="78"/>
      <c r="M4" s="78"/>
      <c r="N4" s="78"/>
      <c r="O4" s="78">
        <v>0.3333333333321207</v>
      </c>
    </row>
    <row r="5" ht="15" customHeight="1" spans="1:15" x14ac:dyDescent="0.25">
      <c r="A5" s="77" t="s">
        <v>962</v>
      </c>
      <c r="B5" s="78"/>
      <c r="C5" s="78">
        <v>0.020833333332120674</v>
      </c>
      <c r="D5" s="78">
        <v>0.15625</v>
      </c>
      <c r="E5" s="78"/>
      <c r="F5" s="78"/>
      <c r="G5" s="78"/>
      <c r="H5" s="78"/>
      <c r="I5" s="78"/>
      <c r="J5" s="78"/>
      <c r="K5" s="78"/>
      <c r="L5" s="78"/>
      <c r="M5" s="78"/>
      <c r="N5" s="78"/>
      <c r="O5" s="78">
        <v>0.17708333333212067</v>
      </c>
    </row>
    <row r="6" ht="15" customHeight="1" spans="1:15" x14ac:dyDescent="0.25">
      <c r="A6" s="77" t="s">
        <v>968</v>
      </c>
      <c r="B6" s="78"/>
      <c r="C6" s="78"/>
      <c r="D6" s="78">
        <v>0.14583333333212067</v>
      </c>
      <c r="E6" s="78"/>
      <c r="F6" s="78"/>
      <c r="G6" s="78"/>
      <c r="H6" s="78"/>
      <c r="I6" s="78"/>
      <c r="J6" s="78"/>
      <c r="K6" s="78"/>
      <c r="L6" s="78"/>
      <c r="M6" s="78"/>
      <c r="N6" s="78"/>
      <c r="O6" s="78">
        <v>0.14583333333212067</v>
      </c>
    </row>
    <row r="7" ht="15" customHeight="1" spans="1:15" x14ac:dyDescent="0.25">
      <c r="A7" s="77" t="s">
        <v>1018</v>
      </c>
      <c r="B7" s="78"/>
      <c r="C7" s="78">
        <v>0.006944444445252884</v>
      </c>
      <c r="D7" s="78">
        <v>0.49652777777737356</v>
      </c>
      <c r="E7" s="78"/>
      <c r="F7" s="78"/>
      <c r="G7" s="78"/>
      <c r="H7" s="78"/>
      <c r="I7" s="78"/>
      <c r="J7" s="78"/>
      <c r="K7" s="78"/>
      <c r="L7" s="78"/>
      <c r="M7" s="78"/>
      <c r="N7" s="78"/>
      <c r="O7" s="78">
        <v>0.5034722222226264</v>
      </c>
    </row>
    <row r="8" ht="15" customHeight="1" spans="1:15" x14ac:dyDescent="0.25">
      <c r="A8" s="77" t="s">
        <v>284</v>
      </c>
      <c r="B8" s="78"/>
      <c r="C8" s="78"/>
      <c r="D8" s="78">
        <v>0.10416666666787933</v>
      </c>
      <c r="E8" s="78"/>
      <c r="F8" s="78"/>
      <c r="G8" s="78"/>
      <c r="H8" s="78"/>
      <c r="I8" s="78"/>
      <c r="J8" s="78"/>
      <c r="K8" s="78"/>
      <c r="L8" s="78"/>
      <c r="M8" s="78"/>
      <c r="N8" s="78"/>
      <c r="O8" s="78">
        <v>0.10416666666787933</v>
      </c>
    </row>
    <row r="9" ht="15" customHeight="1" spans="1:15" x14ac:dyDescent="0.25">
      <c r="A9" s="77" t="s">
        <v>4736</v>
      </c>
      <c r="B9" s="78">
        <v>0.22916666666787933</v>
      </c>
      <c r="C9" s="78">
        <v>0.020833333332120674</v>
      </c>
      <c r="D9" s="78">
        <v>0.23958333333212067</v>
      </c>
      <c r="E9" s="78">
        <v>0.041666666667879326</v>
      </c>
      <c r="F9" s="78"/>
      <c r="G9" s="78">
        <v>0.08333333333212067</v>
      </c>
      <c r="H9" s="78"/>
      <c r="I9" s="78">
        <v>0.010416666667879326</v>
      </c>
      <c r="J9" s="78"/>
      <c r="K9" s="78"/>
      <c r="L9" s="78"/>
      <c r="M9" s="78"/>
      <c r="N9" s="78"/>
      <c r="O9" s="78">
        <v>0.625</v>
      </c>
    </row>
    <row r="10" ht="15" customHeight="1" spans="1:15" x14ac:dyDescent="0.25">
      <c r="A10" s="77" t="s">
        <v>4737</v>
      </c>
      <c r="B10" s="78"/>
      <c r="C10" s="78"/>
      <c r="D10" s="78">
        <v>0.020833333332120674</v>
      </c>
      <c r="E10" s="78"/>
      <c r="F10" s="78"/>
      <c r="G10" s="78"/>
      <c r="H10" s="78"/>
      <c r="I10" s="78"/>
      <c r="J10" s="78"/>
      <c r="K10" s="78"/>
      <c r="L10" s="78"/>
      <c r="M10" s="78"/>
      <c r="N10" s="78"/>
      <c r="O10" s="78">
        <v>0.020833333332120674</v>
      </c>
    </row>
    <row r="11" ht="15" customHeight="1" spans="1:15" x14ac:dyDescent="0.25">
      <c r="A11" s="77" t="s">
        <v>4738</v>
      </c>
      <c r="B11" s="78">
        <v>0.03125</v>
      </c>
      <c r="C11" s="78"/>
      <c r="D11" s="78"/>
      <c r="E11" s="78"/>
      <c r="F11" s="78"/>
      <c r="G11" s="78"/>
      <c r="H11" s="78"/>
      <c r="I11" s="78"/>
      <c r="J11" s="78"/>
      <c r="K11" s="78"/>
      <c r="L11" s="78"/>
      <c r="M11" s="78"/>
      <c r="N11" s="78"/>
      <c r="O11" s="78">
        <v>0.03125</v>
      </c>
    </row>
    <row r="12" ht="15" customHeight="1" spans="1:15" x14ac:dyDescent="0.25">
      <c r="A12" s="77" t="s">
        <v>988</v>
      </c>
      <c r="B12" s="78"/>
      <c r="C12" s="78"/>
      <c r="D12" s="78">
        <v>0.5347222222226264</v>
      </c>
      <c r="E12" s="78">
        <v>0.2916666666678793</v>
      </c>
      <c r="F12" s="78">
        <v>0.10416666666787933</v>
      </c>
      <c r="G12" s="78"/>
      <c r="H12" s="78"/>
      <c r="I12" s="78">
        <v>0.020833333332120674</v>
      </c>
      <c r="J12" s="78"/>
      <c r="K12" s="78"/>
      <c r="L12" s="78"/>
      <c r="M12" s="78"/>
      <c r="N12" s="78"/>
      <c r="O12" s="78">
        <v>0.9513888888905058</v>
      </c>
    </row>
    <row r="13" ht="15" customHeight="1" spans="1:15" x14ac:dyDescent="0.25">
      <c r="A13" s="77" t="s">
        <v>998</v>
      </c>
      <c r="B13" s="78"/>
      <c r="C13" s="78"/>
      <c r="D13" s="78"/>
      <c r="E13" s="78"/>
      <c r="F13" s="78"/>
      <c r="G13" s="78">
        <v>0.020833333332120674</v>
      </c>
      <c r="H13" s="78"/>
      <c r="I13" s="78"/>
      <c r="J13" s="78"/>
      <c r="K13" s="78"/>
      <c r="L13" s="78"/>
      <c r="M13" s="78"/>
      <c r="N13" s="78"/>
      <c r="O13" s="78">
        <v>0.020833333332120674</v>
      </c>
    </row>
    <row r="14" ht="15" customHeight="1" spans="1:15" x14ac:dyDescent="0.25">
      <c r="A14" s="77" t="s">
        <v>3952</v>
      </c>
      <c r="B14" s="78">
        <v>0.10416666666787933</v>
      </c>
      <c r="C14" s="78"/>
      <c r="D14" s="78"/>
      <c r="E14" s="78"/>
      <c r="F14" s="78"/>
      <c r="G14" s="78"/>
      <c r="H14" s="78"/>
      <c r="I14" s="78"/>
      <c r="J14" s="78"/>
      <c r="K14" s="78"/>
      <c r="L14" s="78"/>
      <c r="M14" s="78"/>
      <c r="N14" s="78"/>
      <c r="O14" s="78">
        <v>0.10416666666787933</v>
      </c>
    </row>
    <row r="15" ht="15" customHeight="1" spans="1:15" x14ac:dyDescent="0.25">
      <c r="A15" s="77" t="s">
        <v>1002</v>
      </c>
      <c r="B15" s="78"/>
      <c r="C15" s="78"/>
      <c r="D15" s="78">
        <v>0.3645833333321207</v>
      </c>
      <c r="E15" s="78"/>
      <c r="F15" s="78"/>
      <c r="G15" s="78"/>
      <c r="H15" s="78"/>
      <c r="I15" s="78"/>
      <c r="J15" s="78"/>
      <c r="K15" s="78"/>
      <c r="L15" s="78"/>
      <c r="M15" s="78"/>
      <c r="N15" s="78"/>
      <c r="O15" s="78">
        <v>0.3645833333321207</v>
      </c>
    </row>
    <row r="16" ht="15" customHeight="1" spans="1:15" x14ac:dyDescent="0.25">
      <c r="A16" s="77" t="s">
        <v>1006</v>
      </c>
      <c r="B16" s="78"/>
      <c r="C16" s="78"/>
      <c r="D16" s="78"/>
      <c r="E16" s="78">
        <v>0.041666666667879326</v>
      </c>
      <c r="F16" s="78"/>
      <c r="G16" s="78"/>
      <c r="H16" s="78"/>
      <c r="I16" s="78"/>
      <c r="J16" s="78"/>
      <c r="K16" s="78"/>
      <c r="L16" s="78"/>
      <c r="M16" s="78"/>
      <c r="N16" s="78"/>
      <c r="O16" s="78">
        <v>0.041666666667879326</v>
      </c>
    </row>
    <row r="17" ht="15" customHeight="1" spans="1:15" x14ac:dyDescent="0.25">
      <c r="A17" s="77" t="s">
        <v>1009</v>
      </c>
      <c r="B17" s="78"/>
      <c r="C17" s="78">
        <v>0.055555555554747116</v>
      </c>
      <c r="D17" s="78">
        <v>0.40277777777737356</v>
      </c>
      <c r="E17" s="78"/>
      <c r="F17" s="78"/>
      <c r="G17" s="78">
        <v>0.041666666667879326</v>
      </c>
      <c r="H17" s="78"/>
      <c r="I17" s="78">
        <v>0.010416666667879326</v>
      </c>
      <c r="J17" s="78"/>
      <c r="K17" s="78"/>
      <c r="L17" s="78"/>
      <c r="M17" s="78"/>
      <c r="N17" s="78"/>
      <c r="O17" s="78">
        <v>0.5104166666678793</v>
      </c>
    </row>
    <row r="18" ht="15" customHeight="1" spans="1:15" x14ac:dyDescent="0.25">
      <c r="A18" s="77" t="s">
        <v>1038</v>
      </c>
      <c r="B18" s="78">
        <v>0.027777777777373558</v>
      </c>
      <c r="C18" s="78"/>
      <c r="D18" s="78">
        <v>0.1875</v>
      </c>
      <c r="E18" s="78"/>
      <c r="F18" s="78"/>
      <c r="G18" s="78"/>
      <c r="H18" s="78"/>
      <c r="I18" s="78"/>
      <c r="J18" s="78"/>
      <c r="K18" s="78"/>
      <c r="L18" s="78"/>
      <c r="M18" s="78"/>
      <c r="N18" s="78"/>
      <c r="O18" s="78">
        <v>0.21527777777737356</v>
      </c>
    </row>
    <row r="19" ht="15" customHeight="1" spans="1:15" x14ac:dyDescent="0.25">
      <c r="A19" s="77" t="s">
        <v>4739</v>
      </c>
      <c r="B19" s="78"/>
      <c r="C19" s="78"/>
      <c r="D19" s="78"/>
      <c r="E19" s="78"/>
      <c r="F19" s="78"/>
      <c r="G19" s="78">
        <v>0.03125</v>
      </c>
      <c r="H19" s="78"/>
      <c r="I19" s="78"/>
      <c r="J19" s="78"/>
      <c r="K19" s="78"/>
      <c r="L19" s="78"/>
      <c r="M19" s="78"/>
      <c r="N19" s="78"/>
      <c r="O19" s="78">
        <v>0.03125</v>
      </c>
    </row>
    <row r="20" ht="15" customHeight="1" spans="1:15" x14ac:dyDescent="0.25">
      <c r="A20" s="77" t="s">
        <v>1047</v>
      </c>
      <c r="B20" s="78"/>
      <c r="C20" s="78">
        <v>0.013888888890505768</v>
      </c>
      <c r="D20" s="78">
        <v>1.34375</v>
      </c>
      <c r="E20" s="78"/>
      <c r="F20" s="78"/>
      <c r="G20" s="78">
        <v>0.20833333333212067</v>
      </c>
      <c r="H20" s="78"/>
      <c r="I20" s="78">
        <v>0.020833333332120674</v>
      </c>
      <c r="J20" s="78"/>
      <c r="K20" s="78">
        <v>0.625</v>
      </c>
      <c r="L20" s="78"/>
      <c r="M20" s="78"/>
      <c r="N20" s="78"/>
      <c r="O20" s="78">
        <v>2.211805555554747</v>
      </c>
    </row>
    <row r="21" ht="15" customHeight="1" spans="1:15" x14ac:dyDescent="0.25">
      <c r="A21" s="77" t="s">
        <v>199</v>
      </c>
      <c r="B21" s="78"/>
      <c r="C21" s="78"/>
      <c r="D21" s="78">
        <v>0.19097222222262644</v>
      </c>
      <c r="E21" s="78"/>
      <c r="F21" s="78"/>
      <c r="G21" s="78">
        <v>0.020833333332120674</v>
      </c>
      <c r="H21" s="78">
        <v>0.23958333333212067</v>
      </c>
      <c r="I21" s="78">
        <v>0.027777777777373558</v>
      </c>
      <c r="J21" s="78"/>
      <c r="K21" s="78"/>
      <c r="L21" s="78"/>
      <c r="M21" s="78"/>
      <c r="N21" s="78"/>
      <c r="O21" s="78">
        <v>0.4791666666678793</v>
      </c>
    </row>
    <row r="22" ht="15" customHeight="1" spans="1:15" x14ac:dyDescent="0.25">
      <c r="A22" s="77" t="s">
        <v>796</v>
      </c>
      <c r="B22" s="78">
        <v>0.041666666667879326</v>
      </c>
      <c r="C22" s="78">
        <v>0.03125</v>
      </c>
      <c r="D22" s="78">
        <v>0.8125</v>
      </c>
      <c r="E22" s="78">
        <v>0.375</v>
      </c>
      <c r="F22" s="78"/>
      <c r="G22" s="78"/>
      <c r="H22" s="78">
        <v>0.0625</v>
      </c>
      <c r="I22" s="78"/>
      <c r="J22" s="78"/>
      <c r="K22" s="78"/>
      <c r="L22" s="78">
        <v>0.07291666666787933</v>
      </c>
      <c r="M22" s="78"/>
      <c r="N22" s="78"/>
      <c r="O22" s="78">
        <v>1.3958333333321207</v>
      </c>
    </row>
    <row r="23" ht="15" customHeight="1" spans="1:15" x14ac:dyDescent="0.25">
      <c r="A23" s="77" t="s">
        <v>1041</v>
      </c>
      <c r="B23" s="78">
        <v>0.013888888890505768</v>
      </c>
      <c r="C23" s="78">
        <v>0.09722222222262644</v>
      </c>
      <c r="D23" s="78">
        <v>1.2361111111094942</v>
      </c>
      <c r="E23" s="78"/>
      <c r="F23" s="78">
        <v>0.0625</v>
      </c>
      <c r="G23" s="78">
        <v>0.23263888889050577</v>
      </c>
      <c r="H23" s="78"/>
      <c r="I23" s="78">
        <v>0.020833333332120674</v>
      </c>
      <c r="J23" s="78"/>
      <c r="K23" s="78"/>
      <c r="L23" s="78"/>
      <c r="M23" s="78"/>
      <c r="N23" s="78"/>
      <c r="O23" s="78">
        <v>1.6631944444452529</v>
      </c>
    </row>
    <row r="24" ht="15" customHeight="1" spans="1:15" x14ac:dyDescent="0.25">
      <c r="A24" s="77" t="s">
        <v>288</v>
      </c>
      <c r="B24" s="78">
        <v>0.06944444444525288</v>
      </c>
      <c r="C24" s="78"/>
      <c r="D24" s="78">
        <v>0.027777777777373558</v>
      </c>
      <c r="E24" s="78"/>
      <c r="F24" s="78"/>
      <c r="G24" s="78">
        <v>0.13541666666787933</v>
      </c>
      <c r="H24" s="78"/>
      <c r="I24" s="78"/>
      <c r="J24" s="78"/>
      <c r="K24" s="78"/>
      <c r="L24" s="78">
        <v>0.041666666667879326</v>
      </c>
      <c r="M24" s="78"/>
      <c r="N24" s="78"/>
      <c r="O24" s="78">
        <v>0.2743055555547471</v>
      </c>
    </row>
    <row r="25" ht="15" customHeight="1" spans="1:15" x14ac:dyDescent="0.25">
      <c r="A25" s="77" t="s">
        <v>1093</v>
      </c>
      <c r="B25" s="78"/>
      <c r="C25" s="78">
        <v>0.010416666667879326</v>
      </c>
      <c r="D25" s="78">
        <v>0.17708333333212067</v>
      </c>
      <c r="E25" s="78"/>
      <c r="F25" s="78"/>
      <c r="G25" s="78">
        <v>0.08333333333212067</v>
      </c>
      <c r="H25" s="78"/>
      <c r="I25" s="78"/>
      <c r="J25" s="78"/>
      <c r="K25" s="78"/>
      <c r="L25" s="78"/>
      <c r="M25" s="78"/>
      <c r="N25" s="78"/>
      <c r="O25" s="78">
        <v>0.2708333333321207</v>
      </c>
    </row>
    <row r="26" ht="15" customHeight="1" spans="1:15" x14ac:dyDescent="0.25">
      <c r="A26" s="77" t="s">
        <v>1096</v>
      </c>
      <c r="B26" s="78">
        <v>0.125</v>
      </c>
      <c r="C26" s="78"/>
      <c r="D26" s="78">
        <v>0.13888888889050577</v>
      </c>
      <c r="E26" s="78"/>
      <c r="F26" s="78"/>
      <c r="G26" s="78"/>
      <c r="H26" s="78"/>
      <c r="I26" s="78"/>
      <c r="J26" s="78"/>
      <c r="K26" s="78"/>
      <c r="L26" s="78"/>
      <c r="M26" s="78"/>
      <c r="N26" s="78"/>
      <c r="O26" s="78">
        <v>0.26388888889050577</v>
      </c>
    </row>
    <row r="27" ht="15" customHeight="1" spans="1:15" x14ac:dyDescent="0.25">
      <c r="A27" s="77" t="s">
        <v>1103</v>
      </c>
      <c r="B27" s="78"/>
      <c r="C27" s="78"/>
      <c r="D27" s="78">
        <v>0.04861111110949423</v>
      </c>
      <c r="E27" s="78"/>
      <c r="F27" s="78"/>
      <c r="G27" s="78"/>
      <c r="H27" s="78"/>
      <c r="I27" s="78"/>
      <c r="J27" s="78"/>
      <c r="K27" s="78"/>
      <c r="L27" s="78"/>
      <c r="M27" s="78"/>
      <c r="N27" s="78"/>
      <c r="O27" s="78">
        <v>0.04861111110949423</v>
      </c>
    </row>
    <row r="28" ht="15" customHeight="1" spans="1:15" x14ac:dyDescent="0.25">
      <c r="A28" s="77" t="s">
        <v>1111</v>
      </c>
      <c r="B28" s="78">
        <v>0.041666666667879326</v>
      </c>
      <c r="C28" s="78"/>
      <c r="D28" s="78">
        <v>0.625</v>
      </c>
      <c r="E28" s="78"/>
      <c r="F28" s="78"/>
      <c r="G28" s="78"/>
      <c r="H28" s="78"/>
      <c r="I28" s="78"/>
      <c r="J28" s="78"/>
      <c r="K28" s="78"/>
      <c r="L28" s="78"/>
      <c r="M28" s="78"/>
      <c r="N28" s="78"/>
      <c r="O28" s="78">
        <v>0.6666666666678793</v>
      </c>
    </row>
    <row r="29" ht="15" customHeight="1" spans="1:15" x14ac:dyDescent="0.25">
      <c r="A29" s="77" t="s">
        <v>1120</v>
      </c>
      <c r="B29" s="78"/>
      <c r="C29" s="78">
        <v>0.013888888890505768</v>
      </c>
      <c r="D29" s="78">
        <v>0.08333333333212067</v>
      </c>
      <c r="E29" s="78">
        <v>0.006944444445252884</v>
      </c>
      <c r="F29" s="78"/>
      <c r="G29" s="78"/>
      <c r="H29" s="78"/>
      <c r="I29" s="78"/>
      <c r="J29" s="78"/>
      <c r="K29" s="78"/>
      <c r="L29" s="78"/>
      <c r="M29" s="78"/>
      <c r="N29" s="78"/>
      <c r="O29" s="78">
        <v>0.10416666666787933</v>
      </c>
    </row>
    <row r="30" ht="15" customHeight="1" spans="1:15" x14ac:dyDescent="0.25">
      <c r="A30" s="77" t="s">
        <v>4740</v>
      </c>
      <c r="B30" s="78"/>
      <c r="C30" s="78">
        <v>0.024305555554747116</v>
      </c>
      <c r="D30" s="78"/>
      <c r="E30" s="78"/>
      <c r="F30" s="78"/>
      <c r="G30" s="78"/>
      <c r="H30" s="78"/>
      <c r="I30" s="78"/>
      <c r="J30" s="78"/>
      <c r="K30" s="78"/>
      <c r="L30" s="78"/>
      <c r="M30" s="78"/>
      <c r="N30" s="78"/>
      <c r="O30" s="78">
        <v>0.024305555554747116</v>
      </c>
    </row>
    <row r="31" ht="15" customHeight="1" spans="1:15" x14ac:dyDescent="0.25">
      <c r="A31" s="77" t="s">
        <v>4741</v>
      </c>
      <c r="B31" s="78"/>
      <c r="C31" s="78"/>
      <c r="D31" s="78">
        <v>0.041666666667879326</v>
      </c>
      <c r="E31" s="78"/>
      <c r="F31" s="78"/>
      <c r="G31" s="78"/>
      <c r="H31" s="78"/>
      <c r="I31" s="78"/>
      <c r="J31" s="78"/>
      <c r="K31" s="78"/>
      <c r="L31" s="78"/>
      <c r="M31" s="78"/>
      <c r="N31" s="78"/>
      <c r="O31" s="78">
        <v>0.041666666667879326</v>
      </c>
    </row>
    <row r="32" ht="15" customHeight="1" spans="1:15" x14ac:dyDescent="0.25">
      <c r="A32" s="77" t="s">
        <v>1133</v>
      </c>
      <c r="B32" s="78">
        <v>0.020833333332120674</v>
      </c>
      <c r="C32" s="78"/>
      <c r="D32" s="78"/>
      <c r="E32" s="78"/>
      <c r="F32" s="78"/>
      <c r="G32" s="78"/>
      <c r="H32" s="78"/>
      <c r="I32" s="78"/>
      <c r="J32" s="78"/>
      <c r="K32" s="78"/>
      <c r="L32" s="78"/>
      <c r="M32" s="78"/>
      <c r="N32" s="78"/>
      <c r="O32" s="78">
        <v>0.020833333332120674</v>
      </c>
    </row>
    <row r="33" ht="15" customHeight="1" spans="1:15" x14ac:dyDescent="0.25">
      <c r="A33" s="77" t="s">
        <v>4742</v>
      </c>
      <c r="B33" s="78"/>
      <c r="C33" s="78">
        <v>0.020833333332120674</v>
      </c>
      <c r="D33" s="78">
        <v>0.5208333333321207</v>
      </c>
      <c r="E33" s="78"/>
      <c r="F33" s="78"/>
      <c r="G33" s="78"/>
      <c r="H33" s="78">
        <v>0.16666666666787933</v>
      </c>
      <c r="I33" s="78"/>
      <c r="J33" s="78"/>
      <c r="K33" s="78"/>
      <c r="L33" s="78"/>
      <c r="M33" s="78"/>
      <c r="N33" s="78"/>
      <c r="O33" s="78">
        <v>0.7083333333321207</v>
      </c>
    </row>
    <row r="34" ht="15" customHeight="1" spans="1:15" x14ac:dyDescent="0.25">
      <c r="A34" s="77" t="s">
        <v>1012</v>
      </c>
      <c r="B34" s="78"/>
      <c r="C34" s="78">
        <v>0.020833333332120674</v>
      </c>
      <c r="D34" s="78">
        <v>1.0555555555547471</v>
      </c>
      <c r="E34" s="78"/>
      <c r="F34" s="78"/>
      <c r="G34" s="78">
        <v>0.052083333332120674</v>
      </c>
      <c r="H34" s="78"/>
      <c r="I34" s="78"/>
      <c r="J34" s="78"/>
      <c r="K34" s="78"/>
      <c r="L34" s="78"/>
      <c r="M34" s="78"/>
      <c r="N34" s="78"/>
      <c r="O34" s="78">
        <v>1.1284722222226264</v>
      </c>
    </row>
    <row r="35" ht="15" customHeight="1" spans="1:15" x14ac:dyDescent="0.25">
      <c r="A35" s="77" t="s">
        <v>1024</v>
      </c>
      <c r="B35" s="78"/>
      <c r="C35" s="78"/>
      <c r="D35" s="78">
        <v>0.0625</v>
      </c>
      <c r="E35" s="78"/>
      <c r="F35" s="78"/>
      <c r="G35" s="78">
        <v>0.020833333332120674</v>
      </c>
      <c r="H35" s="78"/>
      <c r="I35" s="78"/>
      <c r="J35" s="78"/>
      <c r="K35" s="78"/>
      <c r="L35" s="78"/>
      <c r="M35" s="78"/>
      <c r="N35" s="78"/>
      <c r="O35" s="78">
        <v>0.08333333333212067</v>
      </c>
    </row>
    <row r="36" ht="15" customHeight="1" spans="1:15" x14ac:dyDescent="0.25">
      <c r="A36" s="77" t="s">
        <v>1059</v>
      </c>
      <c r="B36" s="78"/>
      <c r="C36" s="78"/>
      <c r="D36" s="78">
        <v>1.3541666666678793</v>
      </c>
      <c r="E36" s="78"/>
      <c r="F36" s="78"/>
      <c r="G36" s="78"/>
      <c r="H36" s="78"/>
      <c r="I36" s="78"/>
      <c r="J36" s="78"/>
      <c r="K36" s="78"/>
      <c r="L36" s="78"/>
      <c r="M36" s="78"/>
      <c r="N36" s="78"/>
      <c r="O36" s="78">
        <v>1.3541666666678793</v>
      </c>
    </row>
    <row r="37" ht="15" customHeight="1" spans="1:15" x14ac:dyDescent="0.25">
      <c r="A37" s="77" t="s">
        <v>1087</v>
      </c>
      <c r="B37" s="78"/>
      <c r="C37" s="78"/>
      <c r="D37" s="78">
        <v>4.711805555554747</v>
      </c>
      <c r="E37" s="78"/>
      <c r="F37" s="78"/>
      <c r="G37" s="78">
        <v>0.10416666666787933</v>
      </c>
      <c r="H37" s="78">
        <v>0.041666666667879326</v>
      </c>
      <c r="I37" s="78"/>
      <c r="J37" s="78"/>
      <c r="K37" s="78"/>
      <c r="L37" s="78"/>
      <c r="M37" s="78"/>
      <c r="N37" s="78">
        <v>0</v>
      </c>
      <c r="O37" s="78">
        <v>4.857638888890506</v>
      </c>
    </row>
    <row r="38" ht="15" customHeight="1" spans="1:15" x14ac:dyDescent="0.25">
      <c r="A38" s="77" t="s">
        <v>118</v>
      </c>
      <c r="B38" s="78">
        <v>0.15277777777737356</v>
      </c>
      <c r="C38" s="78">
        <v>0.01736111110949423</v>
      </c>
      <c r="D38" s="78">
        <v>0.3333333333321207</v>
      </c>
      <c r="E38" s="78"/>
      <c r="F38" s="78"/>
      <c r="G38" s="78"/>
      <c r="H38" s="78"/>
      <c r="I38" s="78"/>
      <c r="J38" s="78"/>
      <c r="K38" s="78"/>
      <c r="L38" s="78"/>
      <c r="M38" s="78"/>
      <c r="N38" s="78"/>
      <c r="O38" s="78">
        <v>0.5034722222226264</v>
      </c>
    </row>
    <row r="39" ht="15" customHeight="1" spans="1:15" x14ac:dyDescent="0.25">
      <c r="A39" s="77" t="s">
        <v>1155</v>
      </c>
      <c r="B39" s="78">
        <v>0.020833333332120674</v>
      </c>
      <c r="C39" s="78"/>
      <c r="D39" s="78"/>
      <c r="E39" s="78"/>
      <c r="F39" s="78"/>
      <c r="G39" s="78">
        <v>0.17708333333212067</v>
      </c>
      <c r="H39" s="78"/>
      <c r="I39" s="78"/>
      <c r="J39" s="78"/>
      <c r="K39" s="78"/>
      <c r="L39" s="78"/>
      <c r="M39" s="78"/>
      <c r="N39" s="78"/>
      <c r="O39" s="78">
        <v>0.19791666666787933</v>
      </c>
    </row>
    <row r="40" ht="15" customHeight="1" spans="1:15" x14ac:dyDescent="0.25">
      <c r="A40" s="77" t="s">
        <v>1169</v>
      </c>
      <c r="B40" s="78">
        <v>0.013888888890505768</v>
      </c>
      <c r="C40" s="78"/>
      <c r="D40" s="78">
        <v>0.7083333333321207</v>
      </c>
      <c r="E40" s="78">
        <v>0.125</v>
      </c>
      <c r="F40" s="78"/>
      <c r="G40" s="78"/>
      <c r="H40" s="78"/>
      <c r="I40" s="78"/>
      <c r="J40" s="78"/>
      <c r="K40" s="78"/>
      <c r="L40" s="78"/>
      <c r="M40" s="78"/>
      <c r="N40" s="78"/>
      <c r="O40" s="78">
        <v>0.8472222222226264</v>
      </c>
    </row>
    <row r="41" ht="15" customHeight="1" spans="1:15" x14ac:dyDescent="0.25">
      <c r="A41" s="77" t="s">
        <v>1191</v>
      </c>
      <c r="B41" s="78"/>
      <c r="C41" s="78"/>
      <c r="D41" s="78"/>
      <c r="E41" s="78"/>
      <c r="F41" s="78"/>
      <c r="G41" s="78"/>
      <c r="H41" s="78"/>
      <c r="I41" s="78">
        <v>0.013888888890505768</v>
      </c>
      <c r="J41" s="78"/>
      <c r="K41" s="78"/>
      <c r="L41" s="78"/>
      <c r="M41" s="78"/>
      <c r="N41" s="78"/>
      <c r="O41" s="78">
        <v>0.013888888890505768</v>
      </c>
    </row>
    <row r="42" ht="15" customHeight="1" spans="1:15" x14ac:dyDescent="0.25">
      <c r="A42" s="77" t="s">
        <v>1204</v>
      </c>
      <c r="B42" s="78"/>
      <c r="C42" s="78">
        <v>0.13541666666787933</v>
      </c>
      <c r="D42" s="78"/>
      <c r="E42" s="78"/>
      <c r="F42" s="78"/>
      <c r="G42" s="78">
        <v>0.125</v>
      </c>
      <c r="H42" s="78"/>
      <c r="I42" s="78"/>
      <c r="J42" s="78"/>
      <c r="K42" s="78">
        <v>0.37847222222262644</v>
      </c>
      <c r="L42" s="78"/>
      <c r="M42" s="78"/>
      <c r="N42" s="78"/>
      <c r="O42" s="78">
        <v>0.6388888888905058</v>
      </c>
    </row>
    <row r="43" ht="15" customHeight="1" spans="1:15" x14ac:dyDescent="0.25">
      <c r="A43" s="77" t="s">
        <v>99</v>
      </c>
      <c r="B43" s="78">
        <v>0.03472222222262644</v>
      </c>
      <c r="C43" s="78"/>
      <c r="D43" s="78">
        <v>1.4375</v>
      </c>
      <c r="E43" s="78"/>
      <c r="F43" s="78"/>
      <c r="G43" s="78">
        <v>0.027777777777373558</v>
      </c>
      <c r="H43" s="78"/>
      <c r="I43" s="78"/>
      <c r="J43" s="78"/>
      <c r="K43" s="78"/>
      <c r="L43" s="78"/>
      <c r="M43" s="78"/>
      <c r="N43" s="78"/>
      <c r="O43" s="78">
        <v>1.5</v>
      </c>
    </row>
    <row r="44" ht="15" customHeight="1" spans="1:15" x14ac:dyDescent="0.25">
      <c r="A44" s="77" t="s">
        <v>1212</v>
      </c>
      <c r="B44" s="78">
        <v>0.10416666666787933</v>
      </c>
      <c r="C44" s="78"/>
      <c r="D44" s="78">
        <v>0.40277777777737356</v>
      </c>
      <c r="E44" s="78"/>
      <c r="F44" s="78"/>
      <c r="G44" s="78">
        <v>0.15625</v>
      </c>
      <c r="H44" s="78"/>
      <c r="I44" s="78">
        <v>0.01736111110949423</v>
      </c>
      <c r="J44" s="78"/>
      <c r="K44" s="78"/>
      <c r="L44" s="78"/>
      <c r="M44" s="78"/>
      <c r="N44" s="78"/>
      <c r="O44" s="78">
        <v>0.6805555555547471</v>
      </c>
    </row>
    <row r="45" ht="15" customHeight="1" spans="1:15" x14ac:dyDescent="0.25">
      <c r="A45" s="77" t="s">
        <v>1217</v>
      </c>
      <c r="B45" s="78">
        <v>0.020833333332120674</v>
      </c>
      <c r="C45" s="78"/>
      <c r="D45" s="78"/>
      <c r="E45" s="78"/>
      <c r="F45" s="78"/>
      <c r="G45" s="78"/>
      <c r="H45" s="78"/>
      <c r="I45" s="78"/>
      <c r="J45" s="78"/>
      <c r="K45" s="78"/>
      <c r="L45" s="78"/>
      <c r="M45" s="78"/>
      <c r="N45" s="78"/>
      <c r="O45" s="78">
        <v>0.020833333332120674</v>
      </c>
    </row>
    <row r="46" ht="15" customHeight="1" spans="1:15" x14ac:dyDescent="0.25">
      <c r="A46" s="77" t="s">
        <v>1235</v>
      </c>
      <c r="B46" s="78">
        <v>0.027777777777373558</v>
      </c>
      <c r="C46" s="78"/>
      <c r="D46" s="78">
        <v>0.15625</v>
      </c>
      <c r="E46" s="78"/>
      <c r="F46" s="78"/>
      <c r="G46" s="78"/>
      <c r="H46" s="78"/>
      <c r="I46" s="78"/>
      <c r="J46" s="78"/>
      <c r="K46" s="78"/>
      <c r="L46" s="78"/>
      <c r="M46" s="78"/>
      <c r="N46" s="78"/>
      <c r="O46" s="78">
        <v>0.18402777777737356</v>
      </c>
    </row>
    <row r="47" ht="15" customHeight="1" spans="1:15" x14ac:dyDescent="0.25">
      <c r="A47" s="77" t="s">
        <v>545</v>
      </c>
      <c r="B47" s="78"/>
      <c r="C47" s="78"/>
      <c r="D47" s="78">
        <v>0.0625</v>
      </c>
      <c r="E47" s="78"/>
      <c r="F47" s="78"/>
      <c r="G47" s="78"/>
      <c r="H47" s="78"/>
      <c r="I47" s="78"/>
      <c r="J47" s="78"/>
      <c r="K47" s="78"/>
      <c r="L47" s="78"/>
      <c r="M47" s="78"/>
      <c r="N47" s="78"/>
      <c r="O47" s="78">
        <v>0.0625</v>
      </c>
    </row>
    <row r="48" ht="15" customHeight="1" spans="1:15" x14ac:dyDescent="0.25">
      <c r="A48" s="77" t="s">
        <v>4743</v>
      </c>
      <c r="B48" s="78">
        <v>0.06597222222262644</v>
      </c>
      <c r="C48" s="78"/>
      <c r="D48" s="78">
        <v>0.10416666666787933</v>
      </c>
      <c r="E48" s="78"/>
      <c r="F48" s="78"/>
      <c r="G48" s="78">
        <v>0.041666666667879326</v>
      </c>
      <c r="H48" s="78"/>
      <c r="I48" s="78"/>
      <c r="J48" s="78"/>
      <c r="K48" s="78"/>
      <c r="L48" s="78"/>
      <c r="M48" s="78"/>
      <c r="N48" s="78"/>
      <c r="O48" s="78">
        <v>0.21180555555474712</v>
      </c>
    </row>
    <row r="49" ht="15" customHeight="1" spans="1:15" x14ac:dyDescent="0.25">
      <c r="A49" s="77" t="s">
        <v>122</v>
      </c>
      <c r="B49" s="78">
        <v>0.020833333332120674</v>
      </c>
      <c r="C49" s="78"/>
      <c r="D49" s="78">
        <v>0.11458333333212067</v>
      </c>
      <c r="E49" s="78"/>
      <c r="F49" s="78"/>
      <c r="G49" s="78"/>
      <c r="H49" s="78"/>
      <c r="I49" s="78"/>
      <c r="J49" s="78"/>
      <c r="K49" s="78"/>
      <c r="L49" s="78"/>
      <c r="M49" s="78"/>
      <c r="N49" s="78"/>
      <c r="O49" s="78">
        <v>0.13541666666787933</v>
      </c>
    </row>
    <row r="50" ht="15" customHeight="1" spans="1:15" x14ac:dyDescent="0.25">
      <c r="A50" s="77" t="s">
        <v>489</v>
      </c>
      <c r="B50" s="78"/>
      <c r="C50" s="78"/>
      <c r="D50" s="78">
        <v>0.27291666666496894</v>
      </c>
      <c r="E50" s="78"/>
      <c r="F50" s="78"/>
      <c r="G50" s="78"/>
      <c r="H50" s="78"/>
      <c r="I50" s="78"/>
      <c r="J50" s="78"/>
      <c r="K50" s="78"/>
      <c r="L50" s="78"/>
      <c r="M50" s="78"/>
      <c r="N50" s="78"/>
      <c r="O50" s="78">
        <v>0.27291666666496894</v>
      </c>
    </row>
    <row r="51" ht="15" customHeight="1" spans="1:15" x14ac:dyDescent="0.25">
      <c r="A51" s="77" t="s">
        <v>4024</v>
      </c>
      <c r="B51" s="78">
        <v>0.041666666667879326</v>
      </c>
      <c r="C51" s="78"/>
      <c r="D51" s="78">
        <v>0.10416666666787933</v>
      </c>
      <c r="E51" s="78"/>
      <c r="F51" s="78"/>
      <c r="G51" s="78"/>
      <c r="H51" s="78"/>
      <c r="I51" s="78"/>
      <c r="J51" s="78"/>
      <c r="K51" s="78"/>
      <c r="L51" s="78"/>
      <c r="M51" s="78"/>
      <c r="N51" s="78"/>
      <c r="O51" s="78">
        <v>0.14583333333212067</v>
      </c>
    </row>
    <row r="52" ht="15" customHeight="1" spans="1:15" x14ac:dyDescent="0.25">
      <c r="A52" s="77" t="s">
        <v>4744</v>
      </c>
      <c r="B52" s="78"/>
      <c r="C52" s="78"/>
      <c r="D52" s="78">
        <v>0.4375</v>
      </c>
      <c r="E52" s="78"/>
      <c r="F52" s="78"/>
      <c r="G52" s="78"/>
      <c r="H52" s="78"/>
      <c r="I52" s="78"/>
      <c r="J52" s="78"/>
      <c r="K52" s="78"/>
      <c r="L52" s="78"/>
      <c r="M52" s="78"/>
      <c r="N52" s="78"/>
      <c r="O52" s="78">
        <v>0.4375</v>
      </c>
    </row>
    <row r="53" ht="15" customHeight="1" spans="1:15" x14ac:dyDescent="0.25">
      <c r="A53" s="77" t="s">
        <v>113</v>
      </c>
      <c r="B53" s="78">
        <v>0.041666666667879326</v>
      </c>
      <c r="C53" s="78"/>
      <c r="D53" s="78">
        <v>0.1875</v>
      </c>
      <c r="E53" s="78"/>
      <c r="F53" s="78"/>
      <c r="G53" s="78">
        <v>0.10416666666787933</v>
      </c>
      <c r="H53" s="78"/>
      <c r="I53" s="78">
        <v>0.10416666666787933</v>
      </c>
      <c r="J53" s="78">
        <v>0.041666666667879326</v>
      </c>
      <c r="K53" s="78"/>
      <c r="L53" s="78"/>
      <c r="M53" s="78"/>
      <c r="N53" s="78"/>
      <c r="O53" s="78">
        <v>0.4791666666678793</v>
      </c>
    </row>
    <row r="54" ht="15" customHeight="1" spans="1:15" x14ac:dyDescent="0.25">
      <c r="A54" s="77" t="s">
        <v>1201</v>
      </c>
      <c r="B54" s="78">
        <v>0.08333333333212067</v>
      </c>
      <c r="C54" s="78">
        <v>0.003472222222626442</v>
      </c>
      <c r="D54" s="78">
        <v>0.0625</v>
      </c>
      <c r="E54" s="78"/>
      <c r="F54" s="78"/>
      <c r="G54" s="78"/>
      <c r="H54" s="78"/>
      <c r="I54" s="78"/>
      <c r="J54" s="78"/>
      <c r="K54" s="78"/>
      <c r="L54" s="78"/>
      <c r="M54" s="78"/>
      <c r="N54" s="78"/>
      <c r="O54" s="78">
        <v>0.14930555555474712</v>
      </c>
    </row>
    <row r="55" ht="15" customHeight="1" spans="1:15" x14ac:dyDescent="0.25">
      <c r="A55" s="77" t="s">
        <v>525</v>
      </c>
      <c r="B55" s="78"/>
      <c r="C55" s="78">
        <v>0.06944444444525288</v>
      </c>
      <c r="D55" s="78">
        <v>0.125</v>
      </c>
      <c r="E55" s="78">
        <v>0.08333333333212067</v>
      </c>
      <c r="F55" s="78"/>
      <c r="G55" s="78"/>
      <c r="H55" s="78"/>
      <c r="I55" s="78"/>
      <c r="J55" s="78"/>
      <c r="K55" s="78"/>
      <c r="L55" s="78"/>
      <c r="M55" s="78"/>
      <c r="N55" s="78"/>
      <c r="O55" s="78">
        <v>0.27777777777737356</v>
      </c>
    </row>
    <row r="56" ht="15" customHeight="1" spans="1:15" x14ac:dyDescent="0.25">
      <c r="A56" s="77" t="s">
        <v>1358</v>
      </c>
      <c r="B56" s="78"/>
      <c r="C56" s="78"/>
      <c r="D56" s="78">
        <v>0.11458333333212067</v>
      </c>
      <c r="E56" s="78"/>
      <c r="F56" s="78"/>
      <c r="G56" s="78"/>
      <c r="H56" s="78"/>
      <c r="I56" s="78"/>
      <c r="J56" s="78"/>
      <c r="K56" s="78"/>
      <c r="L56" s="78"/>
      <c r="M56" s="78"/>
      <c r="N56" s="78"/>
      <c r="O56" s="78">
        <v>0.11458333333212067</v>
      </c>
    </row>
    <row r="57" ht="15" customHeight="1" spans="1:15" x14ac:dyDescent="0.25">
      <c r="A57" s="77" t="s">
        <v>985</v>
      </c>
      <c r="B57" s="78"/>
      <c r="C57" s="78"/>
      <c r="D57" s="78">
        <v>0.10416666666787933</v>
      </c>
      <c r="E57" s="78"/>
      <c r="F57" s="78"/>
      <c r="G57" s="78"/>
      <c r="H57" s="78"/>
      <c r="I57" s="78"/>
      <c r="J57" s="78"/>
      <c r="K57" s="78"/>
      <c r="L57" s="78"/>
      <c r="M57" s="78"/>
      <c r="N57" s="78"/>
      <c r="O57" s="78">
        <v>0.10416666666787933</v>
      </c>
    </row>
    <row r="58" ht="15" customHeight="1" spans="1:15" x14ac:dyDescent="0.25">
      <c r="A58" s="77" t="s">
        <v>1442</v>
      </c>
      <c r="B58" s="78"/>
      <c r="C58" s="78"/>
      <c r="D58" s="78">
        <v>0.01736111110949423</v>
      </c>
      <c r="E58" s="78"/>
      <c r="F58" s="78"/>
      <c r="G58" s="78">
        <v>0.041666666667879326</v>
      </c>
      <c r="H58" s="78"/>
      <c r="I58" s="78"/>
      <c r="J58" s="78"/>
      <c r="K58" s="78"/>
      <c r="L58" s="78"/>
      <c r="M58" s="78"/>
      <c r="N58" s="78"/>
      <c r="O58" s="78">
        <v>0.05902777777737356</v>
      </c>
    </row>
    <row r="59" ht="15" customHeight="1" spans="1:15" x14ac:dyDescent="0.25">
      <c r="A59" s="77" t="s">
        <v>1448</v>
      </c>
      <c r="B59" s="78"/>
      <c r="C59" s="78"/>
      <c r="D59" s="78">
        <v>0.020833333332120674</v>
      </c>
      <c r="E59" s="78"/>
      <c r="F59" s="78"/>
      <c r="G59" s="78"/>
      <c r="H59" s="78"/>
      <c r="I59" s="78"/>
      <c r="J59" s="78"/>
      <c r="K59" s="78"/>
      <c r="L59" s="78"/>
      <c r="M59" s="78"/>
      <c r="N59" s="78"/>
      <c r="O59" s="78">
        <v>0.020833333332120674</v>
      </c>
    </row>
    <row r="60" ht="15" customHeight="1" spans="1:15" x14ac:dyDescent="0.25">
      <c r="A60" s="77" t="s">
        <v>1451</v>
      </c>
      <c r="B60" s="78"/>
      <c r="C60" s="78"/>
      <c r="D60" s="78">
        <v>0.672222222223354</v>
      </c>
      <c r="E60" s="78"/>
      <c r="F60" s="78"/>
      <c r="G60" s="78">
        <v>0.25347222222262644</v>
      </c>
      <c r="H60" s="78"/>
      <c r="I60" s="78"/>
      <c r="J60" s="78"/>
      <c r="K60" s="78"/>
      <c r="L60" s="78"/>
      <c r="M60" s="78">
        <v>0.08333333333212067</v>
      </c>
      <c r="N60" s="78"/>
      <c r="O60" s="78">
        <v>1.0090277777781012</v>
      </c>
    </row>
    <row r="61" ht="15" customHeight="1" spans="1:15" x14ac:dyDescent="0.25">
      <c r="A61" s="77" t="s">
        <v>1473</v>
      </c>
      <c r="B61" s="78">
        <v>0.013888888890505768</v>
      </c>
      <c r="C61" s="78"/>
      <c r="D61" s="78">
        <v>0.125</v>
      </c>
      <c r="E61" s="78">
        <v>0.16666666666787933</v>
      </c>
      <c r="F61" s="78"/>
      <c r="G61" s="78"/>
      <c r="H61" s="78"/>
      <c r="I61" s="78"/>
      <c r="J61" s="78"/>
      <c r="K61" s="78"/>
      <c r="L61" s="78"/>
      <c r="M61" s="78"/>
      <c r="N61" s="78"/>
      <c r="O61" s="78">
        <v>0.3055555555547471</v>
      </c>
    </row>
    <row r="62" ht="15" customHeight="1" spans="1:15" x14ac:dyDescent="0.25">
      <c r="A62" s="77" t="s">
        <v>4745</v>
      </c>
      <c r="B62" s="78"/>
      <c r="C62" s="78">
        <v>0.020833333332120674</v>
      </c>
      <c r="D62" s="78"/>
      <c r="E62" s="78"/>
      <c r="F62" s="78"/>
      <c r="G62" s="78"/>
      <c r="H62" s="78"/>
      <c r="I62" s="78"/>
      <c r="J62" s="78"/>
      <c r="K62" s="78"/>
      <c r="L62" s="78"/>
      <c r="M62" s="78"/>
      <c r="N62" s="78"/>
      <c r="O62" s="78">
        <v>0.020833333332120674</v>
      </c>
    </row>
    <row r="63" ht="15" customHeight="1" spans="1:15" x14ac:dyDescent="0.25">
      <c r="A63" s="77" t="s">
        <v>4746</v>
      </c>
      <c r="B63" s="78"/>
      <c r="C63" s="78"/>
      <c r="D63" s="78">
        <v>0.14583333333212067</v>
      </c>
      <c r="E63" s="78"/>
      <c r="F63" s="78">
        <v>0.013888888890505768</v>
      </c>
      <c r="G63" s="78"/>
      <c r="H63" s="78"/>
      <c r="I63" s="78"/>
      <c r="J63" s="78"/>
      <c r="K63" s="78"/>
      <c r="L63" s="78"/>
      <c r="M63" s="78"/>
      <c r="N63" s="78"/>
      <c r="O63" s="78">
        <v>0.15972222222262644</v>
      </c>
    </row>
    <row r="64" ht="15" customHeight="1" spans="1:15" x14ac:dyDescent="0.25">
      <c r="A64" s="77" t="s">
        <v>4747</v>
      </c>
      <c r="B64" s="78"/>
      <c r="C64" s="78"/>
      <c r="D64" s="78">
        <v>0.027777777777373558</v>
      </c>
      <c r="E64" s="78"/>
      <c r="F64" s="78"/>
      <c r="G64" s="78"/>
      <c r="H64" s="78"/>
      <c r="I64" s="78"/>
      <c r="J64" s="78"/>
      <c r="K64" s="78"/>
      <c r="L64" s="78"/>
      <c r="M64" s="78"/>
      <c r="N64" s="78"/>
      <c r="O64" s="78">
        <v>0.027777777777373558</v>
      </c>
    </row>
    <row r="65" ht="15" customHeight="1" spans="1:15" x14ac:dyDescent="0.25">
      <c r="A65" s="77" t="s">
        <v>4748</v>
      </c>
      <c r="B65" s="78"/>
      <c r="C65" s="78">
        <v>0.013888888890505768</v>
      </c>
      <c r="D65" s="78">
        <v>0.3875000000007276</v>
      </c>
      <c r="E65" s="78"/>
      <c r="F65" s="78"/>
      <c r="G65" s="78"/>
      <c r="H65" s="78"/>
      <c r="I65" s="78"/>
      <c r="J65" s="78"/>
      <c r="K65" s="78"/>
      <c r="L65" s="78"/>
      <c r="M65" s="78"/>
      <c r="N65" s="78"/>
      <c r="O65" s="78">
        <v>0.4013888888875954</v>
      </c>
    </row>
    <row r="66" ht="15" customHeight="1" spans="1:15" x14ac:dyDescent="0.25">
      <c r="A66" s="77" t="s">
        <v>35</v>
      </c>
      <c r="B66" s="78"/>
      <c r="C66" s="78"/>
      <c r="D66" s="78">
        <v>0.1256944444430701</v>
      </c>
      <c r="E66" s="78"/>
      <c r="F66" s="78"/>
      <c r="G66" s="78"/>
      <c r="H66" s="78"/>
      <c r="I66" s="78"/>
      <c r="J66" s="78"/>
      <c r="K66" s="78"/>
      <c r="L66" s="78"/>
      <c r="M66" s="78"/>
      <c r="N66" s="78"/>
      <c r="O66" s="78">
        <v>0.1256944444430701</v>
      </c>
    </row>
    <row r="67" ht="15" customHeight="1" spans="1:15" x14ac:dyDescent="0.25">
      <c r="A67" s="77" t="s">
        <v>4749</v>
      </c>
      <c r="B67" s="78"/>
      <c r="C67" s="78"/>
      <c r="D67" s="78"/>
      <c r="E67" s="78"/>
      <c r="F67" s="78"/>
      <c r="G67" s="78">
        <v>0.0625</v>
      </c>
      <c r="H67" s="78"/>
      <c r="I67" s="78"/>
      <c r="J67" s="78"/>
      <c r="K67" s="78"/>
      <c r="L67" s="78"/>
      <c r="M67" s="78"/>
      <c r="N67" s="78"/>
      <c r="O67" s="78">
        <v>0.0625</v>
      </c>
    </row>
    <row r="68" ht="15" customHeight="1" spans="1:15" x14ac:dyDescent="0.25">
      <c r="A68" s="77" t="s">
        <v>1532</v>
      </c>
      <c r="B68" s="78"/>
      <c r="C68" s="78"/>
      <c r="D68" s="78">
        <v>0.020833333332120674</v>
      </c>
      <c r="E68" s="78"/>
      <c r="F68" s="78"/>
      <c r="G68" s="78"/>
      <c r="H68" s="78"/>
      <c r="I68" s="78"/>
      <c r="J68" s="78"/>
      <c r="K68" s="78"/>
      <c r="L68" s="78"/>
      <c r="M68" s="78"/>
      <c r="N68" s="78"/>
      <c r="O68" s="78">
        <v>0.020833333332120674</v>
      </c>
    </row>
    <row r="69" ht="15" customHeight="1" spans="1:15" x14ac:dyDescent="0.25">
      <c r="A69" s="77" t="s">
        <v>4750</v>
      </c>
      <c r="B69" s="78"/>
      <c r="C69" s="78"/>
      <c r="D69" s="78">
        <v>0.16666666666787933</v>
      </c>
      <c r="E69" s="78"/>
      <c r="F69" s="78"/>
      <c r="G69" s="78"/>
      <c r="H69" s="78"/>
      <c r="I69" s="78"/>
      <c r="J69" s="78"/>
      <c r="K69" s="78"/>
      <c r="L69" s="78"/>
      <c r="M69" s="78"/>
      <c r="N69" s="78"/>
      <c r="O69" s="78">
        <v>0.16666666666787933</v>
      </c>
    </row>
    <row r="70" ht="15" customHeight="1" spans="1:15" x14ac:dyDescent="0.25">
      <c r="A70" s="77" t="s">
        <v>978</v>
      </c>
      <c r="B70" s="78">
        <v>0.07291666666787933</v>
      </c>
      <c r="C70" s="78"/>
      <c r="D70" s="78"/>
      <c r="E70" s="78"/>
      <c r="F70" s="78"/>
      <c r="G70" s="78"/>
      <c r="H70" s="78"/>
      <c r="I70" s="78"/>
      <c r="J70" s="78"/>
      <c r="K70" s="78"/>
      <c r="L70" s="78"/>
      <c r="M70" s="78"/>
      <c r="N70" s="78"/>
      <c r="O70" s="78">
        <v>0.07291666666787933</v>
      </c>
    </row>
    <row r="71" ht="15" customHeight="1" spans="1:15" x14ac:dyDescent="0.25">
      <c r="A71" s="77" t="s">
        <v>4751</v>
      </c>
      <c r="B71" s="78"/>
      <c r="C71" s="78"/>
      <c r="D71" s="78">
        <v>0.21875</v>
      </c>
      <c r="E71" s="78"/>
      <c r="F71" s="78"/>
      <c r="G71" s="78"/>
      <c r="H71" s="78"/>
      <c r="I71" s="78"/>
      <c r="J71" s="78"/>
      <c r="K71" s="78"/>
      <c r="L71" s="78"/>
      <c r="M71" s="78"/>
      <c r="N71" s="78"/>
      <c r="O71" s="78">
        <v>0.21875</v>
      </c>
    </row>
    <row r="72" ht="15" customHeight="1" spans="1:15" x14ac:dyDescent="0.25">
      <c r="A72" s="77" t="s">
        <v>4752</v>
      </c>
      <c r="B72" s="78">
        <v>0.013888888890505768</v>
      </c>
      <c r="C72" s="78"/>
      <c r="D72" s="78"/>
      <c r="E72" s="78"/>
      <c r="F72" s="78"/>
      <c r="G72" s="78"/>
      <c r="H72" s="78"/>
      <c r="I72" s="78"/>
      <c r="J72" s="78"/>
      <c r="K72" s="78"/>
      <c r="L72" s="78"/>
      <c r="M72" s="78"/>
      <c r="N72" s="78"/>
      <c r="O72" s="78">
        <v>0.013888888890505768</v>
      </c>
    </row>
    <row r="73" ht="15" customHeight="1" spans="1:15" x14ac:dyDescent="0.25">
      <c r="A73" s="77" t="s">
        <v>641</v>
      </c>
      <c r="B73" s="78"/>
      <c r="C73" s="78"/>
      <c r="D73" s="78">
        <v>0.041666666667879326</v>
      </c>
      <c r="E73" s="78"/>
      <c r="F73" s="78"/>
      <c r="G73" s="78"/>
      <c r="H73" s="78"/>
      <c r="I73" s="78"/>
      <c r="J73" s="78"/>
      <c r="K73" s="78"/>
      <c r="L73" s="78"/>
      <c r="M73" s="78"/>
      <c r="N73" s="78"/>
      <c r="O73" s="78">
        <v>0.041666666667879326</v>
      </c>
    </row>
    <row r="74" ht="15" customHeight="1" spans="1:15" x14ac:dyDescent="0.25">
      <c r="A74" s="77" t="s">
        <v>4753</v>
      </c>
      <c r="B74" s="78"/>
      <c r="C74" s="78"/>
      <c r="D74" s="78">
        <v>0.055555555554747116</v>
      </c>
      <c r="E74" s="78"/>
      <c r="F74" s="78"/>
      <c r="G74" s="78"/>
      <c r="H74" s="78"/>
      <c r="I74" s="78"/>
      <c r="J74" s="78"/>
      <c r="K74" s="78"/>
      <c r="L74" s="78"/>
      <c r="M74" s="78"/>
      <c r="N74" s="78"/>
      <c r="O74" s="78">
        <v>0.055555555554747116</v>
      </c>
    </row>
    <row r="75" ht="15" customHeight="1" spans="1:15" x14ac:dyDescent="0.25">
      <c r="A75" s="77" t="s">
        <v>4754</v>
      </c>
      <c r="B75" s="78"/>
      <c r="C75" s="78"/>
      <c r="D75" s="78">
        <v>0.010416666667879326</v>
      </c>
      <c r="E75" s="78"/>
      <c r="F75" s="78"/>
      <c r="G75" s="78"/>
      <c r="H75" s="78"/>
      <c r="I75" s="78"/>
      <c r="J75" s="78"/>
      <c r="K75" s="78"/>
      <c r="L75" s="78"/>
      <c r="M75" s="78"/>
      <c r="N75" s="78"/>
      <c r="O75" s="78">
        <v>0.010416666667879326</v>
      </c>
    </row>
    <row r="76" ht="15" customHeight="1" spans="1:15" x14ac:dyDescent="0.25">
      <c r="A76" s="77" t="s">
        <v>616</v>
      </c>
      <c r="B76" s="78"/>
      <c r="C76" s="78"/>
      <c r="D76" s="78"/>
      <c r="E76" s="78"/>
      <c r="F76" s="78"/>
      <c r="G76" s="78"/>
      <c r="H76" s="78">
        <v>0.041666666667879326</v>
      </c>
      <c r="I76" s="78"/>
      <c r="J76" s="78"/>
      <c r="K76" s="78"/>
      <c r="L76" s="78"/>
      <c r="M76" s="78"/>
      <c r="N76" s="78"/>
      <c r="O76" s="78">
        <v>0.041666666667879326</v>
      </c>
    </row>
    <row r="77" ht="15" customHeight="1" spans="1:15" x14ac:dyDescent="0.25">
      <c r="A77" s="77" t="s">
        <v>1603</v>
      </c>
      <c r="B77" s="78"/>
      <c r="C77" s="78"/>
      <c r="D77" s="78">
        <v>0.013888888890505768</v>
      </c>
      <c r="E77" s="78"/>
      <c r="F77" s="78"/>
      <c r="G77" s="78"/>
      <c r="H77" s="78"/>
      <c r="I77" s="78"/>
      <c r="J77" s="78"/>
      <c r="K77" s="78"/>
      <c r="L77" s="78"/>
      <c r="M77" s="78"/>
      <c r="N77" s="78"/>
      <c r="O77" s="78">
        <v>0.013888888890505768</v>
      </c>
    </row>
    <row r="78" ht="15" customHeight="1" spans="1:15" x14ac:dyDescent="0.25">
      <c r="A78" s="77" t="s">
        <v>4735</v>
      </c>
      <c r="B78" s="78">
        <v>1.4756944444452529</v>
      </c>
      <c r="C78" s="78">
        <v>0.7534722222226264</v>
      </c>
      <c r="D78" s="78">
        <v>21.934027777777374</v>
      </c>
      <c r="E78" s="78">
        <v>1.1319444444452529</v>
      </c>
      <c r="F78" s="78">
        <v>0.18055555555474712</v>
      </c>
      <c r="G78" s="78">
        <v>2.086805555554747</v>
      </c>
      <c r="H78" s="78">
        <v>0.5520833333321207</v>
      </c>
      <c r="I78" s="78">
        <v>0.24652777777737356</v>
      </c>
      <c r="J78" s="78">
        <v>0.041666666667879326</v>
      </c>
      <c r="K78" s="78">
        <v>1.0034722222226264</v>
      </c>
      <c r="L78" s="78">
        <v>0.11458333333212067</v>
      </c>
      <c r="M78" s="78">
        <v>0.08333333333212067</v>
      </c>
      <c r="N78" s="78">
        <v>0</v>
      </c>
      <c r="O78" s="78">
        <v>29.60416666666788</v>
      </c>
    </row>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spans="1:11" x14ac:dyDescent="0.25">
      <c r="A92" s="77"/>
      <c r="B92" s="79"/>
      <c r="C92" s="79"/>
      <c r="D92" s="79"/>
      <c r="E92" s="79"/>
      <c r="F92" s="79"/>
      <c r="G92" s="79"/>
      <c r="H92" s="79"/>
      <c r="I92" s="79"/>
      <c r="J92" s="79"/>
      <c r="K92" s="79"/>
    </row>
    <row r="93" spans="1:11" x14ac:dyDescent="0.25">
      <c r="A93" s="77"/>
      <c r="B93" s="79"/>
      <c r="C93" s="79"/>
      <c r="D93" s="79"/>
      <c r="E93" s="79"/>
      <c r="F93" s="79"/>
      <c r="G93" s="79"/>
      <c r="H93" s="79"/>
      <c r="I93" s="79"/>
      <c r="J93" s="79"/>
      <c r="K93" s="79"/>
    </row>
    <row r="94" spans="1:11" x14ac:dyDescent="0.25">
      <c r="A94" s="77"/>
      <c r="B94" s="79"/>
      <c r="C94" s="79"/>
      <c r="D94" s="79"/>
      <c r="E94" s="79"/>
      <c r="F94" s="79"/>
      <c r="G94" s="79"/>
      <c r="H94" s="79"/>
      <c r="I94" s="79"/>
      <c r="J94" s="79"/>
      <c r="K94" s="79"/>
    </row>
    <row r="95" spans="1:11" x14ac:dyDescent="0.25">
      <c r="A95" s="77"/>
      <c r="B95" s="79"/>
      <c r="C95" s="79"/>
      <c r="D95" s="79"/>
      <c r="E95" s="79"/>
      <c r="F95" s="79"/>
      <c r="G95" s="79"/>
      <c r="H95" s="79"/>
      <c r="I95" s="79"/>
      <c r="J95" s="79"/>
      <c r="K95" s="79"/>
    </row>
    <row r="96" spans="1:11" x14ac:dyDescent="0.25">
      <c r="A96" s="77"/>
      <c r="B96" s="79"/>
      <c r="C96" s="79"/>
      <c r="D96" s="79"/>
      <c r="E96" s="79"/>
      <c r="F96" s="79"/>
      <c r="G96" s="79"/>
      <c r="H96" s="79"/>
      <c r="I96" s="79"/>
      <c r="J96" s="79"/>
      <c r="K96" s="79"/>
    </row>
    <row r="97" spans="1:11" x14ac:dyDescent="0.25">
      <c r="A97" s="77"/>
      <c r="B97" s="79"/>
      <c r="C97" s="79"/>
      <c r="D97" s="79"/>
      <c r="E97" s="79"/>
      <c r="F97" s="79"/>
      <c r="G97" s="79"/>
      <c r="H97" s="79"/>
      <c r="I97" s="79"/>
      <c r="J97" s="79"/>
      <c r="K97" s="79"/>
    </row>
    <row r="98" spans="1:2" x14ac:dyDescent="0.25">
      <c r="A98" s="75" t="s">
        <v>4755</v>
      </c>
      <c r="B98" s="75" t="s">
        <v>4728</v>
      </c>
    </row>
    <row r="99" spans="1:15" x14ac:dyDescent="0.25">
      <c r="A99" s="75" t="s">
        <v>4729</v>
      </c>
      <c r="B99" s="75" t="s">
        <v>50</v>
      </c>
      <c r="C99" s="75" t="s">
        <v>953</v>
      </c>
      <c r="D99" s="75" t="s">
        <v>28</v>
      </c>
      <c r="E99" s="75" t="s">
        <v>4730</v>
      </c>
      <c r="F99" s="75" t="s">
        <v>96</v>
      </c>
      <c r="G99" s="75" t="s">
        <v>255</v>
      </c>
      <c r="H99" s="75" t="s">
        <v>670</v>
      </c>
      <c r="I99" s="75" t="s">
        <v>4731</v>
      </c>
      <c r="J99" s="75" t="s">
        <v>4732</v>
      </c>
      <c r="K99" s="75" t="s">
        <v>1368</v>
      </c>
      <c r="L99" s="75" t="s">
        <v>4733</v>
      </c>
      <c r="M99" s="75" t="s">
        <v>4734</v>
      </c>
      <c r="N99" s="75" t="s">
        <v>507</v>
      </c>
      <c r="O99" s="75" t="s">
        <v>4735</v>
      </c>
    </row>
    <row r="100" spans="1:15" x14ac:dyDescent="0.25">
      <c r="A100" s="77" t="s">
        <v>1019</v>
      </c>
      <c r="C100" s="75">
        <v>1</v>
      </c>
      <c r="D100" s="75">
        <v>4</v>
      </c>
      <c r="O100" s="75">
        <v>5</v>
      </c>
    </row>
    <row r="101" spans="1:15" x14ac:dyDescent="0.25">
      <c r="A101" s="77" t="s">
        <v>974</v>
      </c>
      <c r="B101" s="75">
        <v>3</v>
      </c>
      <c r="C101" s="75">
        <v>1</v>
      </c>
      <c r="D101" s="75">
        <v>3</v>
      </c>
      <c r="E101" s="75">
        <v>1</v>
      </c>
      <c r="G101" s="75">
        <v>1</v>
      </c>
      <c r="I101" s="75">
        <v>1</v>
      </c>
      <c r="O101" s="75">
        <v>10</v>
      </c>
    </row>
    <row r="102" spans="1:15" x14ac:dyDescent="0.25">
      <c r="A102" s="77" t="s">
        <v>285</v>
      </c>
      <c r="B102" s="75">
        <v>2</v>
      </c>
      <c r="C102" s="75">
        <v>1</v>
      </c>
      <c r="D102" s="75">
        <v>10</v>
      </c>
      <c r="E102" s="75">
        <v>1</v>
      </c>
      <c r="G102" s="75">
        <v>1</v>
      </c>
      <c r="H102" s="75">
        <v>1</v>
      </c>
      <c r="L102" s="75">
        <v>1</v>
      </c>
      <c r="O102" s="75">
        <v>17</v>
      </c>
    </row>
    <row r="103" spans="1:15" x14ac:dyDescent="0.25">
      <c r="A103" s="77" t="s">
        <v>963</v>
      </c>
      <c r="C103" s="75">
        <v>1</v>
      </c>
      <c r="D103" s="75">
        <v>5</v>
      </c>
      <c r="O103" s="75">
        <v>6</v>
      </c>
    </row>
    <row r="104" spans="1:15" x14ac:dyDescent="0.25">
      <c r="A104" s="77" t="s">
        <v>261</v>
      </c>
      <c r="B104" s="75">
        <v>4</v>
      </c>
      <c r="D104" s="75">
        <v>8</v>
      </c>
      <c r="O104" s="75">
        <v>12</v>
      </c>
    </row>
    <row r="105" spans="1:15" x14ac:dyDescent="0.25">
      <c r="A105" s="77" t="s">
        <v>44</v>
      </c>
      <c r="D105" s="75">
        <v>1</v>
      </c>
      <c r="O105" s="75">
        <v>1</v>
      </c>
    </row>
    <row r="106" spans="1:15" x14ac:dyDescent="0.25">
      <c r="A106" s="77" t="s">
        <v>989</v>
      </c>
      <c r="B106" s="75">
        <v>1</v>
      </c>
      <c r="C106" s="75">
        <v>1</v>
      </c>
      <c r="D106" s="75">
        <v>19</v>
      </c>
      <c r="E106" s="75">
        <v>3</v>
      </c>
      <c r="F106" s="75">
        <v>1</v>
      </c>
      <c r="G106" s="75">
        <v>3</v>
      </c>
      <c r="I106" s="75">
        <v>2</v>
      </c>
      <c r="K106" s="75">
        <v>1</v>
      </c>
      <c r="O106" s="75">
        <v>31</v>
      </c>
    </row>
    <row r="107" spans="1:15" x14ac:dyDescent="0.25">
      <c r="A107" s="77" t="s">
        <v>1003</v>
      </c>
      <c r="D107" s="75">
        <v>5</v>
      </c>
      <c r="O107" s="75">
        <v>5</v>
      </c>
    </row>
    <row r="108" spans="1:15" x14ac:dyDescent="0.25">
      <c r="A108" s="77" t="s">
        <v>3573</v>
      </c>
      <c r="B108" s="75">
        <v>1</v>
      </c>
      <c r="G108" s="75">
        <v>1</v>
      </c>
      <c r="O108" s="75">
        <v>2</v>
      </c>
    </row>
    <row r="109" spans="1:15" x14ac:dyDescent="0.25">
      <c r="A109" s="77" t="s">
        <v>541</v>
      </c>
      <c r="B109" s="75">
        <v>4</v>
      </c>
      <c r="C109" s="75">
        <v>1</v>
      </c>
      <c r="D109" s="75">
        <v>9</v>
      </c>
      <c r="E109" s="75">
        <v>1</v>
      </c>
      <c r="G109" s="75">
        <v>2</v>
      </c>
      <c r="H109" s="75">
        <v>3</v>
      </c>
      <c r="I109" s="75">
        <v>1</v>
      </c>
      <c r="O109" s="75">
        <v>21</v>
      </c>
    </row>
    <row r="110" spans="1:15" x14ac:dyDescent="0.25">
      <c r="A110" s="77" t="s">
        <v>186</v>
      </c>
      <c r="D110" s="75">
        <v>5</v>
      </c>
      <c r="G110" s="75">
        <v>3</v>
      </c>
      <c r="H110" s="75">
        <v>1</v>
      </c>
      <c r="N110" s="75">
        <v>1</v>
      </c>
      <c r="O110" s="75">
        <v>10</v>
      </c>
    </row>
    <row r="111" spans="1:15" x14ac:dyDescent="0.25">
      <c r="A111" s="77" t="s">
        <v>951</v>
      </c>
      <c r="B111" s="75">
        <v>2</v>
      </c>
      <c r="C111" s="75">
        <v>8</v>
      </c>
      <c r="D111" s="75">
        <v>9</v>
      </c>
      <c r="G111" s="75">
        <v>6</v>
      </c>
      <c r="I111" s="75">
        <v>1</v>
      </c>
      <c r="K111" s="75">
        <v>1</v>
      </c>
      <c r="O111" s="75">
        <v>27</v>
      </c>
    </row>
    <row r="112" spans="1:15" x14ac:dyDescent="0.25">
      <c r="A112" s="77" t="s">
        <v>1042</v>
      </c>
      <c r="B112" s="75">
        <v>1</v>
      </c>
      <c r="C112" s="75">
        <v>6</v>
      </c>
      <c r="D112" s="75">
        <v>10</v>
      </c>
      <c r="F112" s="75">
        <v>1</v>
      </c>
      <c r="G112" s="75">
        <v>4</v>
      </c>
      <c r="H112" s="75">
        <v>1</v>
      </c>
      <c r="I112" s="75">
        <v>1</v>
      </c>
      <c r="O112" s="75">
        <v>24</v>
      </c>
    </row>
    <row r="113" spans="1:15" x14ac:dyDescent="0.25">
      <c r="A113" s="77" t="s">
        <v>1104</v>
      </c>
      <c r="D113" s="75">
        <v>2</v>
      </c>
      <c r="O113" s="75">
        <v>2</v>
      </c>
    </row>
    <row r="114" spans="1:15" x14ac:dyDescent="0.25">
      <c r="A114" s="77" t="s">
        <v>1112</v>
      </c>
      <c r="B114" s="75">
        <v>3</v>
      </c>
      <c r="C114" s="75">
        <v>1</v>
      </c>
      <c r="D114" s="75">
        <v>6</v>
      </c>
      <c r="O114" s="75">
        <v>10</v>
      </c>
    </row>
    <row r="115" spans="1:15" x14ac:dyDescent="0.25">
      <c r="A115" s="77" t="s">
        <v>1236</v>
      </c>
      <c r="B115" s="75">
        <v>1</v>
      </c>
      <c r="D115" s="75">
        <v>3</v>
      </c>
      <c r="O115" s="75">
        <v>4</v>
      </c>
    </row>
    <row r="116" spans="1:15" x14ac:dyDescent="0.25">
      <c r="A116" s="77" t="s">
        <v>25</v>
      </c>
      <c r="B116" s="75">
        <v>10</v>
      </c>
      <c r="C116" s="75">
        <v>7</v>
      </c>
      <c r="D116" s="75">
        <v>65</v>
      </c>
      <c r="E116" s="75">
        <v>2</v>
      </c>
      <c r="F116" s="75">
        <v>1</v>
      </c>
      <c r="G116" s="75">
        <v>14</v>
      </c>
      <c r="H116" s="75">
        <v>1</v>
      </c>
      <c r="I116" s="75">
        <v>3</v>
      </c>
      <c r="J116" s="75">
        <v>1</v>
      </c>
      <c r="L116" s="75">
        <v>1</v>
      </c>
      <c r="M116" s="75">
        <v>1</v>
      </c>
      <c r="O116" s="75">
        <v>106</v>
      </c>
    </row>
    <row r="117" spans="1:15" x14ac:dyDescent="0.25">
      <c r="A117" s="77" t="s">
        <v>123</v>
      </c>
      <c r="B117" s="75">
        <v>1</v>
      </c>
      <c r="D117" s="75">
        <v>3</v>
      </c>
      <c r="O117" s="75">
        <v>4</v>
      </c>
    </row>
    <row r="118" spans="1:15" x14ac:dyDescent="0.25">
      <c r="A118" s="77" t="s">
        <v>1258</v>
      </c>
      <c r="D118" s="75">
        <v>2</v>
      </c>
      <c r="O118" s="75">
        <v>2</v>
      </c>
    </row>
    <row r="119" spans="1:15" x14ac:dyDescent="0.25">
      <c r="A119" s="77" t="s">
        <v>1353</v>
      </c>
      <c r="C119" s="75">
        <v>1</v>
      </c>
      <c r="D119" s="75">
        <v>1</v>
      </c>
      <c r="O119" s="75">
        <v>2</v>
      </c>
    </row>
    <row r="120" spans="1:15" x14ac:dyDescent="0.25">
      <c r="A120" s="77" t="s">
        <v>1359</v>
      </c>
      <c r="D120" s="75">
        <v>2</v>
      </c>
      <c r="O120" s="75">
        <v>2</v>
      </c>
    </row>
    <row r="121" spans="1:15" x14ac:dyDescent="0.25">
      <c r="A121" s="77" t="s">
        <v>1533</v>
      </c>
      <c r="D121" s="75">
        <v>1</v>
      </c>
      <c r="O121" s="75">
        <v>1</v>
      </c>
    </row>
    <row r="122" spans="1:15" x14ac:dyDescent="0.25">
      <c r="A122" s="77" t="s">
        <v>4756</v>
      </c>
      <c r="B122" s="75">
        <v>1</v>
      </c>
      <c r="O122" s="75">
        <v>1</v>
      </c>
    </row>
    <row r="123" spans="1:15" x14ac:dyDescent="0.25">
      <c r="A123" s="77" t="s">
        <v>4757</v>
      </c>
      <c r="D123" s="75">
        <v>2</v>
      </c>
      <c r="O123" s="75">
        <v>2</v>
      </c>
    </row>
    <row r="124" spans="1:15" x14ac:dyDescent="0.25">
      <c r="A124" s="77" t="s">
        <v>4758</v>
      </c>
      <c r="D124" s="75">
        <v>1</v>
      </c>
      <c r="O124" s="75">
        <v>1</v>
      </c>
    </row>
    <row r="125" spans="1:15" x14ac:dyDescent="0.25">
      <c r="A125" s="77" t="s">
        <v>4759</v>
      </c>
      <c r="D125" s="75">
        <v>1</v>
      </c>
      <c r="O125" s="75">
        <v>1</v>
      </c>
    </row>
    <row r="126" spans="1:15" x14ac:dyDescent="0.25">
      <c r="A126" s="77" t="s">
        <v>4735</v>
      </c>
      <c r="B126" s="75">
        <v>34</v>
      </c>
      <c r="C126" s="75">
        <v>29</v>
      </c>
      <c r="D126" s="75">
        <v>177</v>
      </c>
      <c r="E126" s="75">
        <v>8</v>
      </c>
      <c r="F126" s="75">
        <v>3</v>
      </c>
      <c r="G126" s="75">
        <v>35</v>
      </c>
      <c r="H126" s="75">
        <v>7</v>
      </c>
      <c r="I126" s="75">
        <v>9</v>
      </c>
      <c r="J126" s="75">
        <v>1</v>
      </c>
      <c r="K126" s="75">
        <v>2</v>
      </c>
      <c r="L126" s="75">
        <v>2</v>
      </c>
      <c r="M126" s="75">
        <v>1</v>
      </c>
      <c r="N126" s="75">
        <v>1</v>
      </c>
      <c r="O126" s="75">
        <v>309</v>
      </c>
    </row>
    <row r="127" spans="1:1" x14ac:dyDescent="0.25">
      <c r="A127" s="77"/>
    </row>
    <row r="129" spans="1:1" x14ac:dyDescent="0.25">
      <c r="A129" s="76" t="s">
        <v>4760</v>
      </c>
    </row>
    <row r="130" ht="15" customHeight="1" spans="1:2" x14ac:dyDescent="0.25">
      <c r="A130" s="75" t="s">
        <v>4729</v>
      </c>
      <c r="B130" s="75" t="s">
        <v>4761</v>
      </c>
    </row>
    <row r="131" ht="15" customHeight="1" spans="1:2" x14ac:dyDescent="0.25">
      <c r="A131" s="77" t="s">
        <v>950</v>
      </c>
      <c r="B131" s="75">
        <v>9</v>
      </c>
    </row>
    <row r="132" ht="15" customHeight="1" spans="1:2" x14ac:dyDescent="0.25">
      <c r="A132" s="77" t="s">
        <v>962</v>
      </c>
      <c r="B132" s="75">
        <v>4</v>
      </c>
    </row>
    <row r="133" ht="15" customHeight="1" spans="1:2" x14ac:dyDescent="0.25">
      <c r="A133" s="77" t="s">
        <v>968</v>
      </c>
      <c r="B133" s="75">
        <v>2</v>
      </c>
    </row>
    <row r="134" ht="15" customHeight="1" spans="1:2" x14ac:dyDescent="0.25">
      <c r="A134" s="77" t="s">
        <v>1018</v>
      </c>
      <c r="B134" s="75">
        <v>7</v>
      </c>
    </row>
    <row r="135" ht="15" customHeight="1" spans="1:2" x14ac:dyDescent="0.25">
      <c r="A135" s="77" t="s">
        <v>284</v>
      </c>
      <c r="B135" s="75">
        <v>1</v>
      </c>
    </row>
    <row r="136" ht="15" customHeight="1" spans="1:2" x14ac:dyDescent="0.25">
      <c r="A136" s="77" t="s">
        <v>4736</v>
      </c>
      <c r="B136" s="75">
        <v>10</v>
      </c>
    </row>
    <row r="137" ht="15" customHeight="1" spans="1:2" x14ac:dyDescent="0.25">
      <c r="A137" s="77" t="s">
        <v>4737</v>
      </c>
      <c r="B137" s="75">
        <v>1</v>
      </c>
    </row>
    <row r="138" ht="15" customHeight="1" spans="1:2" x14ac:dyDescent="0.25">
      <c r="A138" s="77" t="s">
        <v>4738</v>
      </c>
      <c r="B138" s="75">
        <v>1</v>
      </c>
    </row>
    <row r="139" ht="15" customHeight="1" spans="1:2" x14ac:dyDescent="0.25">
      <c r="A139" s="77" t="s">
        <v>988</v>
      </c>
      <c r="B139" s="75">
        <v>8</v>
      </c>
    </row>
    <row r="140" ht="15" customHeight="1" spans="1:2" x14ac:dyDescent="0.25">
      <c r="A140" s="77" t="s">
        <v>998</v>
      </c>
      <c r="B140" s="75">
        <v>1</v>
      </c>
    </row>
    <row r="141" ht="15" customHeight="1" spans="1:2" x14ac:dyDescent="0.25">
      <c r="A141" s="77" t="s">
        <v>3952</v>
      </c>
      <c r="B141" s="75">
        <v>2</v>
      </c>
    </row>
    <row r="142" ht="15" customHeight="1" spans="1:2" x14ac:dyDescent="0.25">
      <c r="A142" s="77" t="s">
        <v>1002</v>
      </c>
      <c r="B142" s="75">
        <v>5</v>
      </c>
    </row>
    <row r="143" ht="15" customHeight="1" spans="1:2" x14ac:dyDescent="0.25">
      <c r="A143" s="77" t="s">
        <v>1006</v>
      </c>
      <c r="B143" s="75">
        <v>1</v>
      </c>
    </row>
    <row r="144" ht="15" customHeight="1" spans="1:2" x14ac:dyDescent="0.25">
      <c r="A144" s="77" t="s">
        <v>1009</v>
      </c>
      <c r="B144" s="75">
        <v>11</v>
      </c>
    </row>
    <row r="145" ht="15" customHeight="1" spans="1:2" x14ac:dyDescent="0.25">
      <c r="A145" s="77" t="s">
        <v>1038</v>
      </c>
      <c r="B145" s="75">
        <v>3</v>
      </c>
    </row>
    <row r="146" ht="15" customHeight="1" spans="1:2" x14ac:dyDescent="0.25">
      <c r="A146" s="77" t="s">
        <v>4739</v>
      </c>
      <c r="B146" s="75">
        <v>1</v>
      </c>
    </row>
    <row r="147" ht="15" customHeight="1" spans="1:2" x14ac:dyDescent="0.25">
      <c r="A147" s="77" t="s">
        <v>1047</v>
      </c>
      <c r="B147" s="75">
        <v>16</v>
      </c>
    </row>
    <row r="148" ht="15" customHeight="1" spans="1:2" x14ac:dyDescent="0.25">
      <c r="A148" s="77" t="s">
        <v>199</v>
      </c>
      <c r="B148" s="75">
        <v>10</v>
      </c>
    </row>
    <row r="149" ht="15" customHeight="1" spans="1:2" x14ac:dyDescent="0.25">
      <c r="A149" s="77" t="s">
        <v>796</v>
      </c>
      <c r="B149" s="75">
        <v>12</v>
      </c>
    </row>
    <row r="150" spans="1:2" x14ac:dyDescent="0.25">
      <c r="A150" s="77" t="s">
        <v>1041</v>
      </c>
      <c r="B150" s="75">
        <v>22</v>
      </c>
    </row>
    <row r="151" spans="1:2" x14ac:dyDescent="0.25">
      <c r="A151" s="77" t="s">
        <v>288</v>
      </c>
      <c r="B151" s="75">
        <v>7</v>
      </c>
    </row>
    <row r="152" spans="1:2" x14ac:dyDescent="0.25">
      <c r="A152" s="77" t="s">
        <v>1093</v>
      </c>
      <c r="B152" s="75">
        <v>8</v>
      </c>
    </row>
    <row r="153" spans="1:2" x14ac:dyDescent="0.25">
      <c r="A153" s="77" t="s">
        <v>1096</v>
      </c>
      <c r="B153" s="75">
        <v>3</v>
      </c>
    </row>
    <row r="154" spans="1:2" x14ac:dyDescent="0.25">
      <c r="A154" s="77" t="s">
        <v>1103</v>
      </c>
      <c r="B154" s="75">
        <v>2</v>
      </c>
    </row>
    <row r="155" spans="1:2" x14ac:dyDescent="0.25">
      <c r="A155" s="77" t="s">
        <v>1111</v>
      </c>
      <c r="B155" s="75">
        <v>5</v>
      </c>
    </row>
    <row r="156" spans="1:2" x14ac:dyDescent="0.25">
      <c r="A156" s="77" t="s">
        <v>1120</v>
      </c>
      <c r="B156" s="75">
        <v>3</v>
      </c>
    </row>
    <row r="157" spans="1:2" x14ac:dyDescent="0.25">
      <c r="A157" s="77" t="s">
        <v>4740</v>
      </c>
      <c r="B157" s="75">
        <v>1</v>
      </c>
    </row>
    <row r="158" spans="1:2" x14ac:dyDescent="0.25">
      <c r="A158" s="77" t="s">
        <v>4741</v>
      </c>
      <c r="B158" s="75">
        <v>1</v>
      </c>
    </row>
    <row r="159" spans="1:2" x14ac:dyDescent="0.25">
      <c r="A159" s="77" t="s">
        <v>1133</v>
      </c>
      <c r="B159" s="75">
        <v>1</v>
      </c>
    </row>
    <row r="160" spans="1:2" x14ac:dyDescent="0.25">
      <c r="A160" s="77" t="s">
        <v>4742</v>
      </c>
      <c r="B160" s="75">
        <v>5</v>
      </c>
    </row>
    <row r="161" spans="1:2" x14ac:dyDescent="0.25">
      <c r="A161" s="77" t="s">
        <v>1012</v>
      </c>
      <c r="B161" s="75">
        <v>16</v>
      </c>
    </row>
    <row r="162" spans="1:2" x14ac:dyDescent="0.25">
      <c r="A162" s="77" t="s">
        <v>1024</v>
      </c>
      <c r="B162" s="75">
        <v>3</v>
      </c>
    </row>
    <row r="163" spans="1:2" x14ac:dyDescent="0.25">
      <c r="A163" s="77" t="s">
        <v>1059</v>
      </c>
      <c r="B163" s="75">
        <v>4</v>
      </c>
    </row>
    <row r="164" spans="1:2" x14ac:dyDescent="0.25">
      <c r="A164" s="77" t="s">
        <v>1087</v>
      </c>
      <c r="B164" s="75">
        <v>9</v>
      </c>
    </row>
    <row r="165" spans="1:2" x14ac:dyDescent="0.25">
      <c r="A165" s="77" t="s">
        <v>118</v>
      </c>
      <c r="B165" s="75">
        <v>5</v>
      </c>
    </row>
    <row r="166" spans="1:2" x14ac:dyDescent="0.25">
      <c r="A166" s="77" t="s">
        <v>1155</v>
      </c>
      <c r="B166" s="75">
        <v>3</v>
      </c>
    </row>
    <row r="167" spans="1:2" x14ac:dyDescent="0.25">
      <c r="A167" s="77" t="s">
        <v>1169</v>
      </c>
      <c r="B167" s="75">
        <v>5</v>
      </c>
    </row>
    <row r="168" spans="1:2" x14ac:dyDescent="0.25">
      <c r="A168" s="77" t="s">
        <v>1191</v>
      </c>
      <c r="B168" s="75">
        <v>1</v>
      </c>
    </row>
    <row r="169" spans="1:2" x14ac:dyDescent="0.25">
      <c r="A169" s="77" t="s">
        <v>1204</v>
      </c>
      <c r="B169" s="75">
        <v>4</v>
      </c>
    </row>
    <row r="170" spans="1:2" x14ac:dyDescent="0.25">
      <c r="A170" s="77" t="s">
        <v>99</v>
      </c>
      <c r="B170" s="75">
        <v>14</v>
      </c>
    </row>
    <row r="171" spans="1:2" x14ac:dyDescent="0.25">
      <c r="A171" s="77" t="s">
        <v>1212</v>
      </c>
      <c r="B171" s="75">
        <v>9</v>
      </c>
    </row>
    <row r="172" spans="1:2" x14ac:dyDescent="0.25">
      <c r="A172" s="77" t="s">
        <v>1217</v>
      </c>
      <c r="B172" s="75">
        <v>1</v>
      </c>
    </row>
    <row r="173" spans="1:2" x14ac:dyDescent="0.25">
      <c r="A173" s="77" t="s">
        <v>1235</v>
      </c>
      <c r="B173" s="75">
        <v>3</v>
      </c>
    </row>
    <row r="174" spans="1:2" x14ac:dyDescent="0.25">
      <c r="A174" s="77" t="s">
        <v>545</v>
      </c>
      <c r="B174" s="75">
        <v>2</v>
      </c>
    </row>
    <row r="175" spans="1:2" x14ac:dyDescent="0.25">
      <c r="A175" s="77" t="s">
        <v>4743</v>
      </c>
      <c r="B175" s="75">
        <v>6</v>
      </c>
    </row>
    <row r="176" spans="1:2" x14ac:dyDescent="0.25">
      <c r="A176" s="77" t="s">
        <v>122</v>
      </c>
      <c r="B176" s="75">
        <v>4</v>
      </c>
    </row>
    <row r="177" spans="1:2" x14ac:dyDescent="0.25">
      <c r="A177" s="77" t="s">
        <v>489</v>
      </c>
      <c r="B177" s="75">
        <v>3</v>
      </c>
    </row>
    <row r="178" spans="1:2" x14ac:dyDescent="0.25">
      <c r="A178" s="77" t="s">
        <v>4024</v>
      </c>
      <c r="B178" s="75">
        <v>2</v>
      </c>
    </row>
    <row r="179" spans="1:2" x14ac:dyDescent="0.25">
      <c r="A179" s="77" t="s">
        <v>4744</v>
      </c>
      <c r="B179" s="75">
        <v>3</v>
      </c>
    </row>
    <row r="180" spans="1:2" x14ac:dyDescent="0.25">
      <c r="A180" s="77" t="s">
        <v>113</v>
      </c>
      <c r="B180" s="75">
        <v>6</v>
      </c>
    </row>
    <row r="181" spans="1:2" x14ac:dyDescent="0.25">
      <c r="A181" s="77" t="s">
        <v>1201</v>
      </c>
      <c r="B181" s="75">
        <v>3</v>
      </c>
    </row>
    <row r="182" spans="1:2" x14ac:dyDescent="0.25">
      <c r="A182" s="77" t="s">
        <v>525</v>
      </c>
      <c r="B182" s="75">
        <v>3</v>
      </c>
    </row>
    <row r="183" spans="1:2" x14ac:dyDescent="0.25">
      <c r="A183" s="77" t="s">
        <v>1358</v>
      </c>
      <c r="B183" s="75">
        <v>2</v>
      </c>
    </row>
    <row r="184" spans="1:2" x14ac:dyDescent="0.25">
      <c r="A184" s="77" t="s">
        <v>985</v>
      </c>
      <c r="B184" s="75">
        <v>1</v>
      </c>
    </row>
    <row r="185" spans="1:2" x14ac:dyDescent="0.25">
      <c r="A185" s="77" t="s">
        <v>1442</v>
      </c>
      <c r="B185" s="75">
        <v>2</v>
      </c>
    </row>
    <row r="186" spans="1:2" x14ac:dyDescent="0.25">
      <c r="A186" s="77" t="s">
        <v>1448</v>
      </c>
      <c r="B186" s="75">
        <v>1</v>
      </c>
    </row>
    <row r="187" spans="1:2" x14ac:dyDescent="0.25">
      <c r="A187" s="77" t="s">
        <v>1451</v>
      </c>
      <c r="B187" s="75">
        <v>7</v>
      </c>
    </row>
    <row r="188" spans="1:2" x14ac:dyDescent="0.25">
      <c r="A188" s="77" t="s">
        <v>1473</v>
      </c>
      <c r="B188" s="75">
        <v>3</v>
      </c>
    </row>
    <row r="189" spans="1:2" x14ac:dyDescent="0.25">
      <c r="A189" s="77" t="s">
        <v>4745</v>
      </c>
      <c r="B189" s="75">
        <v>1</v>
      </c>
    </row>
    <row r="190" spans="1:2" x14ac:dyDescent="0.25">
      <c r="A190" s="77" t="s">
        <v>4746</v>
      </c>
      <c r="B190" s="75">
        <v>2</v>
      </c>
    </row>
    <row r="191" spans="1:2" x14ac:dyDescent="0.25">
      <c r="A191" s="77" t="s">
        <v>4747</v>
      </c>
      <c r="B191" s="75">
        <v>1</v>
      </c>
    </row>
    <row r="192" spans="1:2" x14ac:dyDescent="0.25">
      <c r="A192" s="77" t="s">
        <v>4748</v>
      </c>
      <c r="B192" s="75">
        <v>4</v>
      </c>
    </row>
    <row r="193" spans="1:2" x14ac:dyDescent="0.25">
      <c r="A193" s="77" t="s">
        <v>35</v>
      </c>
      <c r="B193" s="75">
        <v>2</v>
      </c>
    </row>
    <row r="194" spans="1:2" x14ac:dyDescent="0.25">
      <c r="A194" s="77" t="s">
        <v>4749</v>
      </c>
      <c r="B194" s="75">
        <v>1</v>
      </c>
    </row>
    <row r="195" spans="1:2" x14ac:dyDescent="0.25">
      <c r="A195" s="77" t="s">
        <v>1532</v>
      </c>
      <c r="B195" s="75">
        <v>1</v>
      </c>
    </row>
    <row r="196" spans="1:2" x14ac:dyDescent="0.25">
      <c r="A196" s="77" t="s">
        <v>4750</v>
      </c>
      <c r="B196" s="75">
        <v>1</v>
      </c>
    </row>
    <row r="197" spans="1:2" x14ac:dyDescent="0.25">
      <c r="A197" s="77" t="s">
        <v>978</v>
      </c>
      <c r="B197" s="75">
        <v>1</v>
      </c>
    </row>
    <row r="198" spans="1:2" x14ac:dyDescent="0.25">
      <c r="A198" s="77" t="s">
        <v>4751</v>
      </c>
      <c r="B198" s="75">
        <v>1</v>
      </c>
    </row>
    <row r="199" spans="1:2" x14ac:dyDescent="0.25">
      <c r="A199" s="77" t="s">
        <v>4752</v>
      </c>
      <c r="B199" s="75">
        <v>1</v>
      </c>
    </row>
    <row r="200" spans="1:2" x14ac:dyDescent="0.25">
      <c r="A200" s="77" t="s">
        <v>641</v>
      </c>
      <c r="B200" s="75">
        <v>1</v>
      </c>
    </row>
    <row r="201" spans="1:2" x14ac:dyDescent="0.25">
      <c r="A201" s="77" t="s">
        <v>4753</v>
      </c>
      <c r="B201" s="75">
        <v>1</v>
      </c>
    </row>
    <row r="202" spans="1:2" x14ac:dyDescent="0.25">
      <c r="A202" s="77" t="s">
        <v>4754</v>
      </c>
      <c r="B202" s="75">
        <v>1</v>
      </c>
    </row>
    <row r="203" spans="1:2" x14ac:dyDescent="0.25">
      <c r="A203" s="77" t="s">
        <v>616</v>
      </c>
      <c r="B203" s="75">
        <v>1</v>
      </c>
    </row>
    <row r="204" spans="1:2" x14ac:dyDescent="0.25">
      <c r="A204" s="77" t="s">
        <v>1603</v>
      </c>
      <c r="B204" s="75">
        <v>1</v>
      </c>
    </row>
    <row r="205" spans="1:2" x14ac:dyDescent="0.25">
      <c r="A205" s="77" t="s">
        <v>4735</v>
      </c>
      <c r="B205" s="75">
        <v>309</v>
      </c>
    </row>
  </sheetData>
  <pageMargins left="0.7" right="0.7" top="0.75" bottom="0.75" header="0.3" footer="0.3"/>
  <pageSetup paperSize="9" orientation="portrait" horizontalDpi="4294967295" verticalDpi="300"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41"/>
  <sheetViews>
    <sheetView workbookViewId="0" zoomScale="100" zoomScaleNormal="100">
      <pane xSplit="4" ySplit="2" topLeftCell="E3" activePane="bottomRight" state="frozen"/>
      <selection pane="bottomRight" activeCell="A2" sqref="A2"/>
    </sheetView>
  </sheetViews>
  <sheetFormatPr defaultRowHeight="15" outlineLevelRow="0" outlineLevelCol="0" x14ac:dyDescent="0.25" defaultColWidth="9.140625"/>
  <cols>
    <col min="1" max="1" width="10.85546875" style="1" customWidth="1"/>
    <col min="2" max="2" width="8.42578125" style="1" customWidth="1"/>
    <col min="3" max="3" width="31.7109375" style="2" customWidth="1"/>
    <col min="4" max="4" width="20.28515625" style="1" customWidth="1"/>
    <col min="5" max="5" width="12.85546875" style="1" customWidth="1"/>
    <col min="6" max="6" width="11.7109375" style="1" customWidth="1"/>
    <col min="7" max="7" width="14.42578125" style="1" customWidth="1"/>
    <col min="8" max="8" width="40.5703125" style="1" customWidth="1"/>
    <col min="9" max="9" width="208.7109375" customWidth="1"/>
    <col min="10" max="10" width="255.7109375" style="2" customWidth="1"/>
    <col min="11" max="11" width="5.5703125" style="2" customWidth="1"/>
    <col min="12" max="13" width="8.42578125" style="1" customWidth="1"/>
    <col min="14" max="14" width="6.42578125" style="1" customWidth="1"/>
    <col min="15" max="15" width="12.7109375" style="1" customWidth="1"/>
    <col min="16" max="16" width="14.5703125" style="1" customWidth="1"/>
    <col min="17" max="17" width="15" style="1" customWidth="1"/>
    <col min="18" max="19" width="10.7109375" style="1" customWidth="1"/>
    <col min="20" max="20" width="11" style="1" customWidth="1"/>
    <col min="21" max="16384" width="9.140625" style="1" customWidth="1"/>
  </cols>
  <sheetData>
    <row r="1" spans="1:19" x14ac:dyDescent="0.25">
      <c r="A1" s="3" t="s">
        <v>3937</v>
      </c>
      <c r="B1" s="4"/>
      <c r="C1" s="4"/>
      <c r="D1" s="4"/>
      <c r="E1" s="4"/>
      <c r="F1" s="4"/>
      <c r="G1" s="4"/>
      <c r="H1" s="4"/>
      <c r="I1" s="5"/>
      <c r="J1" s="5"/>
      <c r="K1" s="4"/>
      <c r="L1" s="4"/>
      <c r="M1" s="4"/>
      <c r="N1" s="4"/>
      <c r="O1" s="4"/>
      <c r="P1" s="4"/>
      <c r="Q1" s="4"/>
      <c r="R1" s="4"/>
      <c r="S1" s="45"/>
    </row>
    <row r="2" ht="90" customHeight="1" spans="1:21" x14ac:dyDescent="0.25">
      <c r="A2" s="7" t="s">
        <v>1</v>
      </c>
      <c r="B2" s="7" t="s">
        <v>3938</v>
      </c>
      <c r="C2" s="7" t="s">
        <v>2</v>
      </c>
      <c r="D2" s="7" t="s">
        <v>3</v>
      </c>
      <c r="E2" s="7" t="s">
        <v>4</v>
      </c>
      <c r="F2" s="7" t="s">
        <v>5</v>
      </c>
      <c r="G2" s="7" t="s">
        <v>6</v>
      </c>
      <c r="H2" s="7" t="s">
        <v>7</v>
      </c>
      <c r="I2" s="7" t="s">
        <v>8</v>
      </c>
      <c r="J2" s="7" t="s">
        <v>9</v>
      </c>
      <c r="K2" s="7" t="s">
        <v>10</v>
      </c>
      <c r="L2" s="7" t="s">
        <v>11</v>
      </c>
      <c r="M2" s="7" t="s">
        <v>12</v>
      </c>
      <c r="N2" s="7" t="s">
        <v>13</v>
      </c>
      <c r="O2" s="7" t="s">
        <v>14</v>
      </c>
      <c r="P2" s="7" t="s">
        <v>15</v>
      </c>
      <c r="Q2" s="7" t="s">
        <v>16</v>
      </c>
      <c r="R2" s="7" t="s">
        <v>17</v>
      </c>
      <c r="S2" s="7" t="s">
        <v>18</v>
      </c>
      <c r="T2" s="46" t="s">
        <v>19</v>
      </c>
      <c r="U2" s="47" t="s">
        <v>3939</v>
      </c>
    </row>
    <row r="3" spans="1:21" x14ac:dyDescent="0.25">
      <c r="A3" s="1" t="s">
        <v>3690</v>
      </c>
      <c r="B3" s="1">
        <v>2017</v>
      </c>
      <c r="C3" s="2" t="s">
        <v>950</v>
      </c>
      <c r="D3" s="1" t="s">
        <v>951</v>
      </c>
      <c r="E3" s="1" t="s">
        <v>503</v>
      </c>
      <c r="F3" s="1" t="s">
        <v>952</v>
      </c>
      <c r="G3" s="14">
        <v>42949</v>
      </c>
      <c r="H3" s="14" t="s">
        <v>953</v>
      </c>
      <c r="I3" s="2" t="s">
        <v>954</v>
      </c>
      <c r="J3" s="2" t="s">
        <v>955</v>
      </c>
      <c r="K3" s="13">
        <v>0.052083333332120674</v>
      </c>
      <c r="L3" s="13">
        <v>0.052083333332120674</v>
      </c>
      <c r="M3" s="13">
        <f>CRF_3[[#This Row],[Time Spent on Configuration]]+CRF_3[[#This Row],[Time Spent on Review/Testing]]</f>
        <v>0.11111111110949423</v>
      </c>
      <c r="N3" s="1">
        <v>0</v>
      </c>
      <c r="O3" s="1" t="s">
        <v>956</v>
      </c>
      <c r="P3" s="1" t="s">
        <v>503</v>
      </c>
      <c r="Q3" s="1" t="s">
        <v>957</v>
      </c>
      <c r="R3" s="14">
        <f>CRF_2[[#This Row],[Change Request Date]]</f>
        <v>42949</v>
      </c>
      <c r="S3" s="1" t="s">
        <v>503</v>
      </c>
      <c r="U3" s="48"/>
    </row>
    <row r="4" spans="1:21" x14ac:dyDescent="0.25">
      <c r="A4" s="1" t="s">
        <v>3690</v>
      </c>
      <c r="B4" s="1">
        <v>2017</v>
      </c>
      <c r="C4" s="2" t="s">
        <v>950</v>
      </c>
      <c r="D4" s="1" t="s">
        <v>951</v>
      </c>
      <c r="E4" s="1" t="s">
        <v>503</v>
      </c>
      <c r="F4" s="1" t="s">
        <v>37</v>
      </c>
      <c r="G4" s="14">
        <v>42958</v>
      </c>
      <c r="H4" s="14" t="s">
        <v>953</v>
      </c>
      <c r="I4" s="2" t="s">
        <v>958</v>
      </c>
      <c r="J4" s="2" t="s">
        <v>959</v>
      </c>
      <c r="K4" s="13">
        <v>0.015625</v>
      </c>
      <c r="L4" s="13">
        <v>0.015625</v>
      </c>
      <c r="M4" s="13">
        <f>CRF_3[[#This Row],[Time Spent on Configuration]]+CRF_3[[#This Row],[Time Spent on Review/Testing]]</f>
        <v>0.08333333333212067</v>
      </c>
      <c r="N4" s="1">
        <v>0</v>
      </c>
      <c r="O4" s="1" t="s">
        <v>956</v>
      </c>
      <c r="P4" s="1" t="s">
        <v>503</v>
      </c>
      <c r="Q4" s="1" t="s">
        <v>957</v>
      </c>
      <c r="R4" s="14">
        <f>CRF_2[[#This Row],[Change Request Date]]</f>
        <v>42958</v>
      </c>
      <c r="S4" s="1" t="s">
        <v>503</v>
      </c>
      <c r="U4" s="48"/>
    </row>
    <row r="5" spans="1:21" x14ac:dyDescent="0.25">
      <c r="A5" s="1" t="s">
        <v>3690</v>
      </c>
      <c r="B5" s="1">
        <v>2017</v>
      </c>
      <c r="C5" s="2" t="s">
        <v>950</v>
      </c>
      <c r="D5" s="1" t="s">
        <v>951</v>
      </c>
      <c r="E5" s="1" t="s">
        <v>503</v>
      </c>
      <c r="F5" s="1" t="s">
        <v>37</v>
      </c>
      <c r="G5" s="14">
        <v>42971</v>
      </c>
      <c r="H5" s="14" t="s">
        <v>50</v>
      </c>
      <c r="I5" s="2" t="s">
        <v>960</v>
      </c>
      <c r="J5" s="2" t="s">
        <v>961</v>
      </c>
      <c r="K5" s="13">
        <v>0.010416666667879326</v>
      </c>
      <c r="L5" s="13">
        <v>0.010416666667879326</v>
      </c>
      <c r="M5" s="13">
        <f>CRF_3[[#This Row],[Time Spent on Configuration]]+CRF_3[[#This Row],[Time Spent on Review/Testing]]</f>
        <v>0.0625</v>
      </c>
      <c r="N5" s="1">
        <v>0</v>
      </c>
      <c r="O5" s="1" t="s">
        <v>956</v>
      </c>
      <c r="P5" s="1" t="s">
        <v>503</v>
      </c>
      <c r="Q5" s="1" t="s">
        <v>957</v>
      </c>
      <c r="R5" s="14">
        <f>CRF_2[[#This Row],[Change Request Date]]</f>
        <v>42971</v>
      </c>
      <c r="S5" s="1" t="s">
        <v>503</v>
      </c>
      <c r="U5" s="48"/>
    </row>
    <row r="6" spans="1:21" x14ac:dyDescent="0.25">
      <c r="A6" s="1" t="s">
        <v>3690</v>
      </c>
      <c r="B6" s="1">
        <v>2017</v>
      </c>
      <c r="C6" s="2" t="s">
        <v>962</v>
      </c>
      <c r="D6" s="1" t="s">
        <v>963</v>
      </c>
      <c r="E6" s="1" t="s">
        <v>503</v>
      </c>
      <c r="F6" s="1" t="s">
        <v>27</v>
      </c>
      <c r="G6" s="14">
        <v>42971</v>
      </c>
      <c r="H6" s="14" t="s">
        <v>74</v>
      </c>
      <c r="I6" s="2" t="s">
        <v>964</v>
      </c>
      <c r="J6" s="2" t="s">
        <v>965</v>
      </c>
      <c r="K6" s="13">
        <v>0.015625</v>
      </c>
      <c r="L6" s="13">
        <v>0.015625</v>
      </c>
      <c r="M6" s="13">
        <f>CRF_3[[#This Row],[Time Spent on Configuration]]+CRF_3[[#This Row],[Time Spent on Review/Testing]]</f>
        <v>0.041666666667879326</v>
      </c>
      <c r="N6" s="1">
        <v>0</v>
      </c>
      <c r="O6" s="1" t="s">
        <v>966</v>
      </c>
      <c r="P6" s="1" t="s">
        <v>503</v>
      </c>
      <c r="Q6" s="1" t="s">
        <v>967</v>
      </c>
      <c r="R6" s="14">
        <f>CRF_2[[#This Row],[Change Request Date]]</f>
        <v>42971</v>
      </c>
      <c r="S6" s="1" t="s">
        <v>503</v>
      </c>
      <c r="U6" s="48"/>
    </row>
    <row r="7" spans="1:21" x14ac:dyDescent="0.25">
      <c r="A7" s="1" t="s">
        <v>3690</v>
      </c>
      <c r="B7" s="1">
        <v>2017</v>
      </c>
      <c r="C7" s="2" t="s">
        <v>968</v>
      </c>
      <c r="D7" s="1" t="s">
        <v>261</v>
      </c>
      <c r="E7" s="1" t="s">
        <v>503</v>
      </c>
      <c r="F7" s="1" t="s">
        <v>27</v>
      </c>
      <c r="G7" s="14">
        <v>42973</v>
      </c>
      <c r="H7" s="14" t="s">
        <v>74</v>
      </c>
      <c r="I7" s="2" t="s">
        <v>969</v>
      </c>
      <c r="J7" s="2" t="s">
        <v>3940</v>
      </c>
      <c r="K7" s="13">
        <v>0.010416666667879326</v>
      </c>
      <c r="L7" s="13">
        <v>0.010416666667879326</v>
      </c>
      <c r="M7" s="13">
        <f>CRF_3[[#This Row],[Time Spent on Configuration]]+CRF_3[[#This Row],[Time Spent on Review/Testing]]</f>
        <v>0.04861111110949423</v>
      </c>
      <c r="N7" s="1">
        <v>0</v>
      </c>
      <c r="O7" s="1" t="s">
        <v>966</v>
      </c>
      <c r="P7" s="1" t="s">
        <v>503</v>
      </c>
      <c r="Q7" s="1" t="s">
        <v>967</v>
      </c>
      <c r="R7" s="14">
        <f>CRF_2[[#This Row],[Change Request Date]]</f>
        <v>42973</v>
      </c>
      <c r="S7" s="1" t="s">
        <v>503</v>
      </c>
      <c r="U7" s="48"/>
    </row>
    <row r="8" ht="30" customHeight="1" spans="1:21" x14ac:dyDescent="0.25">
      <c r="A8" s="1" t="s">
        <v>3690</v>
      </c>
      <c r="B8" s="1">
        <v>2017</v>
      </c>
      <c r="C8" s="2" t="s">
        <v>284</v>
      </c>
      <c r="D8" s="1" t="s">
        <v>285</v>
      </c>
      <c r="E8" s="1" t="s">
        <v>503</v>
      </c>
      <c r="F8" s="1" t="s">
        <v>27</v>
      </c>
      <c r="G8" s="14">
        <v>42956</v>
      </c>
      <c r="H8" s="14" t="s">
        <v>74</v>
      </c>
      <c r="I8" s="2" t="s">
        <v>971</v>
      </c>
      <c r="J8" s="2" t="s">
        <v>3941</v>
      </c>
      <c r="K8" s="13">
        <v>0.052083333332120674</v>
      </c>
      <c r="L8" s="13">
        <v>0.052083333332120674</v>
      </c>
      <c r="M8" s="13">
        <f>CRF_3[[#This Row],[Time Spent on Configuration]]+CRF_3[[#This Row],[Time Spent on Review/Testing]]</f>
        <v>0.04861111110949423</v>
      </c>
      <c r="N8" s="1">
        <v>0</v>
      </c>
      <c r="O8" s="1" t="s">
        <v>966</v>
      </c>
      <c r="P8" s="1" t="s">
        <v>503</v>
      </c>
      <c r="Q8" s="1" t="s">
        <v>973</v>
      </c>
      <c r="R8" s="14">
        <f>CRF_2[[#This Row],[Change Request Date]]</f>
        <v>42956</v>
      </c>
      <c r="S8" s="1" t="s">
        <v>503</v>
      </c>
      <c r="U8" s="48"/>
    </row>
    <row r="9" spans="1:21" x14ac:dyDescent="0.25">
      <c r="A9" s="1" t="s">
        <v>3690</v>
      </c>
      <c r="B9" s="1">
        <v>2017</v>
      </c>
      <c r="C9" s="2" t="s">
        <v>286</v>
      </c>
      <c r="D9" s="1" t="s">
        <v>974</v>
      </c>
      <c r="E9" s="1" t="s">
        <v>503</v>
      </c>
      <c r="F9" s="1" t="s">
        <v>27</v>
      </c>
      <c r="G9" s="14">
        <v>42957</v>
      </c>
      <c r="H9" s="14" t="s">
        <v>38</v>
      </c>
      <c r="I9" s="2" t="s">
        <v>975</v>
      </c>
      <c r="J9" s="2" t="s">
        <v>976</v>
      </c>
      <c r="K9" s="13">
        <v>0.020833333332120674</v>
      </c>
      <c r="L9" s="13">
        <v>0.020833333332120674</v>
      </c>
      <c r="M9" s="13">
        <f>CRF_3[[#This Row],[Time Spent on Configuration]]+CRF_3[[#This Row],[Time Spent on Review/Testing]]</f>
        <v>0.04861111110949423</v>
      </c>
      <c r="N9" s="1">
        <v>0</v>
      </c>
      <c r="O9" s="1" t="s">
        <v>956</v>
      </c>
      <c r="P9" s="1" t="s">
        <v>503</v>
      </c>
      <c r="Q9" s="1" t="s">
        <v>977</v>
      </c>
      <c r="R9" s="14">
        <f>CRF_2[[#This Row],[Change Request Date]]</f>
        <v>42957</v>
      </c>
      <c r="S9" s="1" t="s">
        <v>503</v>
      </c>
      <c r="U9" s="48"/>
    </row>
    <row r="10" ht="45" customHeight="1" spans="1:21" x14ac:dyDescent="0.25">
      <c r="A10" s="1" t="s">
        <v>3690</v>
      </c>
      <c r="B10" s="1">
        <v>2017</v>
      </c>
      <c r="C10" s="2" t="s">
        <v>978</v>
      </c>
      <c r="D10" s="1" t="s">
        <v>44</v>
      </c>
      <c r="E10" s="1" t="s">
        <v>503</v>
      </c>
      <c r="F10" s="1" t="s">
        <v>27</v>
      </c>
      <c r="G10" s="14">
        <v>42978</v>
      </c>
      <c r="H10" s="14" t="s">
        <v>255</v>
      </c>
      <c r="I10" s="2" t="s">
        <v>979</v>
      </c>
      <c r="J10" s="2" t="s">
        <v>3942</v>
      </c>
      <c r="K10" s="13">
        <v>0.010416666667879326</v>
      </c>
      <c r="L10" s="13">
        <v>0.010416666667879326</v>
      </c>
      <c r="M10" s="13">
        <f>CRF_3[[#This Row],[Time Spent on Configuration]]+CRF_3[[#This Row],[Time Spent on Review/Testing]]</f>
        <v>0.038194444445252884</v>
      </c>
      <c r="N10" s="1">
        <v>0</v>
      </c>
      <c r="O10" s="1" t="s">
        <v>956</v>
      </c>
      <c r="P10" s="1" t="s">
        <v>503</v>
      </c>
      <c r="Q10" s="1" t="s">
        <v>977</v>
      </c>
      <c r="R10" s="14">
        <f>CRF_2[[#This Row],[Change Request Date]]</f>
        <v>42978</v>
      </c>
      <c r="S10" s="1" t="s">
        <v>503</v>
      </c>
      <c r="U10" s="48"/>
    </row>
    <row r="11" spans="1:21" x14ac:dyDescent="0.25">
      <c r="A11" s="1" t="s">
        <v>3690</v>
      </c>
      <c r="B11" s="1">
        <v>2017</v>
      </c>
      <c r="C11" s="2" t="s">
        <v>228</v>
      </c>
      <c r="D11" s="1" t="s">
        <v>25</v>
      </c>
      <c r="E11" s="1" t="s">
        <v>503</v>
      </c>
      <c r="F11" s="1" t="s">
        <v>27</v>
      </c>
      <c r="G11" s="14">
        <v>42959</v>
      </c>
      <c r="H11" s="14" t="s">
        <v>74</v>
      </c>
      <c r="I11" s="2" t="s">
        <v>981</v>
      </c>
      <c r="J11" s="2" t="s">
        <v>982</v>
      </c>
      <c r="K11" s="13">
        <v>0.07291666666787933</v>
      </c>
      <c r="L11" s="13">
        <v>0.07291666666787933</v>
      </c>
      <c r="M11" s="13">
        <f>CRF_3[[#This Row],[Time Spent on Configuration]]+CRF_3[[#This Row],[Time Spent on Review/Testing]]</f>
        <v>0.04861111110949423</v>
      </c>
      <c r="N11" s="1">
        <v>0</v>
      </c>
      <c r="O11" s="1" t="s">
        <v>966</v>
      </c>
      <c r="P11" s="1" t="s">
        <v>503</v>
      </c>
      <c r="Q11" s="1" t="s">
        <v>977</v>
      </c>
      <c r="R11" s="14">
        <f>CRF_2[[#This Row],[Change Request Date]]</f>
        <v>42959</v>
      </c>
      <c r="S11" s="1" t="s">
        <v>503</v>
      </c>
      <c r="U11" s="48"/>
    </row>
    <row r="12" spans="1:21" x14ac:dyDescent="0.25">
      <c r="A12" s="1" t="s">
        <v>3690</v>
      </c>
      <c r="B12" s="1">
        <v>2017</v>
      </c>
      <c r="C12" s="2" t="s">
        <v>228</v>
      </c>
      <c r="D12" s="1" t="s">
        <v>25</v>
      </c>
      <c r="E12" s="1" t="s">
        <v>503</v>
      </c>
      <c r="F12" s="1" t="s">
        <v>27</v>
      </c>
      <c r="G12" s="14">
        <v>42960</v>
      </c>
      <c r="H12" s="14" t="s">
        <v>74</v>
      </c>
      <c r="I12" s="2" t="s">
        <v>983</v>
      </c>
      <c r="J12" s="2" t="s">
        <v>984</v>
      </c>
      <c r="K12" s="13">
        <v>0.03125</v>
      </c>
      <c r="L12" s="13">
        <v>0.03125</v>
      </c>
      <c r="M12" s="13">
        <f>CRF_3[[#This Row],[Time Spent on Configuration]]+CRF_3[[#This Row],[Time Spent on Review/Testing]]</f>
        <v>0.04861111110949423</v>
      </c>
      <c r="N12" s="1">
        <v>0</v>
      </c>
      <c r="O12" s="1" t="s">
        <v>966</v>
      </c>
      <c r="P12" s="1" t="s">
        <v>503</v>
      </c>
      <c r="Q12" s="1" t="s">
        <v>977</v>
      </c>
      <c r="R12" s="14">
        <f>CRF_2[[#This Row],[Change Request Date]]</f>
        <v>42960</v>
      </c>
      <c r="S12" s="1" t="s">
        <v>503</v>
      </c>
      <c r="U12" s="48"/>
    </row>
    <row r="13" ht="30" customHeight="1" spans="1:21" x14ac:dyDescent="0.25">
      <c r="A13" s="1" t="s">
        <v>3690</v>
      </c>
      <c r="B13" s="1">
        <v>2017</v>
      </c>
      <c r="C13" s="2" t="s">
        <v>985</v>
      </c>
      <c r="D13" s="1" t="s">
        <v>25</v>
      </c>
      <c r="E13" s="1" t="s">
        <v>503</v>
      </c>
      <c r="F13" s="1" t="s">
        <v>27</v>
      </c>
      <c r="G13" s="14">
        <v>42963</v>
      </c>
      <c r="H13" s="14" t="s">
        <v>50</v>
      </c>
      <c r="I13" s="2" t="s">
        <v>986</v>
      </c>
      <c r="J13" s="2" t="s">
        <v>3943</v>
      </c>
      <c r="K13" s="13">
        <v>0.015625</v>
      </c>
      <c r="L13" s="13">
        <v>0.015625</v>
      </c>
      <c r="M13" s="13">
        <f>CRF_3[[#This Row],[Time Spent on Configuration]]+CRF_3[[#This Row],[Time Spent on Review/Testing]]</f>
        <v>0.041666666667879326</v>
      </c>
      <c r="N13" s="1">
        <v>0</v>
      </c>
      <c r="O13" s="1" t="s">
        <v>966</v>
      </c>
      <c r="P13" s="1" t="s">
        <v>503</v>
      </c>
      <c r="Q13" s="1" t="s">
        <v>977</v>
      </c>
      <c r="R13" s="14">
        <f>CRF_2[[#This Row],[Change Request Date]]</f>
        <v>42963</v>
      </c>
      <c r="S13" s="1" t="s">
        <v>503</v>
      </c>
      <c r="U13" s="48"/>
    </row>
    <row r="14" spans="1:21" x14ac:dyDescent="0.25">
      <c r="A14" s="1" t="s">
        <v>3690</v>
      </c>
      <c r="B14" s="1">
        <v>2017</v>
      </c>
      <c r="C14" s="2" t="s">
        <v>988</v>
      </c>
      <c r="D14" s="1" t="s">
        <v>989</v>
      </c>
      <c r="E14" s="1" t="s">
        <v>503</v>
      </c>
      <c r="F14" s="1" t="s">
        <v>27</v>
      </c>
      <c r="G14" s="14">
        <v>42956</v>
      </c>
      <c r="H14" s="14" t="s">
        <v>74</v>
      </c>
      <c r="I14" s="2" t="s">
        <v>990</v>
      </c>
      <c r="J14" s="2" t="s">
        <v>991</v>
      </c>
      <c r="K14" s="13">
        <v>0.0625</v>
      </c>
      <c r="L14" s="13">
        <v>0.0625</v>
      </c>
      <c r="M14" s="13">
        <f>CRF_3[[#This Row],[Time Spent on Configuration]]+CRF_3[[#This Row],[Time Spent on Review/Testing]]</f>
        <v>0.06944444444525288</v>
      </c>
      <c r="N14" s="1">
        <v>0</v>
      </c>
      <c r="O14" s="1" t="s">
        <v>956</v>
      </c>
      <c r="P14" s="1" t="s">
        <v>503</v>
      </c>
      <c r="Q14" s="1" t="s">
        <v>967</v>
      </c>
      <c r="R14" s="14">
        <f>CRF_2[[#This Row],[Change Request Date]]</f>
        <v>42956</v>
      </c>
      <c r="S14" s="1" t="s">
        <v>503</v>
      </c>
      <c r="U14" s="48"/>
    </row>
    <row r="15" ht="30" customHeight="1" spans="1:21" x14ac:dyDescent="0.25">
      <c r="A15" s="1" t="s">
        <v>3690</v>
      </c>
      <c r="B15" s="1">
        <v>2017</v>
      </c>
      <c r="C15" s="2" t="s">
        <v>988</v>
      </c>
      <c r="D15" s="1" t="s">
        <v>989</v>
      </c>
      <c r="E15" s="1" t="s">
        <v>503</v>
      </c>
      <c r="F15" s="1" t="s">
        <v>27</v>
      </c>
      <c r="G15" s="14">
        <v>42961</v>
      </c>
      <c r="H15" s="14" t="s">
        <v>96</v>
      </c>
      <c r="I15" s="2" t="s">
        <v>3944</v>
      </c>
      <c r="J15" s="2" t="s">
        <v>993</v>
      </c>
      <c r="K15" s="13">
        <v>0.052083333332120674</v>
      </c>
      <c r="L15" s="13">
        <v>0.052083333332120674</v>
      </c>
      <c r="M15" s="13">
        <f>CRF_3[[#This Row],[Time Spent on Configuration]]+CRF_3[[#This Row],[Time Spent on Review/Testing]]</f>
        <v>0.05902777777737356</v>
      </c>
      <c r="N15" s="1">
        <v>0</v>
      </c>
      <c r="O15" s="1" t="s">
        <v>956</v>
      </c>
      <c r="P15" s="1" t="s">
        <v>503</v>
      </c>
      <c r="Q15" s="1" t="s">
        <v>967</v>
      </c>
      <c r="R15" s="14">
        <f>CRF_2[[#This Row],[Change Request Date]]</f>
        <v>42961</v>
      </c>
      <c r="S15" s="1" t="s">
        <v>503</v>
      </c>
      <c r="U15" s="48"/>
    </row>
    <row r="16" ht="30" customHeight="1" spans="1:21" x14ac:dyDescent="0.25">
      <c r="A16" s="1" t="s">
        <v>3690</v>
      </c>
      <c r="B16" s="1">
        <v>2017</v>
      </c>
      <c r="C16" s="2" t="s">
        <v>988</v>
      </c>
      <c r="D16" s="1" t="s">
        <v>989</v>
      </c>
      <c r="E16" s="1" t="s">
        <v>503</v>
      </c>
      <c r="F16" s="1" t="s">
        <v>27</v>
      </c>
      <c r="G16" s="14">
        <v>42963</v>
      </c>
      <c r="H16" s="14" t="s">
        <v>28</v>
      </c>
      <c r="I16" s="2" t="s">
        <v>3945</v>
      </c>
      <c r="J16" s="2" t="s">
        <v>995</v>
      </c>
      <c r="K16" s="13">
        <v>0.08333333333212067</v>
      </c>
      <c r="L16" s="13">
        <v>0.08333333333212067</v>
      </c>
      <c r="M16" s="13">
        <f>CRF_3[[#This Row],[Time Spent on Configuration]]+CRF_3[[#This Row],[Time Spent on Review/Testing]]</f>
        <v>0.055555555554747116</v>
      </c>
      <c r="N16" s="1">
        <v>0</v>
      </c>
      <c r="O16" s="1" t="s">
        <v>956</v>
      </c>
      <c r="P16" s="1" t="s">
        <v>503</v>
      </c>
      <c r="Q16" s="1" t="s">
        <v>967</v>
      </c>
      <c r="R16" s="14">
        <f>CRF_2[[#This Row],[Change Request Date]]</f>
        <v>42963</v>
      </c>
      <c r="S16" s="1" t="s">
        <v>503</v>
      </c>
      <c r="U16" s="48"/>
    </row>
    <row r="17" ht="45" customHeight="1" spans="1:21" x14ac:dyDescent="0.25">
      <c r="A17" s="1" t="s">
        <v>3690</v>
      </c>
      <c r="B17" s="1">
        <v>2017</v>
      </c>
      <c r="C17" s="2" t="s">
        <v>988</v>
      </c>
      <c r="D17" s="1" t="s">
        <v>989</v>
      </c>
      <c r="E17" s="1" t="s">
        <v>503</v>
      </c>
      <c r="F17" s="1" t="s">
        <v>27</v>
      </c>
      <c r="G17" s="14">
        <v>42976</v>
      </c>
      <c r="H17" s="14" t="s">
        <v>28</v>
      </c>
      <c r="I17" s="2" t="s">
        <v>3946</v>
      </c>
      <c r="J17" s="2" t="s">
        <v>3947</v>
      </c>
      <c r="K17" s="13">
        <v>0.08333333333212067</v>
      </c>
      <c r="L17" s="13">
        <v>0.08333333333212067</v>
      </c>
      <c r="M17" s="13">
        <f>CRF_3[[#This Row],[Time Spent on Configuration]]+CRF_3[[#This Row],[Time Spent on Review/Testing]]</f>
        <v>0.041666666667879326</v>
      </c>
      <c r="N17" s="1">
        <v>0</v>
      </c>
      <c r="O17" s="1" t="s">
        <v>956</v>
      </c>
      <c r="P17" s="1" t="s">
        <v>503</v>
      </c>
      <c r="Q17" s="1" t="s">
        <v>967</v>
      </c>
      <c r="R17" s="14">
        <f>CRF_2[[#This Row],[Change Request Date]]</f>
        <v>42976</v>
      </c>
      <c r="S17" s="1" t="s">
        <v>503</v>
      </c>
      <c r="U17" s="48"/>
    </row>
    <row r="18" spans="1:21" x14ac:dyDescent="0.25">
      <c r="A18" s="1" t="s">
        <v>3690</v>
      </c>
      <c r="B18" s="1">
        <v>2017</v>
      </c>
      <c r="C18" s="2" t="s">
        <v>998</v>
      </c>
      <c r="D18" s="1" t="s">
        <v>989</v>
      </c>
      <c r="E18" s="1" t="s">
        <v>503</v>
      </c>
      <c r="F18" s="1" t="s">
        <v>27</v>
      </c>
      <c r="G18" s="14">
        <v>42956</v>
      </c>
      <c r="H18" s="14" t="s">
        <v>255</v>
      </c>
      <c r="I18" s="2" t="s">
        <v>999</v>
      </c>
      <c r="J18" s="2" t="s">
        <v>1000</v>
      </c>
      <c r="K18" s="13">
        <v>0.010416666667879326</v>
      </c>
      <c r="L18" s="13">
        <v>0.010416666667879326</v>
      </c>
      <c r="M18" s="13">
        <f>CRF_3[[#This Row],[Time Spent on Configuration]]+CRF_3[[#This Row],[Time Spent on Review/Testing]]</f>
        <v>0.0625</v>
      </c>
      <c r="N18" s="1">
        <v>0</v>
      </c>
      <c r="O18" s="1" t="s">
        <v>1001</v>
      </c>
      <c r="P18" s="1" t="s">
        <v>503</v>
      </c>
      <c r="Q18" s="1" t="s">
        <v>973</v>
      </c>
      <c r="R18" s="14">
        <f>CRF_2[[#This Row],[Change Request Date]]</f>
        <v>42956</v>
      </c>
      <c r="S18" s="1" t="s">
        <v>503</v>
      </c>
      <c r="U18" s="48"/>
    </row>
    <row r="19" ht="30" customHeight="1" spans="1:21" x14ac:dyDescent="0.25">
      <c r="A19" s="1" t="s">
        <v>3690</v>
      </c>
      <c r="B19" s="1">
        <v>2017</v>
      </c>
      <c r="C19" s="2" t="s">
        <v>1002</v>
      </c>
      <c r="D19" s="1" t="s">
        <v>1003</v>
      </c>
      <c r="E19" s="1" t="s">
        <v>503</v>
      </c>
      <c r="F19" s="1" t="s">
        <v>27</v>
      </c>
      <c r="G19" s="14">
        <v>42965</v>
      </c>
      <c r="H19" s="14" t="s">
        <v>133</v>
      </c>
      <c r="I19" s="2" t="s">
        <v>1004</v>
      </c>
      <c r="J19" s="2" t="s">
        <v>1005</v>
      </c>
      <c r="K19" s="13">
        <v>0.015625</v>
      </c>
      <c r="L19" s="13">
        <v>0.015625</v>
      </c>
      <c r="M19" s="13">
        <f>CRF_3[[#This Row],[Time Spent on Configuration]]+CRF_3[[#This Row],[Time Spent on Review/Testing]]</f>
        <v>0.03472222222262644</v>
      </c>
      <c r="N19" s="1">
        <v>0</v>
      </c>
      <c r="O19" s="1" t="s">
        <v>966</v>
      </c>
      <c r="P19" s="1" t="s">
        <v>503</v>
      </c>
      <c r="Q19" s="1" t="s">
        <v>973</v>
      </c>
      <c r="R19" s="14">
        <f>CRF_2[[#This Row],[Change Request Date]]</f>
        <v>42965</v>
      </c>
      <c r="S19" s="1" t="s">
        <v>503</v>
      </c>
      <c r="U19" s="48"/>
    </row>
    <row r="20" ht="30" customHeight="1" spans="1:21" x14ac:dyDescent="0.25">
      <c r="A20" s="1" t="s">
        <v>3690</v>
      </c>
      <c r="B20" s="1">
        <v>2017</v>
      </c>
      <c r="C20" s="2" t="s">
        <v>1006</v>
      </c>
      <c r="D20" s="1" t="s">
        <v>989</v>
      </c>
      <c r="E20" s="1" t="s">
        <v>503</v>
      </c>
      <c r="F20" s="1" t="s">
        <v>27</v>
      </c>
      <c r="G20" s="14">
        <v>42965</v>
      </c>
      <c r="H20" s="14" t="s">
        <v>38</v>
      </c>
      <c r="I20" s="2" t="s">
        <v>3948</v>
      </c>
      <c r="J20" s="2" t="s">
        <v>3949</v>
      </c>
      <c r="K20" s="13">
        <v>0.020833333332120674</v>
      </c>
      <c r="L20" s="13">
        <v>0.020833333332120674</v>
      </c>
      <c r="M20" s="13">
        <f>CRF_3[[#This Row],[Time Spent on Configuration]]+CRF_3[[#This Row],[Time Spent on Review/Testing]]</f>
        <v>0.055555555554747116</v>
      </c>
      <c r="N20" s="1">
        <v>0</v>
      </c>
      <c r="O20" s="1" t="s">
        <v>1001</v>
      </c>
      <c r="P20" s="1" t="s">
        <v>503</v>
      </c>
      <c r="Q20" s="1" t="s">
        <v>973</v>
      </c>
      <c r="R20" s="14">
        <f>CRF_2[[#This Row],[Change Request Date]]</f>
        <v>42965</v>
      </c>
      <c r="S20" s="1" t="s">
        <v>503</v>
      </c>
      <c r="U20" s="48"/>
    </row>
    <row r="21" spans="1:21" x14ac:dyDescent="0.25">
      <c r="A21" s="1" t="s">
        <v>3690</v>
      </c>
      <c r="B21" s="1">
        <v>2017</v>
      </c>
      <c r="C21" s="2" t="s">
        <v>1009</v>
      </c>
      <c r="D21" s="1" t="s">
        <v>951</v>
      </c>
      <c r="E21" s="1" t="s">
        <v>503</v>
      </c>
      <c r="F21" s="1" t="s">
        <v>37</v>
      </c>
      <c r="G21" s="14">
        <v>42974</v>
      </c>
      <c r="H21" s="14" t="s">
        <v>953</v>
      </c>
      <c r="I21" s="2" t="s">
        <v>1010</v>
      </c>
      <c r="J21" s="2" t="s">
        <v>1011</v>
      </c>
      <c r="K21" s="13">
        <v>0.010416666667879326</v>
      </c>
      <c r="L21" s="13">
        <v>0.010416666667879326</v>
      </c>
      <c r="M21" s="13">
        <f>CRF_3[[#This Row],[Time Spent on Configuration]]+CRF_3[[#This Row],[Time Spent on Review/Testing]]</f>
        <v>0.09722222222262644</v>
      </c>
      <c r="N21" s="1">
        <v>0</v>
      </c>
      <c r="O21" s="1" t="s">
        <v>956</v>
      </c>
      <c r="P21" s="1" t="s">
        <v>503</v>
      </c>
      <c r="Q21" s="1" t="s">
        <v>973</v>
      </c>
      <c r="R21" s="14">
        <f>CRF_2[[#This Row],[Change Request Date]]</f>
        <v>42974</v>
      </c>
      <c r="S21" s="1" t="s">
        <v>503</v>
      </c>
      <c r="U21" s="48"/>
    </row>
    <row r="22" ht="30" customHeight="1" spans="1:21" x14ac:dyDescent="0.25">
      <c r="A22" s="1" t="s">
        <v>3690</v>
      </c>
      <c r="B22" s="1">
        <v>2017</v>
      </c>
      <c r="C22" s="2" t="s">
        <v>1012</v>
      </c>
      <c r="D22" s="1" t="s">
        <v>25</v>
      </c>
      <c r="E22" s="1" t="s">
        <v>503</v>
      </c>
      <c r="F22" s="1" t="s">
        <v>27</v>
      </c>
      <c r="G22" s="14">
        <v>42973</v>
      </c>
      <c r="H22" s="14" t="s">
        <v>74</v>
      </c>
      <c r="I22" s="2" t="s">
        <v>1013</v>
      </c>
      <c r="J22" s="2" t="s">
        <v>1014</v>
      </c>
      <c r="K22" s="13">
        <v>0.010416666667879326</v>
      </c>
      <c r="L22" s="13">
        <v>0.010416666667879326</v>
      </c>
      <c r="M22" s="13">
        <f>CRF_3[[#This Row],[Time Spent on Configuration]]+CRF_3[[#This Row],[Time Spent on Review/Testing]]</f>
        <v>0.08333333333212067</v>
      </c>
      <c r="N22" s="1">
        <v>0</v>
      </c>
      <c r="O22" s="1" t="s">
        <v>1001</v>
      </c>
      <c r="P22" s="1" t="s">
        <v>503</v>
      </c>
      <c r="Q22" s="1" t="s">
        <v>973</v>
      </c>
      <c r="R22" s="14">
        <f>CRF_2[[#This Row],[Change Request Date]]</f>
        <v>42973</v>
      </c>
      <c r="S22" s="1" t="s">
        <v>503</v>
      </c>
      <c r="U22" s="48"/>
    </row>
    <row r="23" spans="1:21" x14ac:dyDescent="0.25">
      <c r="A23" s="1" t="s">
        <v>3699</v>
      </c>
      <c r="B23" s="1">
        <v>2017</v>
      </c>
      <c r="C23" s="2" t="s">
        <v>950</v>
      </c>
      <c r="D23" s="1" t="s">
        <v>951</v>
      </c>
      <c r="E23" s="1" t="s">
        <v>503</v>
      </c>
      <c r="F23" s="1" t="s">
        <v>37</v>
      </c>
      <c r="G23" s="14">
        <v>42984</v>
      </c>
      <c r="H23" s="14" t="s">
        <v>50</v>
      </c>
      <c r="I23" s="2" t="s">
        <v>1016</v>
      </c>
      <c r="J23" s="2" t="s">
        <v>1017</v>
      </c>
      <c r="K23" s="13">
        <v>0.010416666667879326</v>
      </c>
      <c r="L23" s="13">
        <v>0.010416666667879326</v>
      </c>
      <c r="M23" s="13">
        <f>CRF_3[[#This Row],[Time Spent on Configuration]]+CRF_3[[#This Row],[Time Spent on Review/Testing]]</f>
        <v>0.041666666667879326</v>
      </c>
      <c r="N23" s="1">
        <v>0</v>
      </c>
      <c r="O23" s="1" t="s">
        <v>956</v>
      </c>
      <c r="P23" s="1" t="s">
        <v>503</v>
      </c>
      <c r="Q23" s="1" t="s">
        <v>973</v>
      </c>
      <c r="R23" s="14">
        <f>CRF_2[[#This Row],[Change Request Date]]</f>
        <v>42984</v>
      </c>
      <c r="S23" s="1" t="s">
        <v>503</v>
      </c>
      <c r="U23" s="48"/>
    </row>
    <row r="24" ht="30" customHeight="1" spans="1:21" x14ac:dyDescent="0.25">
      <c r="A24" s="1" t="s">
        <v>3699</v>
      </c>
      <c r="B24" s="1">
        <v>2017</v>
      </c>
      <c r="C24" s="2" t="s">
        <v>1018</v>
      </c>
      <c r="D24" s="1" t="s">
        <v>1019</v>
      </c>
      <c r="E24" s="1" t="s">
        <v>503</v>
      </c>
      <c r="F24" s="1" t="s">
        <v>27</v>
      </c>
      <c r="G24" s="14">
        <v>42989</v>
      </c>
      <c r="H24" s="14" t="s">
        <v>133</v>
      </c>
      <c r="I24" s="2" t="s">
        <v>1020</v>
      </c>
      <c r="J24" s="2" t="s">
        <v>1021</v>
      </c>
      <c r="K24" s="13">
        <v>0.010416666667879326</v>
      </c>
      <c r="L24" s="13">
        <v>0.010416666667879326</v>
      </c>
      <c r="M24" s="13">
        <f>CRF_3[[#This Row],[Time Spent on Configuration]]+CRF_3[[#This Row],[Time Spent on Review/Testing]]</f>
        <v>0.06944444444525288</v>
      </c>
      <c r="N24" s="1">
        <v>0</v>
      </c>
      <c r="O24" s="1" t="s">
        <v>1001</v>
      </c>
      <c r="P24" s="1" t="s">
        <v>503</v>
      </c>
      <c r="Q24" s="1" t="s">
        <v>973</v>
      </c>
      <c r="R24" s="14">
        <f>CRF_2[[#This Row],[Change Request Date]]</f>
        <v>42989</v>
      </c>
      <c r="S24" s="1" t="s">
        <v>503</v>
      </c>
      <c r="U24" s="48"/>
    </row>
    <row r="25" ht="45" customHeight="1" spans="1:21" x14ac:dyDescent="0.25">
      <c r="A25" s="1" t="s">
        <v>3699</v>
      </c>
      <c r="B25" s="1">
        <v>2017</v>
      </c>
      <c r="C25" s="2" t="s">
        <v>286</v>
      </c>
      <c r="D25" s="1" t="s">
        <v>974</v>
      </c>
      <c r="E25" s="1" t="s">
        <v>503</v>
      </c>
      <c r="F25" s="1" t="s">
        <v>27</v>
      </c>
      <c r="G25" s="14">
        <v>42986</v>
      </c>
      <c r="H25" s="14" t="s">
        <v>74</v>
      </c>
      <c r="I25" s="2" t="s">
        <v>3950</v>
      </c>
      <c r="J25" s="2" t="s">
        <v>3951</v>
      </c>
      <c r="K25" s="13">
        <v>0.015625</v>
      </c>
      <c r="L25" s="13">
        <v>0.015625</v>
      </c>
      <c r="M25" s="13">
        <f>CRF_3[[#This Row],[Time Spent on Configuration]]+CRF_3[[#This Row],[Time Spent on Review/Testing]]</f>
        <v>0.03472222222262644</v>
      </c>
      <c r="N25" s="1">
        <v>0</v>
      </c>
      <c r="O25" s="1" t="s">
        <v>956</v>
      </c>
      <c r="P25" s="1" t="s">
        <v>503</v>
      </c>
      <c r="Q25" s="1" t="s">
        <v>973</v>
      </c>
      <c r="R25" s="14">
        <f>CRF_2[[#This Row],[Change Request Date]]</f>
        <v>42986</v>
      </c>
      <c r="S25" s="1" t="s">
        <v>503</v>
      </c>
      <c r="U25" s="48"/>
    </row>
    <row r="26" ht="30" customHeight="1" spans="1:21" x14ac:dyDescent="0.25">
      <c r="A26" s="1" t="s">
        <v>3699</v>
      </c>
      <c r="B26" s="1">
        <v>2017</v>
      </c>
      <c r="C26" s="2" t="s">
        <v>1024</v>
      </c>
      <c r="D26" s="1" t="s">
        <v>285</v>
      </c>
      <c r="E26" s="1" t="s">
        <v>503</v>
      </c>
      <c r="F26" s="1" t="s">
        <v>27</v>
      </c>
      <c r="G26" s="14">
        <v>42990</v>
      </c>
      <c r="H26" s="14" t="s">
        <v>255</v>
      </c>
      <c r="I26" s="2" t="s">
        <v>1025</v>
      </c>
      <c r="J26" s="2" t="s">
        <v>1026</v>
      </c>
      <c r="K26" s="13">
        <v>0.010416666667879326</v>
      </c>
      <c r="L26" s="13">
        <v>0.010416666667879326</v>
      </c>
      <c r="M26" s="13">
        <f>CRF_3[[#This Row],[Time Spent on Configuration]]+CRF_3[[#This Row],[Time Spent on Review/Testing]]</f>
        <v>0.04861111110949423</v>
      </c>
      <c r="N26" s="1">
        <v>0</v>
      </c>
      <c r="O26" s="1" t="s">
        <v>1001</v>
      </c>
      <c r="P26" s="1" t="s">
        <v>503</v>
      </c>
      <c r="Q26" s="1" t="s">
        <v>973</v>
      </c>
      <c r="R26" s="14">
        <f>CRF_2[[#This Row],[Change Request Date]]</f>
        <v>42990</v>
      </c>
      <c r="S26" s="1" t="s">
        <v>503</v>
      </c>
      <c r="U26" s="48"/>
    </row>
    <row r="27" spans="1:21" x14ac:dyDescent="0.25">
      <c r="A27" s="1" t="s">
        <v>3699</v>
      </c>
      <c r="B27" s="1">
        <v>2017</v>
      </c>
      <c r="C27" s="2" t="s">
        <v>3952</v>
      </c>
      <c r="D27" s="1" t="s">
        <v>261</v>
      </c>
      <c r="E27" s="1" t="s">
        <v>503</v>
      </c>
      <c r="F27" s="1" t="s">
        <v>27</v>
      </c>
      <c r="G27" s="14">
        <v>42986</v>
      </c>
      <c r="H27" s="14" t="s">
        <v>50</v>
      </c>
      <c r="I27" s="2" t="s">
        <v>1028</v>
      </c>
      <c r="J27" s="2" t="s">
        <v>1029</v>
      </c>
      <c r="K27" s="13">
        <v>0.020833333332120674</v>
      </c>
      <c r="L27" s="13">
        <v>0.020833333332120674</v>
      </c>
      <c r="M27" s="13">
        <f>CRF_3[[#This Row],[Time Spent on Configuration]]+CRF_3[[#This Row],[Time Spent on Review/Testing]]</f>
        <v>0.055555555554747116</v>
      </c>
      <c r="N27" s="1">
        <v>0</v>
      </c>
      <c r="O27" s="1" t="s">
        <v>1001</v>
      </c>
      <c r="P27" s="1" t="s">
        <v>503</v>
      </c>
      <c r="Q27" s="1" t="s">
        <v>973</v>
      </c>
      <c r="R27" s="14">
        <f>CRF_2[[#This Row],[Change Request Date]]</f>
        <v>42986</v>
      </c>
      <c r="S27" s="1" t="s">
        <v>503</v>
      </c>
      <c r="U27" s="48"/>
    </row>
    <row r="28" ht="30" customHeight="1" spans="1:21" x14ac:dyDescent="0.25">
      <c r="A28" s="1" t="s">
        <v>3699</v>
      </c>
      <c r="B28" s="1">
        <v>2017</v>
      </c>
      <c r="C28" s="2" t="s">
        <v>1002</v>
      </c>
      <c r="D28" s="1" t="s">
        <v>1003</v>
      </c>
      <c r="E28" s="1" t="s">
        <v>503</v>
      </c>
      <c r="F28" s="1" t="s">
        <v>27</v>
      </c>
      <c r="G28" s="14">
        <v>42991</v>
      </c>
      <c r="H28" s="14" t="s">
        <v>74</v>
      </c>
      <c r="I28" s="2" t="s">
        <v>1030</v>
      </c>
      <c r="J28" s="2" t="s">
        <v>1031</v>
      </c>
      <c r="K28" s="13">
        <v>0.07291666666787933</v>
      </c>
      <c r="L28" s="13">
        <v>0.07291666666787933</v>
      </c>
      <c r="M28" s="13">
        <f>CRF_3[[#This Row],[Time Spent on Configuration]]+CRF_3[[#This Row],[Time Spent on Review/Testing]]</f>
        <v>0.05902777777737356</v>
      </c>
      <c r="N28" s="1">
        <v>0</v>
      </c>
      <c r="O28" s="1" t="s">
        <v>966</v>
      </c>
      <c r="P28" s="1" t="s">
        <v>503</v>
      </c>
      <c r="Q28" s="1" t="s">
        <v>973</v>
      </c>
      <c r="R28" s="14">
        <f>CRF_2[[#This Row],[Change Request Date]]</f>
        <v>42991</v>
      </c>
      <c r="S28" s="1" t="s">
        <v>503</v>
      </c>
      <c r="U28" s="48"/>
    </row>
    <row r="29" ht="30" customHeight="1" spans="1:21" x14ac:dyDescent="0.25">
      <c r="A29" s="1" t="s">
        <v>3699</v>
      </c>
      <c r="B29" s="1">
        <v>2017</v>
      </c>
      <c r="C29" s="2" t="s">
        <v>1012</v>
      </c>
      <c r="D29" s="1" t="s">
        <v>25</v>
      </c>
      <c r="E29" s="1" t="s">
        <v>503</v>
      </c>
      <c r="F29" s="1" t="s">
        <v>27</v>
      </c>
      <c r="G29" s="14">
        <v>42987</v>
      </c>
      <c r="H29" s="14" t="s">
        <v>28</v>
      </c>
      <c r="I29" s="2" t="s">
        <v>1032</v>
      </c>
      <c r="J29" s="2" t="s">
        <v>3953</v>
      </c>
      <c r="K29" s="13">
        <v>0.08333333333212067</v>
      </c>
      <c r="L29" s="13">
        <v>0.08333333333212067</v>
      </c>
      <c r="M29" s="13">
        <f>CRF_3[[#This Row],[Time Spent on Configuration]]+CRF_3[[#This Row],[Time Spent on Review/Testing]]</f>
        <v>0.09027777777737356</v>
      </c>
      <c r="N29" s="1">
        <v>0</v>
      </c>
      <c r="O29" s="1" t="s">
        <v>1001</v>
      </c>
      <c r="P29" s="1" t="s">
        <v>503</v>
      </c>
      <c r="Q29" s="1" t="s">
        <v>973</v>
      </c>
      <c r="R29" s="14">
        <f>CRF_2[[#This Row],[Change Request Date]]</f>
        <v>42987</v>
      </c>
      <c r="S29" s="1" t="s">
        <v>503</v>
      </c>
      <c r="U29" s="48"/>
    </row>
    <row r="30" spans="1:21" x14ac:dyDescent="0.25">
      <c r="A30" s="1" t="s">
        <v>3699</v>
      </c>
      <c r="B30" s="1">
        <v>2017</v>
      </c>
      <c r="C30" s="2" t="s">
        <v>950</v>
      </c>
      <c r="D30" s="1" t="s">
        <v>951</v>
      </c>
      <c r="E30" s="1" t="s">
        <v>503</v>
      </c>
      <c r="F30" s="1" t="s">
        <v>37</v>
      </c>
      <c r="G30" s="14">
        <v>43000</v>
      </c>
      <c r="H30" s="14" t="s">
        <v>38</v>
      </c>
      <c r="I30" s="2" t="s">
        <v>1034</v>
      </c>
      <c r="J30" s="2" t="s">
        <v>1035</v>
      </c>
      <c r="K30" s="13">
        <v>0.015625</v>
      </c>
      <c r="L30" s="13">
        <v>0.015625</v>
      </c>
      <c r="M30" s="13">
        <f>CRF_3[[#This Row],[Time Spent on Configuration]]+CRF_3[[#This Row],[Time Spent on Review/Testing]]</f>
        <v>0.05902777777737356</v>
      </c>
      <c r="N30" s="1">
        <v>0</v>
      </c>
      <c r="O30" s="1" t="s">
        <v>956</v>
      </c>
      <c r="P30" s="1" t="s">
        <v>503</v>
      </c>
      <c r="Q30" s="1" t="s">
        <v>973</v>
      </c>
      <c r="R30" s="14">
        <f>CRF_2[[#This Row],[Change Request Date]]</f>
        <v>43000</v>
      </c>
      <c r="S30" s="1" t="s">
        <v>503</v>
      </c>
      <c r="U30" s="48"/>
    </row>
    <row r="31" spans="1:21" x14ac:dyDescent="0.25">
      <c r="A31" s="1" t="s">
        <v>3699</v>
      </c>
      <c r="B31" s="1">
        <v>2017</v>
      </c>
      <c r="C31" s="2" t="s">
        <v>968</v>
      </c>
      <c r="D31" s="1" t="s">
        <v>261</v>
      </c>
      <c r="E31" s="1" t="s">
        <v>503</v>
      </c>
      <c r="F31" s="1" t="s">
        <v>27</v>
      </c>
      <c r="G31" s="14">
        <v>42999</v>
      </c>
      <c r="H31" s="14" t="s">
        <v>74</v>
      </c>
      <c r="I31" s="2" t="s">
        <v>1036</v>
      </c>
      <c r="J31" s="2" t="s">
        <v>1037</v>
      </c>
      <c r="K31" s="13">
        <v>0.0625</v>
      </c>
      <c r="L31" s="13">
        <v>0.0625</v>
      </c>
      <c r="M31" s="13">
        <f>CRF_3[[#This Row],[Time Spent on Configuration]]+CRF_3[[#This Row],[Time Spent on Review/Testing]]</f>
        <v>0.03472222222262644</v>
      </c>
      <c r="N31" s="1">
        <v>0</v>
      </c>
      <c r="O31" s="1" t="s">
        <v>966</v>
      </c>
      <c r="P31" s="1" t="s">
        <v>503</v>
      </c>
      <c r="Q31" s="1" t="s">
        <v>973</v>
      </c>
      <c r="R31" s="14">
        <f>CRF_2[[#This Row],[Change Request Date]]</f>
        <v>42999</v>
      </c>
      <c r="S31" s="1" t="s">
        <v>503</v>
      </c>
      <c r="U31" s="48"/>
    </row>
    <row r="32" ht="30" customHeight="1" spans="1:21" x14ac:dyDescent="0.25">
      <c r="A32" s="1" t="s">
        <v>3699</v>
      </c>
      <c r="B32" s="1">
        <v>2017</v>
      </c>
      <c r="C32" s="2" t="s">
        <v>1038</v>
      </c>
      <c r="D32" s="1" t="s">
        <v>261</v>
      </c>
      <c r="E32" s="1" t="s">
        <v>503</v>
      </c>
      <c r="F32" s="1" t="s">
        <v>27</v>
      </c>
      <c r="G32" s="14">
        <v>42999</v>
      </c>
      <c r="H32" s="14" t="s">
        <v>28</v>
      </c>
      <c r="I32" s="2" t="s">
        <v>1036</v>
      </c>
      <c r="J32" s="2" t="s">
        <v>3954</v>
      </c>
      <c r="K32" s="13">
        <v>0.0625</v>
      </c>
      <c r="L32" s="13">
        <v>0.0625</v>
      </c>
      <c r="M32" s="13">
        <f>CRF_3[[#This Row],[Time Spent on Configuration]]+CRF_3[[#This Row],[Time Spent on Review/Testing]]</f>
        <v>0.08680555555474712</v>
      </c>
      <c r="N32" s="1">
        <v>0</v>
      </c>
      <c r="O32" s="1" t="s">
        <v>956</v>
      </c>
      <c r="P32" s="1" t="s">
        <v>503</v>
      </c>
      <c r="Q32" s="1" t="s">
        <v>973</v>
      </c>
      <c r="R32" s="14">
        <f>CRF_2[[#This Row],[Change Request Date]]</f>
        <v>42999</v>
      </c>
      <c r="S32" s="1" t="s">
        <v>503</v>
      </c>
      <c r="U32" s="48"/>
    </row>
    <row r="33" ht="30" customHeight="1" spans="1:21" x14ac:dyDescent="0.25">
      <c r="A33" s="1" t="s">
        <v>3699</v>
      </c>
      <c r="B33" s="1">
        <v>2017</v>
      </c>
      <c r="C33" s="2" t="s">
        <v>286</v>
      </c>
      <c r="D33" s="1" t="s">
        <v>974</v>
      </c>
      <c r="E33" s="1" t="s">
        <v>503</v>
      </c>
      <c r="F33" s="1" t="s">
        <v>27</v>
      </c>
      <c r="G33" s="14">
        <v>42998</v>
      </c>
      <c r="H33" s="14" t="s">
        <v>28</v>
      </c>
      <c r="I33" s="2" t="s">
        <v>1036</v>
      </c>
      <c r="J33" s="2" t="s">
        <v>3955</v>
      </c>
      <c r="K33" s="13">
        <v>0.0625</v>
      </c>
      <c r="L33" s="13">
        <v>0.0625</v>
      </c>
      <c r="M33" s="13">
        <f>CRF_3[[#This Row],[Time Spent on Configuration]]+CRF_3[[#This Row],[Time Spent on Review/Testing]]</f>
        <v>0.04861111110949423</v>
      </c>
      <c r="N33" s="1">
        <v>0</v>
      </c>
      <c r="O33" s="1" t="s">
        <v>956</v>
      </c>
      <c r="P33" s="1" t="s">
        <v>503</v>
      </c>
      <c r="Q33" s="1" t="s">
        <v>973</v>
      </c>
      <c r="R33" s="14">
        <f>CRF_2[[#This Row],[Change Request Date]]</f>
        <v>42998</v>
      </c>
      <c r="S33" s="1" t="s">
        <v>503</v>
      </c>
      <c r="U33" s="48"/>
    </row>
    <row r="34" spans="1:21" x14ac:dyDescent="0.25">
      <c r="A34" s="1" t="s">
        <v>3699</v>
      </c>
      <c r="B34" s="1">
        <v>2017</v>
      </c>
      <c r="C34" s="2" t="s">
        <v>1040</v>
      </c>
      <c r="D34" s="1" t="s">
        <v>951</v>
      </c>
      <c r="E34" s="1" t="s">
        <v>503</v>
      </c>
      <c r="F34" s="1" t="s">
        <v>37</v>
      </c>
      <c r="G34" s="14">
        <v>42999</v>
      </c>
      <c r="H34" s="14" t="s">
        <v>255</v>
      </c>
      <c r="I34" s="2" t="s">
        <v>1034</v>
      </c>
      <c r="J34" s="2" t="s">
        <v>1035</v>
      </c>
      <c r="K34" s="13">
        <v>0.015625</v>
      </c>
      <c r="L34" s="13">
        <v>0.015625</v>
      </c>
      <c r="M34" s="13">
        <f>CRF_3[[#This Row],[Time Spent on Configuration]]+CRF_3[[#This Row],[Time Spent on Review/Testing]]</f>
        <v>0.11458333333212067</v>
      </c>
      <c r="N34" s="1">
        <v>0</v>
      </c>
      <c r="O34" s="1" t="s">
        <v>966</v>
      </c>
      <c r="P34" s="1" t="s">
        <v>503</v>
      </c>
      <c r="Q34" s="1" t="s">
        <v>973</v>
      </c>
      <c r="R34" s="14">
        <f>CRF_2[[#This Row],[Change Request Date]]</f>
        <v>42999</v>
      </c>
      <c r="S34" s="1" t="s">
        <v>503</v>
      </c>
      <c r="U34" s="48"/>
    </row>
    <row r="35" spans="1:21" x14ac:dyDescent="0.25">
      <c r="A35" s="1" t="s">
        <v>3699</v>
      </c>
      <c r="B35" s="1">
        <v>2017</v>
      </c>
      <c r="C35" s="2" t="s">
        <v>1041</v>
      </c>
      <c r="D35" s="1" t="s">
        <v>1042</v>
      </c>
      <c r="E35" s="1" t="s">
        <v>503</v>
      </c>
      <c r="F35" s="1" t="s">
        <v>27</v>
      </c>
      <c r="G35" s="14">
        <v>42997</v>
      </c>
      <c r="H35" s="14" t="s">
        <v>28</v>
      </c>
      <c r="I35" s="2" t="s">
        <v>3956</v>
      </c>
      <c r="J35" s="2" t="s">
        <v>1044</v>
      </c>
      <c r="K35" s="13">
        <v>0.03125</v>
      </c>
      <c r="L35" s="13">
        <v>0.03125</v>
      </c>
      <c r="M35" s="13">
        <f>CRF_3[[#This Row],[Time Spent on Configuration]]+CRF_3[[#This Row],[Time Spent on Review/Testing]]</f>
        <v>0.06597222222262644</v>
      </c>
      <c r="N35" s="1">
        <v>0</v>
      </c>
      <c r="O35" s="1" t="s">
        <v>966</v>
      </c>
      <c r="P35" s="1" t="s">
        <v>503</v>
      </c>
      <c r="Q35" s="1" t="s">
        <v>973</v>
      </c>
      <c r="R35" s="14">
        <f>CRF_2[[#This Row],[Change Request Date]]</f>
        <v>42997</v>
      </c>
      <c r="S35" s="1" t="s">
        <v>503</v>
      </c>
      <c r="U35" s="48"/>
    </row>
    <row r="36" spans="1:21" x14ac:dyDescent="0.25">
      <c r="A36" s="1" t="s">
        <v>3699</v>
      </c>
      <c r="B36" s="1">
        <v>2017</v>
      </c>
      <c r="C36" s="2" t="s">
        <v>1041</v>
      </c>
      <c r="D36" s="1" t="s">
        <v>1042</v>
      </c>
      <c r="E36" s="1" t="s">
        <v>503</v>
      </c>
      <c r="F36" s="1" t="s">
        <v>27</v>
      </c>
      <c r="G36" s="14">
        <v>43001</v>
      </c>
      <c r="H36" s="14" t="s">
        <v>28</v>
      </c>
      <c r="I36" s="2" t="s">
        <v>1045</v>
      </c>
      <c r="J36" s="2" t="s">
        <v>1046</v>
      </c>
      <c r="K36" s="13">
        <v>0.03125</v>
      </c>
      <c r="L36" s="13">
        <v>0.03125</v>
      </c>
      <c r="M36" s="13">
        <f>CRF_3[[#This Row],[Time Spent on Configuration]]+CRF_3[[#This Row],[Time Spent on Review/Testing]]</f>
        <v>0.03472222222262644</v>
      </c>
      <c r="N36" s="1">
        <v>0</v>
      </c>
      <c r="O36" s="1" t="s">
        <v>966</v>
      </c>
      <c r="P36" s="1" t="s">
        <v>503</v>
      </c>
      <c r="Q36" s="1" t="s">
        <v>973</v>
      </c>
      <c r="R36" s="14">
        <f>CRF_2[[#This Row],[Change Request Date]]</f>
        <v>43001</v>
      </c>
      <c r="S36" s="1" t="s">
        <v>503</v>
      </c>
      <c r="U36" s="48"/>
    </row>
    <row r="37" ht="30" customHeight="1" spans="1:21" x14ac:dyDescent="0.25">
      <c r="A37" s="1" t="s">
        <v>3699</v>
      </c>
      <c r="B37" s="1">
        <v>2017</v>
      </c>
      <c r="C37" s="2" t="s">
        <v>1047</v>
      </c>
      <c r="D37" s="1" t="s">
        <v>989</v>
      </c>
      <c r="E37" s="1" t="s">
        <v>503</v>
      </c>
      <c r="F37" s="1" t="s">
        <v>37</v>
      </c>
      <c r="G37" s="14">
        <v>42997</v>
      </c>
      <c r="H37" s="14" t="s">
        <v>28</v>
      </c>
      <c r="I37" s="2" t="s">
        <v>3957</v>
      </c>
      <c r="J37" s="2" t="s">
        <v>1049</v>
      </c>
      <c r="K37" s="13">
        <v>0.03125</v>
      </c>
      <c r="L37" s="13">
        <v>0.03125</v>
      </c>
      <c r="M37" s="13">
        <f>CRF_3[[#This Row],[Time Spent on Configuration]]+CRF_3[[#This Row],[Time Spent on Review/Testing]]</f>
        <v>0.03472222222262644</v>
      </c>
      <c r="N37" s="1">
        <v>0</v>
      </c>
      <c r="O37" s="1" t="s">
        <v>966</v>
      </c>
      <c r="P37" s="1" t="s">
        <v>503</v>
      </c>
      <c r="Q37" s="1" t="s">
        <v>973</v>
      </c>
      <c r="R37" s="14">
        <f>CRF_2[[#This Row],[Change Request Date]]</f>
        <v>42997</v>
      </c>
      <c r="S37" s="1" t="s">
        <v>503</v>
      </c>
      <c r="U37" s="48"/>
    </row>
    <row r="38" ht="45" customHeight="1" spans="1:21" x14ac:dyDescent="0.25">
      <c r="A38" s="1" t="s">
        <v>3699</v>
      </c>
      <c r="B38" s="1">
        <v>2017</v>
      </c>
      <c r="C38" s="2" t="s">
        <v>3952</v>
      </c>
      <c r="D38" s="49" t="s">
        <v>261</v>
      </c>
      <c r="E38" s="1" t="s">
        <v>503</v>
      </c>
      <c r="F38" s="1" t="s">
        <v>27</v>
      </c>
      <c r="G38" s="14">
        <v>43006</v>
      </c>
      <c r="H38" s="14" t="s">
        <v>50</v>
      </c>
      <c r="I38" s="2" t="s">
        <v>1050</v>
      </c>
      <c r="J38" s="2" t="s">
        <v>3958</v>
      </c>
      <c r="K38" s="13">
        <v>0.03125</v>
      </c>
      <c r="L38" s="13">
        <v>0.03125</v>
      </c>
      <c r="M38" s="13">
        <f>CRF_3[[#This Row],[Time Spent on Configuration]]+CRF_3[[#This Row],[Time Spent on Review/Testing]]</f>
        <v>0.11805555555474712</v>
      </c>
      <c r="N38" s="1">
        <v>0</v>
      </c>
      <c r="O38" s="1" t="s">
        <v>1001</v>
      </c>
      <c r="P38" s="1" t="s">
        <v>503</v>
      </c>
      <c r="Q38" s="1" t="s">
        <v>973</v>
      </c>
      <c r="R38" s="14">
        <f>CRF_2[[#This Row],[Change Request Date]]</f>
        <v>43006</v>
      </c>
      <c r="S38" s="1" t="s">
        <v>503</v>
      </c>
      <c r="U38" s="48"/>
    </row>
    <row r="39" ht="75" customHeight="1" spans="1:21" x14ac:dyDescent="0.25">
      <c r="A39" s="1" t="s">
        <v>3708</v>
      </c>
      <c r="B39" s="1">
        <v>2017</v>
      </c>
      <c r="C39" s="2" t="s">
        <v>1009</v>
      </c>
      <c r="D39" s="1" t="s">
        <v>951</v>
      </c>
      <c r="E39" s="1" t="s">
        <v>503</v>
      </c>
      <c r="F39" s="1" t="s">
        <v>37</v>
      </c>
      <c r="G39" s="14">
        <v>43011</v>
      </c>
      <c r="H39" s="14" t="s">
        <v>28</v>
      </c>
      <c r="I39" s="2" t="s">
        <v>1053</v>
      </c>
      <c r="J39" s="2" t="s">
        <v>3959</v>
      </c>
      <c r="K39" s="13">
        <v>0.10416666666787933</v>
      </c>
      <c r="L39" s="13">
        <v>0.10416666666787933</v>
      </c>
      <c r="M39" s="13">
        <f>CRF_3[[#This Row],[Time Spent on Configuration]]+CRF_3[[#This Row],[Time Spent on Review/Testing]]</f>
        <v>0.04861111110949423</v>
      </c>
      <c r="N39" s="1">
        <v>0</v>
      </c>
      <c r="O39" s="1" t="s">
        <v>956</v>
      </c>
      <c r="P39" s="1" t="s">
        <v>503</v>
      </c>
      <c r="Q39" s="1" t="s">
        <v>973</v>
      </c>
      <c r="R39" s="14">
        <f>CRF_2[[#This Row],[Change Request Date]]</f>
        <v>43011</v>
      </c>
      <c r="S39" s="1" t="s">
        <v>503</v>
      </c>
      <c r="U39" s="48"/>
    </row>
    <row r="40" spans="1:21" x14ac:dyDescent="0.25">
      <c r="A40" s="1" t="s">
        <v>3708</v>
      </c>
      <c r="B40" s="1">
        <v>2017</v>
      </c>
      <c r="C40" s="2" t="s">
        <v>1038</v>
      </c>
      <c r="D40" s="1" t="s">
        <v>261</v>
      </c>
      <c r="E40" s="1" t="s">
        <v>503</v>
      </c>
      <c r="F40" s="1" t="s">
        <v>27</v>
      </c>
      <c r="G40" s="14">
        <v>43019</v>
      </c>
      <c r="H40" s="14" t="s">
        <v>50</v>
      </c>
      <c r="I40" s="2" t="s">
        <v>1055</v>
      </c>
      <c r="J40" s="2" t="s">
        <v>3960</v>
      </c>
      <c r="K40" s="13">
        <v>0.013888888890505768</v>
      </c>
      <c r="L40" s="13">
        <v>0.013888888890505768</v>
      </c>
      <c r="M40" s="13">
        <f>CRF_3[[#This Row],[Time Spent on Configuration]]+CRF_3[[#This Row],[Time Spent on Review/Testing]]</f>
        <v>0.07638888889050577</v>
      </c>
      <c r="N40" s="1">
        <v>0</v>
      </c>
      <c r="O40" s="1" t="s">
        <v>956</v>
      </c>
      <c r="P40" s="1" t="s">
        <v>503</v>
      </c>
      <c r="Q40" s="1" t="s">
        <v>973</v>
      </c>
      <c r="R40" s="14">
        <f>CRF_2[[#This Row],[Change Request Date]]</f>
        <v>43019</v>
      </c>
      <c r="S40" s="1" t="s">
        <v>503</v>
      </c>
      <c r="U40" s="48"/>
    </row>
    <row r="41" ht="30" customHeight="1" spans="1:21" x14ac:dyDescent="0.25">
      <c r="A41" s="1" t="s">
        <v>3708</v>
      </c>
      <c r="B41" s="1">
        <v>2017</v>
      </c>
      <c r="C41" s="2" t="s">
        <v>988</v>
      </c>
      <c r="D41" s="1" t="s">
        <v>989</v>
      </c>
      <c r="E41" s="1" t="s">
        <v>503</v>
      </c>
      <c r="F41" s="1" t="s">
        <v>27</v>
      </c>
      <c r="G41" s="14">
        <v>43000</v>
      </c>
      <c r="H41" s="14" t="s">
        <v>38</v>
      </c>
      <c r="I41" s="2" t="s">
        <v>3961</v>
      </c>
      <c r="J41" s="2" t="s">
        <v>1058</v>
      </c>
      <c r="K41" s="13">
        <v>0.14583333333212067</v>
      </c>
      <c r="L41" s="13">
        <v>0.14583333333212067</v>
      </c>
      <c r="M41" s="13">
        <f>CRF_3[[#This Row],[Time Spent on Configuration]]+CRF_3[[#This Row],[Time Spent on Review/Testing]]</f>
        <v>0.06944444444525288</v>
      </c>
      <c r="N41" s="1">
        <v>0</v>
      </c>
      <c r="O41" s="1" t="s">
        <v>956</v>
      </c>
      <c r="P41" s="1" t="s">
        <v>503</v>
      </c>
      <c r="Q41" s="1" t="s">
        <v>973</v>
      </c>
      <c r="R41" s="14">
        <f>CRF_2[[#This Row],[Change Request Date]]</f>
        <v>43000</v>
      </c>
      <c r="S41" s="1" t="s">
        <v>503</v>
      </c>
      <c r="U41" s="48"/>
    </row>
    <row r="42" spans="1:21" x14ac:dyDescent="0.25">
      <c r="A42" s="1" t="s">
        <v>3708</v>
      </c>
      <c r="B42" s="1">
        <v>2017</v>
      </c>
      <c r="C42" s="2" t="s">
        <v>1059</v>
      </c>
      <c r="D42" s="1" t="s">
        <v>261</v>
      </c>
      <c r="E42" s="1" t="s">
        <v>503</v>
      </c>
      <c r="F42" s="1" t="s">
        <v>37</v>
      </c>
      <c r="G42" s="14">
        <v>42999</v>
      </c>
      <c r="H42" s="14" t="s">
        <v>28</v>
      </c>
      <c r="I42" s="2" t="s">
        <v>3962</v>
      </c>
      <c r="J42" s="2" t="s">
        <v>1061</v>
      </c>
      <c r="K42" s="13">
        <v>0.3125</v>
      </c>
      <c r="L42" s="13">
        <v>0.3125</v>
      </c>
      <c r="M42" s="13">
        <f>CRF_3[[#This Row],[Time Spent on Configuration]]+CRF_3[[#This Row],[Time Spent on Review/Testing]]</f>
        <v>0.055555555554747116</v>
      </c>
      <c r="N42" s="1">
        <v>0</v>
      </c>
      <c r="O42" s="1" t="s">
        <v>956</v>
      </c>
      <c r="P42" s="1" t="s">
        <v>503</v>
      </c>
      <c r="Q42" s="1" t="s">
        <v>973</v>
      </c>
      <c r="R42" s="14">
        <f>CRF_2[[#This Row],[Change Request Date]]</f>
        <v>42999</v>
      </c>
      <c r="S42" s="1" t="s">
        <v>503</v>
      </c>
      <c r="U42" s="48"/>
    </row>
    <row r="43" spans="1:21" x14ac:dyDescent="0.25">
      <c r="A43" s="1" t="s">
        <v>3708</v>
      </c>
      <c r="B43" s="1">
        <v>2017</v>
      </c>
      <c r="C43" s="2" t="s">
        <v>199</v>
      </c>
      <c r="D43" s="1" t="s">
        <v>541</v>
      </c>
      <c r="E43" s="1" t="s">
        <v>503</v>
      </c>
      <c r="F43" s="1" t="s">
        <v>37</v>
      </c>
      <c r="G43" s="14">
        <v>43020</v>
      </c>
      <c r="H43" s="14" t="s">
        <v>670</v>
      </c>
      <c r="I43" s="2" t="s">
        <v>1062</v>
      </c>
      <c r="J43" s="2" t="s">
        <v>1063</v>
      </c>
      <c r="K43" s="13">
        <v>0.005208333332120674</v>
      </c>
      <c r="L43" s="13">
        <v>0.005208333332120674</v>
      </c>
      <c r="M43" s="13">
        <f>CRF_3[[#This Row],[Time Spent on Configuration]]+CRF_3[[#This Row],[Time Spent on Review/Testing]]</f>
        <v>0.04861111110949423</v>
      </c>
      <c r="N43" s="1">
        <v>0</v>
      </c>
      <c r="O43" s="1" t="s">
        <v>956</v>
      </c>
      <c r="P43" s="1" t="s">
        <v>503</v>
      </c>
      <c r="Q43" s="1" t="s">
        <v>973</v>
      </c>
      <c r="R43" s="14">
        <f>CRF_2[[#This Row],[Change Request Date]]</f>
        <v>43020</v>
      </c>
      <c r="S43" s="1" t="s">
        <v>503</v>
      </c>
      <c r="U43" s="48"/>
    </row>
    <row r="44" spans="1:21" x14ac:dyDescent="0.25">
      <c r="A44" s="1" t="s">
        <v>3708</v>
      </c>
      <c r="B44" s="1">
        <v>2017</v>
      </c>
      <c r="C44" s="2" t="s">
        <v>796</v>
      </c>
      <c r="D44" s="1" t="s">
        <v>285</v>
      </c>
      <c r="E44" s="1" t="s">
        <v>503</v>
      </c>
      <c r="F44" s="1" t="s">
        <v>27</v>
      </c>
      <c r="G44" s="14">
        <v>43024</v>
      </c>
      <c r="H44" s="14" t="s">
        <v>38</v>
      </c>
      <c r="I44" s="2" t="s">
        <v>1064</v>
      </c>
      <c r="J44" s="2" t="s">
        <v>1065</v>
      </c>
      <c r="K44" s="13">
        <v>0.1875</v>
      </c>
      <c r="L44" s="13">
        <v>0.1875</v>
      </c>
      <c r="M44" s="13">
        <f>CRF_3[[#This Row],[Time Spent on Configuration]]+CRF_3[[#This Row],[Time Spent on Review/Testing]]</f>
        <v>0.055555555554747116</v>
      </c>
      <c r="N44" s="1">
        <v>0</v>
      </c>
      <c r="O44" s="1" t="s">
        <v>956</v>
      </c>
      <c r="P44" s="1" t="s">
        <v>503</v>
      </c>
      <c r="Q44" s="1" t="s">
        <v>973</v>
      </c>
      <c r="R44" s="14">
        <f>CRF_2[[#This Row],[Change Request Date]]</f>
        <v>43024</v>
      </c>
      <c r="S44" s="1" t="s">
        <v>503</v>
      </c>
      <c r="U44" s="48"/>
    </row>
    <row r="45" spans="1:21" x14ac:dyDescent="0.25">
      <c r="A45" s="1" t="s">
        <v>3708</v>
      </c>
      <c r="B45" s="1">
        <v>2017</v>
      </c>
      <c r="C45" s="2" t="s">
        <v>1041</v>
      </c>
      <c r="D45" s="1" t="s">
        <v>1042</v>
      </c>
      <c r="E45" s="1" t="s">
        <v>503</v>
      </c>
      <c r="F45" s="1" t="s">
        <v>37</v>
      </c>
      <c r="G45" s="14">
        <v>43025</v>
      </c>
      <c r="H45" s="14" t="s">
        <v>953</v>
      </c>
      <c r="I45" s="2" t="s">
        <v>1066</v>
      </c>
      <c r="J45" s="2" t="s">
        <v>1067</v>
      </c>
      <c r="K45" s="13">
        <v>0.005208333332120674</v>
      </c>
      <c r="L45" s="13">
        <v>0.005208333332120674</v>
      </c>
      <c r="M45" s="13">
        <f>CRF_3[[#This Row],[Time Spent on Configuration]]+CRF_3[[#This Row],[Time Spent on Review/Testing]]</f>
        <v>0.04861111110949423</v>
      </c>
      <c r="N45" s="1">
        <v>0</v>
      </c>
      <c r="O45" s="1" t="s">
        <v>966</v>
      </c>
      <c r="P45" s="1" t="s">
        <v>503</v>
      </c>
      <c r="Q45" s="1" t="s">
        <v>973</v>
      </c>
      <c r="R45" s="14">
        <f>CRF_2[[#This Row],[Change Request Date]]</f>
        <v>43025</v>
      </c>
      <c r="S45" s="1" t="s">
        <v>503</v>
      </c>
      <c r="U45" s="48"/>
    </row>
    <row r="46" ht="30" customHeight="1" spans="1:21" x14ac:dyDescent="0.25">
      <c r="A46" s="1" t="s">
        <v>3708</v>
      </c>
      <c r="B46" s="1">
        <v>2017</v>
      </c>
      <c r="C46" s="2" t="s">
        <v>1012</v>
      </c>
      <c r="D46" s="1" t="s">
        <v>25</v>
      </c>
      <c r="E46" s="1" t="s">
        <v>503</v>
      </c>
      <c r="F46" s="1" t="s">
        <v>27</v>
      </c>
      <c r="G46" s="14">
        <v>43026</v>
      </c>
      <c r="H46" s="14" t="s">
        <v>28</v>
      </c>
      <c r="I46" s="2" t="s">
        <v>3963</v>
      </c>
      <c r="J46" s="2" t="s">
        <v>1069</v>
      </c>
      <c r="K46" s="13">
        <v>0.052083333332120674</v>
      </c>
      <c r="L46" s="13">
        <v>0.052083333332120674</v>
      </c>
      <c r="M46" s="13">
        <f>CRF_3[[#This Row],[Time Spent on Configuration]]+CRF_3[[#This Row],[Time Spent on Review/Testing]]</f>
        <v>0.04861111110949423</v>
      </c>
      <c r="N46" s="1">
        <v>0</v>
      </c>
      <c r="O46" s="1" t="s">
        <v>1001</v>
      </c>
      <c r="P46" s="1" t="s">
        <v>503</v>
      </c>
      <c r="Q46" s="1" t="s">
        <v>973</v>
      </c>
      <c r="R46" s="14">
        <f>CRF_2[[#This Row],[Change Request Date]]</f>
        <v>43026</v>
      </c>
      <c r="S46" s="1" t="s">
        <v>503</v>
      </c>
      <c r="U46" s="48"/>
    </row>
    <row r="47" ht="60" customHeight="1" spans="1:21" x14ac:dyDescent="0.25">
      <c r="A47" s="1" t="s">
        <v>3708</v>
      </c>
      <c r="B47" s="1">
        <v>2017</v>
      </c>
      <c r="C47" s="2" t="s">
        <v>1012</v>
      </c>
      <c r="D47" s="1" t="s">
        <v>25</v>
      </c>
      <c r="E47" s="1" t="s">
        <v>503</v>
      </c>
      <c r="F47" s="1" t="s">
        <v>952</v>
      </c>
      <c r="G47" s="14">
        <v>43033</v>
      </c>
      <c r="H47" s="14" t="s">
        <v>28</v>
      </c>
      <c r="I47" s="2" t="s">
        <v>3964</v>
      </c>
      <c r="J47" s="2" t="s">
        <v>1071</v>
      </c>
      <c r="K47" s="13">
        <v>0.08333333333212067</v>
      </c>
      <c r="L47" s="13">
        <v>0.08333333333212067</v>
      </c>
      <c r="M47" s="13">
        <f>CRF_3[[#This Row],[Time Spent on Configuration]]+CRF_3[[#This Row],[Time Spent on Review/Testing]]</f>
        <v>0.024305555554747116</v>
      </c>
      <c r="N47" s="1">
        <v>0</v>
      </c>
      <c r="O47" s="1" t="s">
        <v>1001</v>
      </c>
      <c r="P47" s="1" t="s">
        <v>503</v>
      </c>
      <c r="Q47" s="1" t="s">
        <v>973</v>
      </c>
      <c r="R47" s="14">
        <f>CRF_2[[#This Row],[Change Request Date]]</f>
        <v>43033</v>
      </c>
      <c r="S47" s="1" t="s">
        <v>503</v>
      </c>
      <c r="U47" s="48"/>
    </row>
    <row r="48" ht="60" customHeight="1" spans="1:21" x14ac:dyDescent="0.25">
      <c r="A48" s="1" t="s">
        <v>3708</v>
      </c>
      <c r="B48" s="1">
        <v>2017</v>
      </c>
      <c r="C48" s="2" t="s">
        <v>1009</v>
      </c>
      <c r="D48" s="1" t="s">
        <v>951</v>
      </c>
      <c r="E48" s="1" t="s">
        <v>503</v>
      </c>
      <c r="F48" s="1" t="s">
        <v>952</v>
      </c>
      <c r="G48" s="14">
        <v>43033</v>
      </c>
      <c r="H48" s="14" t="s">
        <v>28</v>
      </c>
      <c r="I48" s="2" t="s">
        <v>3965</v>
      </c>
      <c r="J48" s="2" t="s">
        <v>1071</v>
      </c>
      <c r="K48" s="13">
        <v>0.013888888890505768</v>
      </c>
      <c r="L48" s="13">
        <v>0.013888888890505768</v>
      </c>
      <c r="M48" s="13">
        <f>CRF_3[[#This Row],[Time Spent on Configuration]]+CRF_3[[#This Row],[Time Spent on Review/Testing]]</f>
        <v>0.07638888889050577</v>
      </c>
      <c r="N48" s="1">
        <v>0</v>
      </c>
      <c r="O48" s="1" t="s">
        <v>956</v>
      </c>
      <c r="P48" s="1" t="s">
        <v>503</v>
      </c>
      <c r="Q48" s="1" t="s">
        <v>973</v>
      </c>
      <c r="R48" s="14">
        <f>CRF_2[[#This Row],[Change Request Date]]</f>
        <v>43033</v>
      </c>
      <c r="S48" s="1" t="s">
        <v>503</v>
      </c>
      <c r="U48" s="48"/>
    </row>
    <row r="49" ht="30" customHeight="1" spans="1:21" x14ac:dyDescent="0.25">
      <c r="A49" s="1" t="s">
        <v>3708</v>
      </c>
      <c r="B49" s="1">
        <v>2017</v>
      </c>
      <c r="C49" s="2" t="s">
        <v>1047</v>
      </c>
      <c r="D49" s="1" t="s">
        <v>989</v>
      </c>
      <c r="E49" s="1" t="s">
        <v>503</v>
      </c>
      <c r="F49" s="1" t="s">
        <v>37</v>
      </c>
      <c r="G49" s="14">
        <v>43033</v>
      </c>
      <c r="H49" s="14" t="s">
        <v>1073</v>
      </c>
      <c r="I49" s="2" t="s">
        <v>1074</v>
      </c>
      <c r="J49" s="2" t="s">
        <v>1075</v>
      </c>
      <c r="K49" s="13">
        <v>0.010416666667879326</v>
      </c>
      <c r="L49" s="13">
        <v>0.010416666667879326</v>
      </c>
      <c r="M49" s="13">
        <f>CRF_3[[#This Row],[Time Spent on Configuration]]+CRF_3[[#This Row],[Time Spent on Review/Testing]]</f>
        <v>0.055555555554747116</v>
      </c>
      <c r="N49" s="1">
        <v>0</v>
      </c>
      <c r="O49" s="1" t="s">
        <v>966</v>
      </c>
      <c r="P49" s="1" t="s">
        <v>503</v>
      </c>
      <c r="Q49" s="1" t="s">
        <v>973</v>
      </c>
      <c r="R49" s="14">
        <f>CRF_2[[#This Row],[Change Request Date]]</f>
        <v>43033</v>
      </c>
      <c r="S49" s="1" t="s">
        <v>503</v>
      </c>
      <c r="U49" s="48"/>
    </row>
    <row r="50" ht="105" customHeight="1" spans="1:21" x14ac:dyDescent="0.25">
      <c r="A50" s="1" t="s">
        <v>3708</v>
      </c>
      <c r="B50" s="1">
        <v>2017</v>
      </c>
      <c r="C50" s="2" t="s">
        <v>1012</v>
      </c>
      <c r="D50" s="1" t="s">
        <v>25</v>
      </c>
      <c r="E50" s="1" t="s">
        <v>503</v>
      </c>
      <c r="F50" s="1" t="s">
        <v>27</v>
      </c>
      <c r="G50" s="14">
        <v>43034</v>
      </c>
      <c r="H50" s="14" t="s">
        <v>28</v>
      </c>
      <c r="I50" s="2" t="s">
        <v>3966</v>
      </c>
      <c r="J50" s="2" t="s">
        <v>3967</v>
      </c>
      <c r="K50" s="13">
        <v>0.010416666667879326</v>
      </c>
      <c r="L50" s="13">
        <v>0.010416666667879326</v>
      </c>
      <c r="M50" s="13">
        <f>CRF_3[[#This Row],[Time Spent on Configuration]]+CRF_3[[#This Row],[Time Spent on Review/Testing]]</f>
        <v>0.013888888890505768</v>
      </c>
      <c r="N50" s="1">
        <v>0</v>
      </c>
      <c r="O50" s="1" t="s">
        <v>1001</v>
      </c>
      <c r="P50" s="1" t="s">
        <v>503</v>
      </c>
      <c r="Q50" s="1" t="s">
        <v>973</v>
      </c>
      <c r="R50" s="14">
        <f>CRF_2[[#This Row],[Change Request Date]]</f>
        <v>43034</v>
      </c>
      <c r="S50" s="1" t="s">
        <v>503</v>
      </c>
      <c r="U50" s="48"/>
    </row>
    <row r="51" ht="30" customHeight="1" spans="1:21" x14ac:dyDescent="0.25">
      <c r="A51" s="1" t="s">
        <v>3725</v>
      </c>
      <c r="B51" s="1">
        <v>2017</v>
      </c>
      <c r="C51" s="2" t="s">
        <v>1012</v>
      </c>
      <c r="D51" s="1" t="s">
        <v>25</v>
      </c>
      <c r="E51" s="1" t="s">
        <v>503</v>
      </c>
      <c r="F51" s="1" t="s">
        <v>27</v>
      </c>
      <c r="G51" s="14">
        <v>43040</v>
      </c>
      <c r="H51" s="14" t="s">
        <v>28</v>
      </c>
      <c r="I51" s="2" t="s">
        <v>1079</v>
      </c>
      <c r="J51" s="2" t="s">
        <v>3968</v>
      </c>
      <c r="K51" s="13">
        <v>0.020833333332120674</v>
      </c>
      <c r="L51" s="13">
        <v>0.020833333332120674</v>
      </c>
      <c r="M51" s="13">
        <f>CRF_3[[#This Row],[Time Spent on Configuration]]+CRF_3[[#This Row],[Time Spent on Review/Testing]]</f>
        <v>0.052083333332120674</v>
      </c>
      <c r="N51" s="1">
        <v>0</v>
      </c>
      <c r="O51" s="1" t="s">
        <v>1001</v>
      </c>
      <c r="P51" s="1" t="s">
        <v>503</v>
      </c>
      <c r="Q51" s="1" t="s">
        <v>973</v>
      </c>
      <c r="R51" s="14">
        <f>CRF_2[[#This Row],[Change Request Date]]</f>
        <v>43040</v>
      </c>
      <c r="S51" s="1" t="s">
        <v>503</v>
      </c>
      <c r="U51" s="48"/>
    </row>
    <row r="52" spans="1:21" x14ac:dyDescent="0.25">
      <c r="A52" s="1" t="s">
        <v>3725</v>
      </c>
      <c r="B52" s="1">
        <v>2017</v>
      </c>
      <c r="C52" s="2" t="s">
        <v>988</v>
      </c>
      <c r="D52" s="1" t="s">
        <v>989</v>
      </c>
      <c r="E52" s="1" t="s">
        <v>503</v>
      </c>
      <c r="F52" s="1" t="s">
        <v>37</v>
      </c>
      <c r="G52" s="14">
        <v>43048</v>
      </c>
      <c r="H52" s="14" t="s">
        <v>28</v>
      </c>
      <c r="I52" s="2" t="s">
        <v>1081</v>
      </c>
      <c r="J52" s="2" t="s">
        <v>1082</v>
      </c>
      <c r="K52" s="13">
        <v>0.010416666667879326</v>
      </c>
      <c r="L52" s="13">
        <v>0.010416666667879326</v>
      </c>
      <c r="M52" s="13">
        <f>CRF_3[[#This Row],[Time Spent on Configuration]]+CRF_3[[#This Row],[Time Spent on Review/Testing]]</f>
        <v>0.038194444445252884</v>
      </c>
      <c r="N52" s="1">
        <v>0</v>
      </c>
      <c r="O52" s="1" t="s">
        <v>956</v>
      </c>
      <c r="P52" s="1" t="s">
        <v>503</v>
      </c>
      <c r="Q52" s="1" t="s">
        <v>973</v>
      </c>
      <c r="R52" s="14">
        <f>CRF_2[[#This Row],[Change Request Date]]</f>
        <v>43048</v>
      </c>
      <c r="S52" s="1" t="s">
        <v>503</v>
      </c>
      <c r="U52" s="48"/>
    </row>
    <row r="53" ht="30" customHeight="1" spans="1:21" x14ac:dyDescent="0.25">
      <c r="A53" s="1" t="s">
        <v>3725</v>
      </c>
      <c r="B53" s="1">
        <v>2017</v>
      </c>
      <c r="C53" s="2" t="s">
        <v>1024</v>
      </c>
      <c r="D53" s="1" t="s">
        <v>285</v>
      </c>
      <c r="E53" s="1" t="s">
        <v>503</v>
      </c>
      <c r="F53" s="1" t="s">
        <v>27</v>
      </c>
      <c r="G53" s="14">
        <v>43053</v>
      </c>
      <c r="H53" s="14" t="s">
        <v>28</v>
      </c>
      <c r="I53" s="2" t="s">
        <v>1083</v>
      </c>
      <c r="J53" s="2" t="s">
        <v>1084</v>
      </c>
      <c r="K53" s="13">
        <v>0.020833333332120674</v>
      </c>
      <c r="L53" s="13">
        <v>0.020833333332120674</v>
      </c>
      <c r="M53" s="13">
        <f>CRF_3[[#This Row],[Time Spent on Configuration]]+CRF_3[[#This Row],[Time Spent on Review/Testing]]</f>
        <v>0.07638888889050577</v>
      </c>
      <c r="N53" s="1">
        <v>0</v>
      </c>
      <c r="O53" s="1" t="s">
        <v>1001</v>
      </c>
      <c r="P53" s="1" t="s">
        <v>503</v>
      </c>
      <c r="Q53" s="1" t="s">
        <v>973</v>
      </c>
      <c r="R53" s="14">
        <f>CRF_2[[#This Row],[Change Request Date]]</f>
        <v>43053</v>
      </c>
      <c r="S53" s="1" t="s">
        <v>503</v>
      </c>
      <c r="U53" s="48"/>
    </row>
    <row r="54" ht="30" customHeight="1" spans="1:21" x14ac:dyDescent="0.25">
      <c r="A54" s="1" t="s">
        <v>3725</v>
      </c>
      <c r="B54" s="1">
        <v>2017</v>
      </c>
      <c r="C54" s="2" t="s">
        <v>288</v>
      </c>
      <c r="D54" s="1" t="s">
        <v>25</v>
      </c>
      <c r="E54" s="1" t="s">
        <v>503</v>
      </c>
      <c r="F54" s="1" t="s">
        <v>27</v>
      </c>
      <c r="G54" s="14">
        <v>43060</v>
      </c>
      <c r="H54" s="14" t="s">
        <v>50</v>
      </c>
      <c r="I54" s="2" t="s">
        <v>1085</v>
      </c>
      <c r="J54" s="2" t="s">
        <v>1086</v>
      </c>
      <c r="K54" s="13">
        <v>0.013888888890505768</v>
      </c>
      <c r="L54" s="13">
        <v>0.013888888890505768</v>
      </c>
      <c r="M54" s="13">
        <f>CRF_3[[#This Row],[Time Spent on Configuration]]+CRF_3[[#This Row],[Time Spent on Review/Testing]]</f>
        <v>0.055555555554747116</v>
      </c>
      <c r="N54" s="1">
        <v>0</v>
      </c>
      <c r="O54" s="1" t="s">
        <v>956</v>
      </c>
      <c r="P54" s="1" t="s">
        <v>503</v>
      </c>
      <c r="Q54" s="1" t="s">
        <v>973</v>
      </c>
      <c r="R54" s="14">
        <f>CRF_2[[#This Row],[Change Request Date]]</f>
        <v>43060</v>
      </c>
      <c r="S54" s="1" t="s">
        <v>503</v>
      </c>
      <c r="U54" s="48"/>
    </row>
    <row r="55" ht="30" customHeight="1" spans="1:21" x14ac:dyDescent="0.25">
      <c r="A55" s="1" t="s">
        <v>3725</v>
      </c>
      <c r="B55" s="1">
        <v>2017</v>
      </c>
      <c r="C55" s="2" t="s">
        <v>1087</v>
      </c>
      <c r="D55" s="1" t="s">
        <v>186</v>
      </c>
      <c r="E55" s="1" t="s">
        <v>503</v>
      </c>
      <c r="F55" s="1" t="s">
        <v>37</v>
      </c>
      <c r="G55" s="14">
        <v>43067</v>
      </c>
      <c r="H55" s="14" t="s">
        <v>28</v>
      </c>
      <c r="I55" s="2" t="s">
        <v>1088</v>
      </c>
      <c r="J55" s="2" t="s">
        <v>1089</v>
      </c>
      <c r="K55" s="13">
        <v>0.08333333333212067</v>
      </c>
      <c r="L55" s="13">
        <v>0.08333333333212067</v>
      </c>
      <c r="M55" s="13">
        <f>CRF_3[[#This Row],[Time Spent on Configuration]]+CRF_3[[#This Row],[Time Spent on Review/Testing]]</f>
        <v>0.07638888889050577</v>
      </c>
      <c r="N55" s="1">
        <v>0</v>
      </c>
      <c r="O55" s="1" t="s">
        <v>966</v>
      </c>
      <c r="P55" s="1" t="s">
        <v>503</v>
      </c>
      <c r="Q55" s="1" t="s">
        <v>973</v>
      </c>
      <c r="R55" s="14">
        <f>CRF_2[[#This Row],[Change Request Date]]</f>
        <v>43067</v>
      </c>
      <c r="S55" s="1" t="s">
        <v>503</v>
      </c>
      <c r="U55" s="48"/>
    </row>
    <row r="56" ht="30" customHeight="1" spans="1:21" x14ac:dyDescent="0.25">
      <c r="A56" s="1" t="s">
        <v>3733</v>
      </c>
      <c r="B56" s="1">
        <v>2017</v>
      </c>
      <c r="C56" s="2" t="s">
        <v>1009</v>
      </c>
      <c r="D56" s="1" t="s">
        <v>951</v>
      </c>
      <c r="E56" s="1" t="s">
        <v>503</v>
      </c>
      <c r="F56" s="1" t="s">
        <v>37</v>
      </c>
      <c r="G56" s="14">
        <v>43070</v>
      </c>
      <c r="H56" s="14" t="s">
        <v>28</v>
      </c>
      <c r="I56" s="2" t="s">
        <v>3969</v>
      </c>
      <c r="J56" s="2" t="s">
        <v>1092</v>
      </c>
      <c r="K56" s="13">
        <v>0.041666666667879326</v>
      </c>
      <c r="L56" s="13">
        <v>0.041666666667879326</v>
      </c>
      <c r="M56" s="13">
        <f>CRF_3[[#This Row],[Time Spent on Configuration]]+CRF_3[[#This Row],[Time Spent on Review/Testing]]</f>
        <v>0.13888888889050577</v>
      </c>
      <c r="N56" s="1">
        <v>0</v>
      </c>
      <c r="O56" s="1" t="s">
        <v>956</v>
      </c>
      <c r="P56" s="1" t="s">
        <v>503</v>
      </c>
      <c r="Q56" s="1" t="s">
        <v>973</v>
      </c>
      <c r="R56" s="14">
        <f>CRF_2[[#This Row],[Change Request Date]]</f>
        <v>43070</v>
      </c>
      <c r="S56" s="1" t="s">
        <v>503</v>
      </c>
      <c r="U56" s="48"/>
    </row>
    <row r="57" ht="30" customHeight="1" spans="1:21" x14ac:dyDescent="0.25">
      <c r="A57" s="1" t="s">
        <v>3733</v>
      </c>
      <c r="B57" s="1">
        <v>2017</v>
      </c>
      <c r="C57" s="2" t="s">
        <v>1093</v>
      </c>
      <c r="D57" s="1" t="s">
        <v>25</v>
      </c>
      <c r="E57" s="1" t="s">
        <v>503</v>
      </c>
      <c r="F57" s="1" t="s">
        <v>27</v>
      </c>
      <c r="G57" s="14">
        <v>43075</v>
      </c>
      <c r="H57" s="14" t="s">
        <v>28</v>
      </c>
      <c r="I57" s="2" t="s">
        <v>3970</v>
      </c>
      <c r="J57" s="2" t="s">
        <v>1095</v>
      </c>
      <c r="K57" s="13">
        <v>0.006944444445252884</v>
      </c>
      <c r="L57" s="13">
        <v>0.006944444445252884</v>
      </c>
      <c r="M57" s="13">
        <f>CRF_3[[#This Row],[Time Spent on Configuration]]+CRF_3[[#This Row],[Time Spent on Review/Testing]]</f>
        <v>0.11805555555474712</v>
      </c>
      <c r="N57" s="1">
        <v>0</v>
      </c>
      <c r="O57" s="1" t="s">
        <v>966</v>
      </c>
      <c r="P57" s="1" t="s">
        <v>503</v>
      </c>
      <c r="Q57" s="1" t="s">
        <v>973</v>
      </c>
      <c r="R57" s="14">
        <f>CRF_2[[#This Row],[Change Request Date]]</f>
        <v>43075</v>
      </c>
      <c r="S57" s="1" t="s">
        <v>503</v>
      </c>
      <c r="U57" s="48"/>
    </row>
    <row r="58" spans="1:21" x14ac:dyDescent="0.25">
      <c r="A58" s="1" t="s">
        <v>3733</v>
      </c>
      <c r="B58" s="1">
        <v>2017</v>
      </c>
      <c r="C58" s="2" t="s">
        <v>1096</v>
      </c>
      <c r="D58" s="1" t="s">
        <v>541</v>
      </c>
      <c r="E58" s="1" t="s">
        <v>503</v>
      </c>
      <c r="F58" s="1" t="s">
        <v>27</v>
      </c>
      <c r="G58" s="14">
        <v>43077</v>
      </c>
      <c r="H58" s="14" t="s">
        <v>28</v>
      </c>
      <c r="I58" s="2" t="s">
        <v>1097</v>
      </c>
      <c r="J58" s="2" t="s">
        <v>1098</v>
      </c>
      <c r="K58" s="13">
        <v>0.006944444445252884</v>
      </c>
      <c r="L58" s="13">
        <v>0.006944444445252884</v>
      </c>
      <c r="M58" s="13">
        <f>CRF_3[[#This Row],[Time Spent on Configuration]]+CRF_3[[#This Row],[Time Spent on Review/Testing]]</f>
        <v>0.09722222222262644</v>
      </c>
      <c r="N58" s="1">
        <v>0</v>
      </c>
      <c r="O58" s="1" t="s">
        <v>966</v>
      </c>
      <c r="P58" s="1" t="s">
        <v>503</v>
      </c>
      <c r="Q58" s="1" t="s">
        <v>973</v>
      </c>
      <c r="R58" s="14">
        <f>CRF_2[[#This Row],[Change Request Date]]</f>
        <v>43077</v>
      </c>
      <c r="S58" s="1" t="s">
        <v>503</v>
      </c>
      <c r="U58" s="48"/>
    </row>
    <row r="59" spans="1:21" x14ac:dyDescent="0.25">
      <c r="A59" s="1" t="s">
        <v>3733</v>
      </c>
      <c r="B59" s="1">
        <v>2017</v>
      </c>
      <c r="C59" s="2" t="s">
        <v>796</v>
      </c>
      <c r="D59" s="1" t="s">
        <v>285</v>
      </c>
      <c r="E59" s="1" t="s">
        <v>503</v>
      </c>
      <c r="F59" s="1" t="s">
        <v>27</v>
      </c>
      <c r="G59" s="14">
        <v>43076</v>
      </c>
      <c r="H59" s="14" t="s">
        <v>28</v>
      </c>
      <c r="I59" s="2" t="s">
        <v>3971</v>
      </c>
      <c r="J59" s="2" t="s">
        <v>1100</v>
      </c>
      <c r="K59" s="13">
        <v>0.10416666666787933</v>
      </c>
      <c r="L59" s="13">
        <v>0.10416666666787933</v>
      </c>
      <c r="M59" s="13">
        <f>CRF_3[[#This Row],[Time Spent on Configuration]]+CRF_3[[#This Row],[Time Spent on Review/Testing]]</f>
        <v>0.09027777777737356</v>
      </c>
      <c r="N59" s="1">
        <v>0</v>
      </c>
      <c r="O59" s="1" t="s">
        <v>956</v>
      </c>
      <c r="P59" s="1" t="s">
        <v>503</v>
      </c>
      <c r="Q59" s="1" t="s">
        <v>973</v>
      </c>
      <c r="R59" s="14">
        <f>CRF_2[[#This Row],[Change Request Date]]</f>
        <v>43076</v>
      </c>
      <c r="S59" s="1" t="s">
        <v>503</v>
      </c>
      <c r="U59" s="48"/>
    </row>
    <row r="60" spans="1:21" x14ac:dyDescent="0.25">
      <c r="A60" s="1" t="s">
        <v>3733</v>
      </c>
      <c r="B60" s="1">
        <v>2017</v>
      </c>
      <c r="C60" s="2" t="s">
        <v>1041</v>
      </c>
      <c r="D60" s="1" t="s">
        <v>1042</v>
      </c>
      <c r="E60" s="1" t="s">
        <v>503</v>
      </c>
      <c r="F60" s="1" t="s">
        <v>952</v>
      </c>
      <c r="G60" s="14">
        <v>43077</v>
      </c>
      <c r="H60" s="14" t="s">
        <v>28</v>
      </c>
      <c r="I60" s="2" t="s">
        <v>1101</v>
      </c>
      <c r="J60" s="2" t="s">
        <v>1102</v>
      </c>
      <c r="K60" s="13">
        <v>0.3125</v>
      </c>
      <c r="L60" s="13">
        <v>0.3125</v>
      </c>
      <c r="M60" s="13">
        <f>CRF_3[[#This Row],[Time Spent on Configuration]]+CRF_3[[#This Row],[Time Spent on Review/Testing]]</f>
        <v>0.0625</v>
      </c>
      <c r="N60" s="1">
        <v>0</v>
      </c>
      <c r="O60" s="1" t="s">
        <v>966</v>
      </c>
      <c r="P60" s="1" t="s">
        <v>503</v>
      </c>
      <c r="Q60" s="1" t="s">
        <v>973</v>
      </c>
      <c r="R60" s="14">
        <f>CRF_2[[#This Row],[Change Request Date]]</f>
        <v>43077</v>
      </c>
      <c r="S60" s="1" t="s">
        <v>503</v>
      </c>
      <c r="U60" s="48"/>
    </row>
    <row r="61" ht="30" customHeight="1" spans="1:21" x14ac:dyDescent="0.25">
      <c r="A61" s="1" t="s">
        <v>3733</v>
      </c>
      <c r="B61" s="1">
        <v>2017</v>
      </c>
      <c r="C61" s="2" t="s">
        <v>1103</v>
      </c>
      <c r="D61" s="1" t="s">
        <v>1104</v>
      </c>
      <c r="E61" s="1" t="s">
        <v>503</v>
      </c>
      <c r="F61" s="1" t="s">
        <v>37</v>
      </c>
      <c r="G61" s="14">
        <v>43080</v>
      </c>
      <c r="H61" s="14" t="s">
        <v>28</v>
      </c>
      <c r="I61" s="2" t="s">
        <v>1105</v>
      </c>
      <c r="J61" s="2" t="s">
        <v>1106</v>
      </c>
      <c r="K61" s="13">
        <v>0.013888888890505768</v>
      </c>
      <c r="L61" s="13">
        <v>0.013888888890505768</v>
      </c>
      <c r="M61" s="13">
        <f>CRF_3[[#This Row],[Time Spent on Configuration]]+CRF_3[[#This Row],[Time Spent on Review/Testing]]</f>
        <v>0.027777777777373558</v>
      </c>
      <c r="N61" s="1">
        <v>0</v>
      </c>
      <c r="O61" s="1" t="s">
        <v>966</v>
      </c>
      <c r="P61" s="1" t="s">
        <v>503</v>
      </c>
      <c r="Q61" s="1" t="s">
        <v>973</v>
      </c>
      <c r="R61" s="14">
        <f>CRF_2[[#This Row],[Change Request Date]]</f>
        <v>43080</v>
      </c>
      <c r="S61" s="1" t="s">
        <v>503</v>
      </c>
      <c r="U61" s="48"/>
    </row>
    <row r="62" ht="30" customHeight="1" spans="1:21" x14ac:dyDescent="0.25">
      <c r="A62" s="1" t="s">
        <v>3733</v>
      </c>
      <c r="B62" s="1">
        <v>2017</v>
      </c>
      <c r="C62" s="2" t="s">
        <v>288</v>
      </c>
      <c r="D62" s="1" t="s">
        <v>25</v>
      </c>
      <c r="E62" s="1" t="s">
        <v>503</v>
      </c>
      <c r="F62" s="1" t="s">
        <v>952</v>
      </c>
      <c r="G62" s="14">
        <v>43082</v>
      </c>
      <c r="H62" s="14" t="s">
        <v>28</v>
      </c>
      <c r="I62" s="2" t="s">
        <v>1107</v>
      </c>
      <c r="J62" s="2" t="s">
        <v>3972</v>
      </c>
      <c r="K62" s="13">
        <v>0.010416666667879326</v>
      </c>
      <c r="L62" s="13">
        <v>0.010416666667879326</v>
      </c>
      <c r="M62" s="13">
        <f>CRF_3[[#This Row],[Time Spent on Configuration]]+CRF_3[[#This Row],[Time Spent on Review/Testing]]</f>
        <v>0.027777777777373558</v>
      </c>
      <c r="N62" s="1">
        <v>0</v>
      </c>
      <c r="O62" s="1" t="s">
        <v>956</v>
      </c>
      <c r="P62" s="1" t="s">
        <v>503</v>
      </c>
      <c r="Q62" s="1" t="s">
        <v>973</v>
      </c>
      <c r="R62" s="14">
        <f>CRF_2[[#This Row],[Change Request Date]]</f>
        <v>43082</v>
      </c>
      <c r="S62" s="1" t="s">
        <v>503</v>
      </c>
      <c r="U62" s="48"/>
    </row>
    <row r="63" spans="1:21" x14ac:dyDescent="0.25">
      <c r="A63" s="1" t="s">
        <v>3733</v>
      </c>
      <c r="B63" s="1">
        <v>2017</v>
      </c>
      <c r="C63" s="2" t="s">
        <v>545</v>
      </c>
      <c r="D63" s="1" t="s">
        <v>963</v>
      </c>
      <c r="E63" s="1" t="s">
        <v>503</v>
      </c>
      <c r="F63" s="1" t="s">
        <v>37</v>
      </c>
      <c r="G63" s="14">
        <v>43091</v>
      </c>
      <c r="H63" s="14" t="s">
        <v>28</v>
      </c>
      <c r="I63" s="2" t="s">
        <v>1109</v>
      </c>
      <c r="J63" s="2" t="s">
        <v>1110</v>
      </c>
      <c r="K63" s="13">
        <v>0.020833333332120674</v>
      </c>
      <c r="L63" s="13">
        <v>0.020833333332120674</v>
      </c>
      <c r="M63" s="13">
        <f>CRF_3[[#This Row],[Time Spent on Configuration]]+CRF_3[[#This Row],[Time Spent on Review/Testing]]</f>
        <v>0.027777777777373558</v>
      </c>
      <c r="N63" s="1">
        <v>0</v>
      </c>
      <c r="O63" s="1" t="s">
        <v>956</v>
      </c>
      <c r="P63" s="1" t="s">
        <v>503</v>
      </c>
      <c r="Q63" s="1" t="s">
        <v>973</v>
      </c>
      <c r="R63" s="14">
        <f>CRF_2[[#This Row],[Change Request Date]]</f>
        <v>43091</v>
      </c>
      <c r="S63" s="1" t="s">
        <v>503</v>
      </c>
      <c r="U63" s="48"/>
    </row>
    <row r="64" ht="30" customHeight="1" spans="1:21" x14ac:dyDescent="0.25">
      <c r="A64" s="1" t="s">
        <v>3733</v>
      </c>
      <c r="B64" s="1">
        <v>2017</v>
      </c>
      <c r="C64" s="2" t="s">
        <v>1111</v>
      </c>
      <c r="D64" s="1" t="s">
        <v>1112</v>
      </c>
      <c r="E64" s="1" t="s">
        <v>503</v>
      </c>
      <c r="F64" s="1" t="s">
        <v>952</v>
      </c>
      <c r="G64" s="14">
        <v>43097</v>
      </c>
      <c r="H64" s="14" t="s">
        <v>28</v>
      </c>
      <c r="I64" s="2" t="s">
        <v>3973</v>
      </c>
      <c r="J64" s="2" t="s">
        <v>3974</v>
      </c>
      <c r="K64" s="13">
        <v>0.07291666666787933</v>
      </c>
      <c r="L64" s="13">
        <v>0.07291666666787933</v>
      </c>
      <c r="M64" s="13">
        <f>CRF_3[[#This Row],[Time Spent on Configuration]]+CRF_3[[#This Row],[Time Spent on Review/Testing]]</f>
        <v>0.027777777777373558</v>
      </c>
      <c r="N64" s="1">
        <v>0</v>
      </c>
      <c r="O64" s="1" t="s">
        <v>956</v>
      </c>
      <c r="P64" s="1" t="s">
        <v>503</v>
      </c>
      <c r="Q64" s="1" t="s">
        <v>973</v>
      </c>
      <c r="R64" s="14">
        <f>CRF_2[[#This Row],[Change Request Date]]</f>
        <v>43097</v>
      </c>
      <c r="S64" s="1" t="s">
        <v>503</v>
      </c>
      <c r="U64" s="48"/>
    </row>
    <row r="65" spans="1:21" x14ac:dyDescent="0.25">
      <c r="A65" s="1" t="s">
        <v>3733</v>
      </c>
      <c r="B65" s="1">
        <v>2017</v>
      </c>
      <c r="C65" s="2" t="s">
        <v>1009</v>
      </c>
      <c r="D65" s="1" t="s">
        <v>951</v>
      </c>
      <c r="E65" s="1" t="s">
        <v>503</v>
      </c>
      <c r="F65" s="1" t="s">
        <v>952</v>
      </c>
      <c r="G65" s="14">
        <v>43099</v>
      </c>
      <c r="H65" s="14" t="s">
        <v>1073</v>
      </c>
      <c r="I65" s="2" t="s">
        <v>1115</v>
      </c>
      <c r="J65" s="2" t="s">
        <v>1116</v>
      </c>
      <c r="K65" s="13">
        <v>0.005208333332120674</v>
      </c>
      <c r="L65" s="13">
        <v>0.005208333332120674</v>
      </c>
      <c r="M65" s="13">
        <f>CRF_3[[#This Row],[Time Spent on Configuration]]+CRF_3[[#This Row],[Time Spent on Review/Testing]]</f>
        <v>0.027777777777373558</v>
      </c>
      <c r="N65" s="1">
        <v>0</v>
      </c>
      <c r="O65" s="1" t="s">
        <v>956</v>
      </c>
      <c r="P65" s="1" t="s">
        <v>503</v>
      </c>
      <c r="Q65" s="1" t="s">
        <v>973</v>
      </c>
      <c r="R65" s="14">
        <f>CRF_2[[#This Row],[Change Request Date]]</f>
        <v>43099</v>
      </c>
      <c r="S65" s="1" t="s">
        <v>503</v>
      </c>
      <c r="U65" s="48"/>
    </row>
    <row r="66" spans="1:21" x14ac:dyDescent="0.25">
      <c r="A66" s="1" t="s">
        <v>3733</v>
      </c>
      <c r="B66" s="1">
        <v>2017</v>
      </c>
      <c r="C66" s="2" t="s">
        <v>1041</v>
      </c>
      <c r="D66" s="1" t="s">
        <v>1042</v>
      </c>
      <c r="E66" s="1" t="s">
        <v>503</v>
      </c>
      <c r="F66" s="1" t="s">
        <v>37</v>
      </c>
      <c r="G66" s="14">
        <v>43099</v>
      </c>
      <c r="H66" s="14" t="s">
        <v>28</v>
      </c>
      <c r="I66" s="2" t="s">
        <v>1117</v>
      </c>
      <c r="J66" s="2" t="s">
        <v>1118</v>
      </c>
      <c r="K66" s="13">
        <v>0.052083333332120674</v>
      </c>
      <c r="L66" s="13">
        <v>0.052083333332120674</v>
      </c>
      <c r="M66" s="13">
        <f>CRF_3[[#This Row],[Time Spent on Configuration]]+CRF_3[[#This Row],[Time Spent on Review/Testing]]</f>
        <v>0.027777777777373558</v>
      </c>
      <c r="N66" s="1">
        <v>0</v>
      </c>
      <c r="O66" s="1" t="s">
        <v>966</v>
      </c>
      <c r="P66" s="1" t="s">
        <v>503</v>
      </c>
      <c r="Q66" s="1" t="s">
        <v>973</v>
      </c>
      <c r="R66" s="14">
        <f>CRF_2[[#This Row],[Change Request Date]]</f>
        <v>43099</v>
      </c>
      <c r="S66" s="1" t="s">
        <v>503</v>
      </c>
      <c r="U66" s="48"/>
    </row>
    <row r="67" ht="60" customHeight="1" spans="1:21" x14ac:dyDescent="0.25">
      <c r="A67" s="1" t="s">
        <v>3576</v>
      </c>
      <c r="B67" s="1">
        <v>2018</v>
      </c>
      <c r="C67" s="2" t="s">
        <v>1120</v>
      </c>
      <c r="D67" s="1" t="s">
        <v>541</v>
      </c>
      <c r="E67" s="1" t="s">
        <v>503</v>
      </c>
      <c r="F67" s="1" t="s">
        <v>37</v>
      </c>
      <c r="G67" s="14">
        <v>43104</v>
      </c>
      <c r="H67" s="14" t="s">
        <v>38</v>
      </c>
      <c r="I67" s="2" t="s">
        <v>1121</v>
      </c>
      <c r="J67" s="2" t="s">
        <v>3975</v>
      </c>
      <c r="K67" s="13">
        <v>0.003472222222626442</v>
      </c>
      <c r="L67" s="13">
        <v>0.003472222222626442</v>
      </c>
      <c r="M67" s="13">
        <f>CRF_3[[#This Row],[Time Spent on Configuration]]+CRF_3[[#This Row],[Time Spent on Review/Testing]]</f>
        <v>0.027777777777373558</v>
      </c>
      <c r="N67" s="1">
        <v>0</v>
      </c>
      <c r="O67" s="1" t="s">
        <v>966</v>
      </c>
      <c r="P67" s="1" t="s">
        <v>503</v>
      </c>
      <c r="Q67" s="1" t="s">
        <v>973</v>
      </c>
      <c r="R67" s="14">
        <f>CRF_2[[#This Row],[Change Request Date]]</f>
        <v>43104</v>
      </c>
      <c r="S67" s="1" t="s">
        <v>503</v>
      </c>
      <c r="U67" s="48"/>
    </row>
    <row r="68" ht="30" customHeight="1" spans="1:21" x14ac:dyDescent="0.25">
      <c r="A68" s="1" t="s">
        <v>3576</v>
      </c>
      <c r="B68" s="1">
        <v>2018</v>
      </c>
      <c r="C68" s="2" t="s">
        <v>950</v>
      </c>
      <c r="D68" s="1" t="s">
        <v>951</v>
      </c>
      <c r="E68" s="1" t="s">
        <v>503</v>
      </c>
      <c r="F68" s="1" t="s">
        <v>952</v>
      </c>
      <c r="G68" s="14">
        <v>43103</v>
      </c>
      <c r="H68" s="14" t="s">
        <v>28</v>
      </c>
      <c r="I68" s="2" t="s">
        <v>3976</v>
      </c>
      <c r="J68" s="2" t="s">
        <v>1124</v>
      </c>
      <c r="K68" s="13">
        <v>0.020833333332120674</v>
      </c>
      <c r="L68" s="13">
        <v>0.020833333332120674</v>
      </c>
      <c r="M68" s="13">
        <f>CRF_3[[#This Row],[Time Spent on Configuration]]+CRF_3[[#This Row],[Time Spent on Review/Testing]]</f>
        <v>0.07638888889050577</v>
      </c>
      <c r="N68" s="1">
        <v>0</v>
      </c>
      <c r="O68" s="1" t="s">
        <v>956</v>
      </c>
      <c r="P68" s="1" t="s">
        <v>503</v>
      </c>
      <c r="Q68" s="1" t="s">
        <v>957</v>
      </c>
      <c r="R68" s="14">
        <f>CRF_2[[#This Row],[Change Request Date]]</f>
        <v>43103</v>
      </c>
      <c r="S68" s="1" t="s">
        <v>503</v>
      </c>
      <c r="U68" s="48"/>
    </row>
    <row r="69" ht="30" customHeight="1" spans="1:21" x14ac:dyDescent="0.25">
      <c r="A69" s="1" t="s">
        <v>3576</v>
      </c>
      <c r="B69" s="1">
        <v>2018</v>
      </c>
      <c r="C69" s="2" t="s">
        <v>1009</v>
      </c>
      <c r="D69" s="1" t="s">
        <v>951</v>
      </c>
      <c r="E69" s="1" t="s">
        <v>503</v>
      </c>
      <c r="F69" s="1" t="s">
        <v>952</v>
      </c>
      <c r="G69" s="14">
        <v>43103</v>
      </c>
      <c r="H69" s="14" t="s">
        <v>28</v>
      </c>
      <c r="I69" s="2" t="s">
        <v>1125</v>
      </c>
      <c r="J69" s="2" t="s">
        <v>1126</v>
      </c>
      <c r="K69" s="13">
        <v>0.020833333332120674</v>
      </c>
      <c r="L69" s="13">
        <v>0.020833333332120674</v>
      </c>
      <c r="M69" s="13">
        <f>CRF_3[[#This Row],[Time Spent on Configuration]]+CRF_3[[#This Row],[Time Spent on Review/Testing]]</f>
        <v>0.07291666666787933</v>
      </c>
      <c r="N69" s="1">
        <v>0</v>
      </c>
      <c r="O69" s="1" t="s">
        <v>956</v>
      </c>
      <c r="P69" s="1" t="s">
        <v>503</v>
      </c>
      <c r="Q69" s="1" t="s">
        <v>957</v>
      </c>
      <c r="R69" s="14">
        <f>CRF_2[[#This Row],[Change Request Date]]</f>
        <v>43103</v>
      </c>
      <c r="S69" s="1" t="s">
        <v>503</v>
      </c>
      <c r="U69" s="48"/>
    </row>
    <row r="70" spans="1:21" x14ac:dyDescent="0.25">
      <c r="A70" s="1" t="s">
        <v>3576</v>
      </c>
      <c r="B70" s="1">
        <v>2018</v>
      </c>
      <c r="C70" s="2" t="s">
        <v>796</v>
      </c>
      <c r="D70" s="1" t="s">
        <v>285</v>
      </c>
      <c r="E70" s="1" t="s">
        <v>503</v>
      </c>
      <c r="F70" s="1" t="s">
        <v>27</v>
      </c>
      <c r="G70" s="14">
        <v>43109</v>
      </c>
      <c r="H70" s="14" t="s">
        <v>28</v>
      </c>
      <c r="I70" s="2" t="s">
        <v>1127</v>
      </c>
      <c r="J70" s="2" t="s">
        <v>1128</v>
      </c>
      <c r="K70" s="13">
        <v>0.020833333332120674</v>
      </c>
      <c r="L70" s="13">
        <v>0.020833333332120674</v>
      </c>
      <c r="M70" s="13">
        <f>CRF_3[[#This Row],[Time Spent on Configuration]]+CRF_3[[#This Row],[Time Spent on Review/Testing]]</f>
        <v>0.0812499999992724</v>
      </c>
      <c r="N70" s="1">
        <v>0</v>
      </c>
      <c r="O70" s="1" t="s">
        <v>956</v>
      </c>
      <c r="P70" s="1" t="s">
        <v>503</v>
      </c>
      <c r="Q70" s="1" t="s">
        <v>977</v>
      </c>
      <c r="R70" s="14">
        <f>CRF_2[[#This Row],[Change Request Date]]</f>
        <v>43109</v>
      </c>
      <c r="S70" s="1" t="s">
        <v>503</v>
      </c>
      <c r="U70" s="48"/>
    </row>
    <row r="71" ht="30" customHeight="1" spans="1:21" x14ac:dyDescent="0.25">
      <c r="A71" s="1" t="s">
        <v>3576</v>
      </c>
      <c r="B71" s="1">
        <v>2018</v>
      </c>
      <c r="C71" s="2" t="s">
        <v>118</v>
      </c>
      <c r="D71" s="1" t="s">
        <v>25</v>
      </c>
      <c r="E71" s="1" t="s">
        <v>503</v>
      </c>
      <c r="F71" s="1" t="s">
        <v>27</v>
      </c>
      <c r="G71" s="14">
        <v>43109</v>
      </c>
      <c r="H71" s="14" t="s">
        <v>28</v>
      </c>
      <c r="I71" s="2" t="s">
        <v>3977</v>
      </c>
      <c r="J71" s="2" t="s">
        <v>1130</v>
      </c>
      <c r="K71" s="13">
        <v>0.08333333333212067</v>
      </c>
      <c r="L71" s="13">
        <v>0.08333333333212067</v>
      </c>
      <c r="M71" s="13">
        <f>CRF_3[[#This Row],[Time Spent on Configuration]]+CRF_3[[#This Row],[Time Spent on Review/Testing]]</f>
        <v>0.07986111110949423</v>
      </c>
      <c r="N71" s="1">
        <v>0</v>
      </c>
      <c r="O71" s="1" t="s">
        <v>956</v>
      </c>
      <c r="P71" s="1" t="s">
        <v>503</v>
      </c>
      <c r="Q71" s="1" t="s">
        <v>977</v>
      </c>
      <c r="R71" s="14">
        <f>CRF_2[[#This Row],[Change Request Date]]</f>
        <v>43109</v>
      </c>
      <c r="S71" s="1" t="s">
        <v>503</v>
      </c>
      <c r="U71" s="48"/>
    </row>
    <row r="72" ht="30" customHeight="1" spans="1:21" x14ac:dyDescent="0.25">
      <c r="A72" s="1" t="s">
        <v>3576</v>
      </c>
      <c r="B72" s="1">
        <v>2018</v>
      </c>
      <c r="C72" s="2" t="s">
        <v>641</v>
      </c>
      <c r="D72" s="1" t="s">
        <v>261</v>
      </c>
      <c r="E72" s="1" t="s">
        <v>503</v>
      </c>
      <c r="F72" s="1" t="s">
        <v>27</v>
      </c>
      <c r="G72" s="14">
        <v>43109</v>
      </c>
      <c r="H72" s="14" t="s">
        <v>28</v>
      </c>
      <c r="I72" s="2" t="s">
        <v>3978</v>
      </c>
      <c r="J72" s="2" t="s">
        <v>1132</v>
      </c>
      <c r="K72" s="13">
        <v>0.020833333332120674</v>
      </c>
      <c r="L72" s="13">
        <v>0.020833333332120674</v>
      </c>
      <c r="M72" s="13">
        <f>CRF_3[[#This Row],[Time Spent on Configuration]]+CRF_3[[#This Row],[Time Spent on Review/Testing]]</f>
        <v>0.020833333332120674</v>
      </c>
      <c r="N72" s="1">
        <v>0</v>
      </c>
      <c r="O72" s="1" t="s">
        <v>1001</v>
      </c>
      <c r="P72" s="1" t="s">
        <v>503</v>
      </c>
      <c r="Q72" s="1" t="s">
        <v>977</v>
      </c>
      <c r="R72" s="14">
        <f>CRF_2[[#This Row],[Change Request Date]]</f>
        <v>43109</v>
      </c>
      <c r="S72" s="1" t="s">
        <v>503</v>
      </c>
      <c r="U72" s="48"/>
    </row>
    <row r="73" ht="30" customHeight="1" spans="1:21" x14ac:dyDescent="0.25">
      <c r="A73" s="1" t="s">
        <v>3576</v>
      </c>
      <c r="B73" s="1">
        <v>2018</v>
      </c>
      <c r="C73" s="2" t="s">
        <v>1133</v>
      </c>
      <c r="D73" s="1" t="s">
        <v>285</v>
      </c>
      <c r="E73" s="1" t="s">
        <v>503</v>
      </c>
      <c r="F73" s="1" t="s">
        <v>27</v>
      </c>
      <c r="G73" s="14">
        <v>43111</v>
      </c>
      <c r="H73" s="14" t="s">
        <v>50</v>
      </c>
      <c r="I73" s="2" t="s">
        <v>1134</v>
      </c>
      <c r="J73" s="2" t="s">
        <v>1135</v>
      </c>
      <c r="K73" s="13">
        <v>0.010416666667879326</v>
      </c>
      <c r="L73" s="13">
        <v>0.010416666667879326</v>
      </c>
      <c r="M73" s="13">
        <f>CRF_3[[#This Row],[Time Spent on Configuration]]+CRF_3[[#This Row],[Time Spent on Review/Testing]]</f>
        <v>0.020833333332120674</v>
      </c>
      <c r="N73" s="1">
        <v>0</v>
      </c>
      <c r="O73" s="1" t="s">
        <v>956</v>
      </c>
      <c r="P73" s="1" t="s">
        <v>503</v>
      </c>
      <c r="Q73" s="1" t="s">
        <v>977</v>
      </c>
      <c r="R73" s="14">
        <f>CRF_2[[#This Row],[Change Request Date]]</f>
        <v>43111</v>
      </c>
      <c r="S73" s="1" t="s">
        <v>503</v>
      </c>
      <c r="U73" s="48"/>
    </row>
    <row r="74" spans="1:21" x14ac:dyDescent="0.25">
      <c r="A74" s="1" t="s">
        <v>3576</v>
      </c>
      <c r="B74" s="1">
        <v>2018</v>
      </c>
      <c r="C74" s="2" t="s">
        <v>1041</v>
      </c>
      <c r="D74" s="1" t="s">
        <v>1042</v>
      </c>
      <c r="E74" s="1" t="s">
        <v>503</v>
      </c>
      <c r="F74" s="1" t="s">
        <v>37</v>
      </c>
      <c r="G74" s="14">
        <v>43113</v>
      </c>
      <c r="H74" s="14" t="s">
        <v>28</v>
      </c>
      <c r="I74" s="2" t="s">
        <v>1136</v>
      </c>
      <c r="J74" s="2" t="s">
        <v>1137</v>
      </c>
      <c r="K74" s="13">
        <v>0.008680555554747116</v>
      </c>
      <c r="L74" s="13">
        <v>0.008680555554747116</v>
      </c>
      <c r="M74" s="13">
        <f>CRF_3[[#This Row],[Time Spent on Configuration]]+CRF_3[[#This Row],[Time Spent on Review/Testing]]</f>
        <v>0.020833333332120674</v>
      </c>
      <c r="N74" s="1">
        <v>0</v>
      </c>
      <c r="O74" s="1" t="s">
        <v>966</v>
      </c>
      <c r="P74" s="1" t="s">
        <v>503</v>
      </c>
      <c r="Q74" s="1" t="s">
        <v>967</v>
      </c>
      <c r="R74" s="14">
        <f>CRF_2[[#This Row],[Change Request Date]]</f>
        <v>43113</v>
      </c>
      <c r="S74" s="1" t="s">
        <v>503</v>
      </c>
      <c r="U74" s="48"/>
    </row>
    <row r="75" spans="1:21" x14ac:dyDescent="0.25">
      <c r="A75" s="1" t="s">
        <v>3576</v>
      </c>
      <c r="B75" s="1">
        <v>2018</v>
      </c>
      <c r="C75" s="2" t="s">
        <v>1047</v>
      </c>
      <c r="D75" s="1" t="s">
        <v>989</v>
      </c>
      <c r="E75" s="1" t="s">
        <v>503</v>
      </c>
      <c r="F75" s="1" t="s">
        <v>37</v>
      </c>
      <c r="G75" s="14">
        <v>43113</v>
      </c>
      <c r="H75" s="14" t="s">
        <v>28</v>
      </c>
      <c r="I75" s="2" t="s">
        <v>1138</v>
      </c>
      <c r="J75" s="2" t="s">
        <v>3979</v>
      </c>
      <c r="K75" s="13">
        <v>0.008680555554747116</v>
      </c>
      <c r="L75" s="13">
        <v>0.008680555554747116</v>
      </c>
      <c r="M75" s="13">
        <f>CRF_3[[#This Row],[Time Spent on Configuration]]+CRF_3[[#This Row],[Time Spent on Review/Testing]]</f>
        <v>0.020833333332120674</v>
      </c>
      <c r="N75" s="1">
        <v>0</v>
      </c>
      <c r="O75" s="1" t="s">
        <v>966</v>
      </c>
      <c r="P75" s="1" t="s">
        <v>503</v>
      </c>
      <c r="Q75" s="1" t="s">
        <v>967</v>
      </c>
      <c r="R75" s="14">
        <f>CRF_2[[#This Row],[Change Request Date]]</f>
        <v>43113</v>
      </c>
      <c r="S75" s="1" t="s">
        <v>503</v>
      </c>
      <c r="U75" s="48"/>
    </row>
    <row r="76" ht="105" customHeight="1" spans="1:21" x14ac:dyDescent="0.25">
      <c r="A76" s="1" t="s">
        <v>3576</v>
      </c>
      <c r="B76" s="1">
        <v>2018</v>
      </c>
      <c r="C76" s="2" t="s">
        <v>1009</v>
      </c>
      <c r="D76" s="1" t="s">
        <v>951</v>
      </c>
      <c r="E76" s="1" t="s">
        <v>503</v>
      </c>
      <c r="F76" s="1" t="s">
        <v>952</v>
      </c>
      <c r="G76" s="14">
        <v>43113</v>
      </c>
      <c r="H76" s="14" t="s">
        <v>953</v>
      </c>
      <c r="I76" s="2" t="s">
        <v>1140</v>
      </c>
      <c r="J76" s="2" t="s">
        <v>3980</v>
      </c>
      <c r="K76" s="13">
        <v>0.008680555554747116</v>
      </c>
      <c r="L76" s="13">
        <v>0.008680555554747116</v>
      </c>
      <c r="M76" s="13">
        <f>CRF_3[[#This Row],[Time Spent on Configuration]]+CRF_3[[#This Row],[Time Spent on Review/Testing]]</f>
        <v>0.020833333332120674</v>
      </c>
      <c r="N76" s="1">
        <v>0</v>
      </c>
      <c r="O76" s="1" t="s">
        <v>956</v>
      </c>
      <c r="P76" s="1" t="s">
        <v>503</v>
      </c>
      <c r="Q76" s="1" t="s">
        <v>957</v>
      </c>
      <c r="R76" s="14">
        <f>CRF_2[[#This Row],[Change Request Date]]</f>
        <v>43113</v>
      </c>
      <c r="S76" s="1" t="s">
        <v>503</v>
      </c>
      <c r="U76" s="48"/>
    </row>
    <row r="77" spans="1:21" x14ac:dyDescent="0.25">
      <c r="A77" s="1" t="s">
        <v>3576</v>
      </c>
      <c r="B77" s="1">
        <v>2018</v>
      </c>
      <c r="C77" s="2" t="s">
        <v>1009</v>
      </c>
      <c r="D77" s="1" t="s">
        <v>951</v>
      </c>
      <c r="E77" s="1" t="s">
        <v>503</v>
      </c>
      <c r="F77" s="1" t="s">
        <v>952</v>
      </c>
      <c r="G77" s="14">
        <v>43113</v>
      </c>
      <c r="H77" s="14" t="s">
        <v>953</v>
      </c>
      <c r="I77" s="2" t="s">
        <v>1142</v>
      </c>
      <c r="J77" s="2" t="s">
        <v>3981</v>
      </c>
      <c r="K77" s="13">
        <v>0.008680555554747116</v>
      </c>
      <c r="L77" s="13">
        <v>0.008680555554747116</v>
      </c>
      <c r="M77" s="13">
        <f>CRF_3[[#This Row],[Time Spent on Configuration]]+CRF_3[[#This Row],[Time Spent on Review/Testing]]</f>
        <v>0.020833333332120674</v>
      </c>
      <c r="N77" s="1">
        <v>0</v>
      </c>
      <c r="O77" s="1" t="s">
        <v>956</v>
      </c>
      <c r="P77" s="1" t="s">
        <v>503</v>
      </c>
      <c r="Q77" s="1" t="s">
        <v>957</v>
      </c>
      <c r="R77" s="14">
        <f>CRF_2[[#This Row],[Change Request Date]]</f>
        <v>43113</v>
      </c>
      <c r="S77" s="1" t="s">
        <v>503</v>
      </c>
      <c r="U77" s="48"/>
    </row>
    <row r="78" ht="60" customHeight="1" spans="1:21" x14ac:dyDescent="0.25">
      <c r="A78" s="1" t="s">
        <v>3576</v>
      </c>
      <c r="B78" s="1">
        <v>2018</v>
      </c>
      <c r="C78" s="2" t="s">
        <v>1009</v>
      </c>
      <c r="D78" s="1" t="s">
        <v>951</v>
      </c>
      <c r="E78" s="1" t="s">
        <v>503</v>
      </c>
      <c r="F78" s="1" t="s">
        <v>37</v>
      </c>
      <c r="G78" s="14">
        <v>43118</v>
      </c>
      <c r="H78" s="14" t="s">
        <v>255</v>
      </c>
      <c r="I78" s="2" t="s">
        <v>3982</v>
      </c>
      <c r="J78" s="2" t="s">
        <v>3983</v>
      </c>
      <c r="K78" s="13">
        <v>0.010416666667879326</v>
      </c>
      <c r="L78" s="13">
        <v>0.010416666667879326</v>
      </c>
      <c r="M78" s="13">
        <f>CRF_3[[#This Row],[Time Spent on Configuration]]+CRF_3[[#This Row],[Time Spent on Review/Testing]]</f>
        <v>0.020833333332120674</v>
      </c>
      <c r="N78" s="1">
        <v>0</v>
      </c>
      <c r="O78" s="1" t="s">
        <v>956</v>
      </c>
      <c r="P78" s="1" t="s">
        <v>503</v>
      </c>
      <c r="Q78" s="1" t="s">
        <v>957</v>
      </c>
      <c r="R78" s="14">
        <f>CRF_2[[#This Row],[Change Request Date]]</f>
        <v>43118</v>
      </c>
      <c r="S78" s="1" t="s">
        <v>503</v>
      </c>
      <c r="U78" s="48"/>
    </row>
    <row r="79" spans="1:21" x14ac:dyDescent="0.25">
      <c r="A79" s="1" t="s">
        <v>3576</v>
      </c>
      <c r="B79" s="1">
        <v>2018</v>
      </c>
      <c r="C79" s="2" t="s">
        <v>1041</v>
      </c>
      <c r="D79" s="1" t="s">
        <v>1042</v>
      </c>
      <c r="E79" s="1" t="s">
        <v>503</v>
      </c>
      <c r="F79" s="1" t="s">
        <v>27</v>
      </c>
      <c r="G79" s="14">
        <v>43118</v>
      </c>
      <c r="H79" s="14" t="s">
        <v>255</v>
      </c>
      <c r="I79" s="2" t="s">
        <v>1146</v>
      </c>
      <c r="J79" s="2" t="s">
        <v>3984</v>
      </c>
      <c r="K79" s="13">
        <v>0.024305555554747116</v>
      </c>
      <c r="L79" s="13">
        <v>0.024305555554747116</v>
      </c>
      <c r="M79" s="13">
        <f>CRF_3[[#This Row],[Time Spent on Configuration]]+CRF_3[[#This Row],[Time Spent on Review/Testing]]</f>
        <v>0.020833333332120674</v>
      </c>
      <c r="N79" s="1">
        <v>0</v>
      </c>
      <c r="O79" s="1" t="s">
        <v>966</v>
      </c>
      <c r="P79" s="1" t="s">
        <v>503</v>
      </c>
      <c r="Q79" s="1" t="s">
        <v>967</v>
      </c>
      <c r="R79" s="14">
        <f>CRF_2[[#This Row],[Change Request Date]]</f>
        <v>43118</v>
      </c>
      <c r="S79" s="1" t="s">
        <v>503</v>
      </c>
      <c r="U79" s="48"/>
    </row>
    <row r="80" ht="60" customHeight="1" spans="1:21" x14ac:dyDescent="0.25">
      <c r="A80" s="1" t="s">
        <v>3576</v>
      </c>
      <c r="B80" s="1">
        <v>2018</v>
      </c>
      <c r="C80" s="2" t="s">
        <v>1093</v>
      </c>
      <c r="D80" s="1" t="s">
        <v>25</v>
      </c>
      <c r="E80" s="1" t="s">
        <v>503</v>
      </c>
      <c r="F80" s="1" t="s">
        <v>27</v>
      </c>
      <c r="G80" s="14">
        <v>43129</v>
      </c>
      <c r="H80" s="14" t="s">
        <v>28</v>
      </c>
      <c r="I80" s="2" t="s">
        <v>3985</v>
      </c>
      <c r="J80" s="2" t="s">
        <v>3986</v>
      </c>
      <c r="K80" s="13">
        <v>0.03125</v>
      </c>
      <c r="L80" s="13">
        <v>0.03125</v>
      </c>
      <c r="M80" s="13">
        <f>CRF_3[[#This Row],[Time Spent on Configuration]]+CRF_3[[#This Row],[Time Spent on Review/Testing]]</f>
        <v>0.020833333332120674</v>
      </c>
      <c r="N80" s="1">
        <v>0</v>
      </c>
      <c r="O80" s="1" t="s">
        <v>966</v>
      </c>
      <c r="P80" s="1" t="s">
        <v>503</v>
      </c>
      <c r="Q80" s="1" t="s">
        <v>977</v>
      </c>
      <c r="R80" s="14">
        <v>43129</v>
      </c>
      <c r="S80" s="1" t="s">
        <v>503</v>
      </c>
      <c r="U80" s="48"/>
    </row>
    <row r="81" ht="30" customHeight="1" spans="1:21" x14ac:dyDescent="0.25">
      <c r="A81" s="1" t="s">
        <v>3576</v>
      </c>
      <c r="B81" s="1">
        <v>2018</v>
      </c>
      <c r="C81" s="2" t="s">
        <v>1047</v>
      </c>
      <c r="D81" s="1" t="s">
        <v>989</v>
      </c>
      <c r="E81" s="1" t="s">
        <v>503</v>
      </c>
      <c r="F81" s="1" t="s">
        <v>37</v>
      </c>
      <c r="G81" s="14">
        <v>43129</v>
      </c>
      <c r="H81" s="14" t="s">
        <v>28</v>
      </c>
      <c r="I81" s="2" t="s">
        <v>3987</v>
      </c>
      <c r="J81" s="2" t="s">
        <v>3988</v>
      </c>
      <c r="K81" s="13">
        <v>0.005208333332120674</v>
      </c>
      <c r="L81" s="13">
        <v>0.005208333332120674</v>
      </c>
      <c r="M81" s="13">
        <f>CRF_3[[#This Row],[Time Spent on Configuration]]+CRF_3[[#This Row],[Time Spent on Review/Testing]]</f>
        <v>0.020833333332120674</v>
      </c>
      <c r="N81" s="1">
        <v>0</v>
      </c>
      <c r="O81" s="1" t="s">
        <v>966</v>
      </c>
      <c r="P81" s="1" t="s">
        <v>503</v>
      </c>
      <c r="Q81" s="1" t="s">
        <v>967</v>
      </c>
      <c r="R81" s="14">
        <v>43129</v>
      </c>
      <c r="S81" s="1" t="s">
        <v>503</v>
      </c>
      <c r="U81" s="48"/>
    </row>
    <row r="82" ht="150" customHeight="1" spans="1:21" x14ac:dyDescent="0.25">
      <c r="A82" s="1" t="s">
        <v>3594</v>
      </c>
      <c r="B82" s="1">
        <v>2018</v>
      </c>
      <c r="C82" s="2" t="s">
        <v>1087</v>
      </c>
      <c r="D82" s="1" t="s">
        <v>186</v>
      </c>
      <c r="E82" s="1" t="s">
        <v>503</v>
      </c>
      <c r="F82" s="1" t="s">
        <v>27</v>
      </c>
      <c r="G82" s="14">
        <v>43136</v>
      </c>
      <c r="H82" s="14" t="s">
        <v>28</v>
      </c>
      <c r="I82" s="2" t="s">
        <v>1153</v>
      </c>
      <c r="J82" s="2" t="s">
        <v>3989</v>
      </c>
      <c r="K82" s="13">
        <v>0.08333333333212067</v>
      </c>
      <c r="L82" s="13">
        <v>0.08333333333212067</v>
      </c>
      <c r="M82" s="13">
        <f>CRF_3[[#This Row],[Time Spent on Configuration]]+CRF_3[[#This Row],[Time Spent on Review/Testing]]</f>
        <v>0.020833333332120674</v>
      </c>
      <c r="N82" s="1">
        <v>0</v>
      </c>
      <c r="O82" s="1" t="s">
        <v>966</v>
      </c>
      <c r="P82" s="1" t="s">
        <v>503</v>
      </c>
      <c r="Q82" s="1" t="s">
        <v>967</v>
      </c>
      <c r="R82" s="14">
        <v>43136</v>
      </c>
      <c r="S82" s="1" t="s">
        <v>503</v>
      </c>
      <c r="U82" s="48"/>
    </row>
    <row r="83" ht="60" customHeight="1" spans="1:21" x14ac:dyDescent="0.25">
      <c r="A83" s="1" t="s">
        <v>3594</v>
      </c>
      <c r="B83" s="1">
        <v>2018</v>
      </c>
      <c r="C83" s="2" t="s">
        <v>1155</v>
      </c>
      <c r="D83" s="1" t="s">
        <v>25</v>
      </c>
      <c r="E83" s="1" t="s">
        <v>503</v>
      </c>
      <c r="F83" s="1" t="s">
        <v>27</v>
      </c>
      <c r="G83" s="14">
        <v>43138</v>
      </c>
      <c r="H83" s="14" t="s">
        <v>50</v>
      </c>
      <c r="I83" s="2" t="s">
        <v>1156</v>
      </c>
      <c r="J83" s="2" t="s">
        <v>3990</v>
      </c>
      <c r="K83" s="13">
        <v>0.010416666667879326</v>
      </c>
      <c r="L83" s="13">
        <v>0.010416666667879326</v>
      </c>
      <c r="M83" s="13">
        <f>CRF_3[[#This Row],[Time Spent on Configuration]]+CRF_3[[#This Row],[Time Spent on Review/Testing]]</f>
        <v>0.020833333332120674</v>
      </c>
      <c r="N83" s="1">
        <v>0</v>
      </c>
      <c r="O83" s="1" t="s">
        <v>1001</v>
      </c>
      <c r="P83" s="1" t="s">
        <v>503</v>
      </c>
      <c r="Q83" s="1" t="s">
        <v>977</v>
      </c>
      <c r="R83" s="14">
        <v>43138</v>
      </c>
      <c r="S83" s="1" t="s">
        <v>503</v>
      </c>
      <c r="U83" s="48"/>
    </row>
    <row r="84" ht="45" customHeight="1" spans="1:21" x14ac:dyDescent="0.25">
      <c r="A84" s="1" t="s">
        <v>3594</v>
      </c>
      <c r="B84" s="1">
        <v>2018</v>
      </c>
      <c r="C84" s="2" t="s">
        <v>1059</v>
      </c>
      <c r="D84" s="1" t="s">
        <v>261</v>
      </c>
      <c r="E84" s="1" t="s">
        <v>503</v>
      </c>
      <c r="F84" s="1" t="s">
        <v>37</v>
      </c>
      <c r="G84" s="14">
        <v>43138</v>
      </c>
      <c r="H84" s="14" t="s">
        <v>28</v>
      </c>
      <c r="I84" s="2" t="s">
        <v>1158</v>
      </c>
      <c r="J84" s="2" t="s">
        <v>3991</v>
      </c>
      <c r="K84" s="13">
        <v>0.010416666667879326</v>
      </c>
      <c r="L84" s="13">
        <v>0.010416666667879326</v>
      </c>
      <c r="M84" s="13">
        <f>CRF_3[[#This Row],[Time Spent on Configuration]]+CRF_3[[#This Row],[Time Spent on Review/Testing]]</f>
        <v>0.020833333332120674</v>
      </c>
      <c r="N84" s="1">
        <v>0</v>
      </c>
      <c r="O84" s="1" t="s">
        <v>956</v>
      </c>
      <c r="P84" s="1" t="s">
        <v>503</v>
      </c>
      <c r="Q84" s="1" t="s">
        <v>977</v>
      </c>
      <c r="R84" s="14">
        <v>43138</v>
      </c>
      <c r="S84" s="1" t="s">
        <v>503</v>
      </c>
      <c r="U84" s="48"/>
    </row>
    <row r="85" spans="1:21" x14ac:dyDescent="0.25">
      <c r="A85" s="1" t="s">
        <v>3594</v>
      </c>
      <c r="B85" s="1">
        <v>2018</v>
      </c>
      <c r="C85" s="2" t="s">
        <v>1041</v>
      </c>
      <c r="D85" s="1" t="s">
        <v>1042</v>
      </c>
      <c r="E85" s="1" t="s">
        <v>503</v>
      </c>
      <c r="F85" s="1" t="s">
        <v>37</v>
      </c>
      <c r="G85" s="14">
        <v>43144</v>
      </c>
      <c r="H85" s="14" t="s">
        <v>28</v>
      </c>
      <c r="I85" s="2" t="s">
        <v>1160</v>
      </c>
      <c r="J85" s="2" t="s">
        <v>3992</v>
      </c>
      <c r="K85" s="13">
        <v>0.010416666667879326</v>
      </c>
      <c r="L85" s="13">
        <v>0.010416666667879326</v>
      </c>
      <c r="M85" s="13">
        <f>CRF_3[[#This Row],[Time Spent on Configuration]]+CRF_3[[#This Row],[Time Spent on Review/Testing]]</f>
        <v>0.020833333332120674</v>
      </c>
      <c r="N85" s="1">
        <v>0</v>
      </c>
      <c r="O85" s="1" t="s">
        <v>966</v>
      </c>
      <c r="P85" s="1" t="s">
        <v>503</v>
      </c>
      <c r="Q85" s="1" t="s">
        <v>967</v>
      </c>
      <c r="R85" s="14">
        <v>43144</v>
      </c>
      <c r="S85" s="1" t="s">
        <v>503</v>
      </c>
      <c r="U85" s="48"/>
    </row>
    <row r="86" spans="1:21" x14ac:dyDescent="0.25">
      <c r="A86" s="1" t="s">
        <v>3594</v>
      </c>
      <c r="B86" s="1">
        <v>2018</v>
      </c>
      <c r="C86" s="2" t="s">
        <v>796</v>
      </c>
      <c r="D86" s="1" t="s">
        <v>285</v>
      </c>
      <c r="E86" s="1" t="s">
        <v>503</v>
      </c>
      <c r="F86" s="1" t="s">
        <v>37</v>
      </c>
      <c r="G86" s="14">
        <v>43144</v>
      </c>
      <c r="H86" s="14" t="s">
        <v>28</v>
      </c>
      <c r="I86" s="2" t="s">
        <v>1162</v>
      </c>
      <c r="J86" s="2" t="s">
        <v>1162</v>
      </c>
      <c r="K86" s="13">
        <v>0.09375</v>
      </c>
      <c r="L86" s="13">
        <v>0.09375</v>
      </c>
      <c r="M86" s="13">
        <f>CRF_3[[#This Row],[Time Spent on Configuration]]+CRF_3[[#This Row],[Time Spent on Review/Testing]]</f>
        <v>0.020833333332120674</v>
      </c>
      <c r="N86" s="1">
        <v>0</v>
      </c>
      <c r="O86" s="1" t="s">
        <v>956</v>
      </c>
      <c r="P86" s="1" t="s">
        <v>503</v>
      </c>
      <c r="Q86" s="1" t="s">
        <v>977</v>
      </c>
      <c r="R86" s="14">
        <v>43144</v>
      </c>
      <c r="S86" s="1" t="s">
        <v>503</v>
      </c>
      <c r="U86" s="48"/>
    </row>
    <row r="87" spans="1:21" x14ac:dyDescent="0.25">
      <c r="A87" s="1" t="s">
        <v>3594</v>
      </c>
      <c r="B87" s="1">
        <v>2018</v>
      </c>
      <c r="C87" s="2" t="s">
        <v>796</v>
      </c>
      <c r="D87" s="1" t="s">
        <v>285</v>
      </c>
      <c r="E87" s="1" t="s">
        <v>503</v>
      </c>
      <c r="F87" s="1" t="s">
        <v>37</v>
      </c>
      <c r="G87" s="14">
        <v>43145</v>
      </c>
      <c r="H87" s="14" t="s">
        <v>670</v>
      </c>
      <c r="I87" s="2" t="s">
        <v>1163</v>
      </c>
      <c r="J87" s="2" t="s">
        <v>1164</v>
      </c>
      <c r="K87" s="13">
        <v>0.03125</v>
      </c>
      <c r="L87" s="13">
        <v>0.03125</v>
      </c>
      <c r="M87" s="13">
        <f>CRF_3[[#This Row],[Time Spent on Configuration]]+CRF_3[[#This Row],[Time Spent on Review/Testing]]</f>
        <v>0.020833333332120674</v>
      </c>
      <c r="N87" s="1">
        <v>0</v>
      </c>
      <c r="O87" s="1" t="s">
        <v>956</v>
      </c>
      <c r="P87" s="1" t="s">
        <v>503</v>
      </c>
      <c r="Q87" s="1" t="s">
        <v>977</v>
      </c>
      <c r="R87" s="14">
        <v>43145</v>
      </c>
      <c r="S87" s="1" t="s">
        <v>503</v>
      </c>
      <c r="U87" s="48"/>
    </row>
    <row r="88" ht="30" customHeight="1" spans="1:21" x14ac:dyDescent="0.25">
      <c r="A88" s="1" t="s">
        <v>3594</v>
      </c>
      <c r="B88" s="1">
        <v>2018</v>
      </c>
      <c r="C88" s="2" t="s">
        <v>1024</v>
      </c>
      <c r="D88" s="1" t="s">
        <v>285</v>
      </c>
      <c r="E88" s="1" t="s">
        <v>503</v>
      </c>
      <c r="F88" s="1" t="s">
        <v>27</v>
      </c>
      <c r="G88" s="14">
        <v>43145</v>
      </c>
      <c r="H88" s="14" t="s">
        <v>28</v>
      </c>
      <c r="I88" s="2" t="s">
        <v>3993</v>
      </c>
      <c r="J88" s="2" t="s">
        <v>1166</v>
      </c>
      <c r="K88" s="13">
        <v>0.010416666667879326</v>
      </c>
      <c r="L88" s="13">
        <v>0.010416666667879326</v>
      </c>
      <c r="M88" s="13">
        <f>CRF_3[[#This Row],[Time Spent on Configuration]]+CRF_3[[#This Row],[Time Spent on Review/Testing]]</f>
        <v>0.020833333332120674</v>
      </c>
      <c r="N88" s="1">
        <v>0</v>
      </c>
      <c r="O88" s="1" t="s">
        <v>1001</v>
      </c>
      <c r="P88" s="1" t="s">
        <v>503</v>
      </c>
      <c r="Q88" s="1" t="s">
        <v>977</v>
      </c>
      <c r="R88" s="14">
        <v>43145</v>
      </c>
      <c r="S88" s="1" t="s">
        <v>503</v>
      </c>
      <c r="U88" s="48"/>
    </row>
    <row r="89" ht="30" customHeight="1" spans="1:21" x14ac:dyDescent="0.25">
      <c r="A89" s="1" t="s">
        <v>3594</v>
      </c>
      <c r="B89" s="1">
        <v>2018</v>
      </c>
      <c r="C89" s="2" t="s">
        <v>1018</v>
      </c>
      <c r="D89" s="1" t="s">
        <v>1019</v>
      </c>
      <c r="E89" s="1" t="s">
        <v>503</v>
      </c>
      <c r="F89" s="1" t="s">
        <v>27</v>
      </c>
      <c r="G89" s="14">
        <v>43145</v>
      </c>
      <c r="H89" s="14" t="s">
        <v>953</v>
      </c>
      <c r="I89" s="2" t="s">
        <v>3994</v>
      </c>
      <c r="J89" s="2" t="s">
        <v>1168</v>
      </c>
      <c r="K89" s="13">
        <v>0.003472222222626442</v>
      </c>
      <c r="L89" s="13">
        <v>0.003472222222626442</v>
      </c>
      <c r="M89" s="13">
        <f>CRF_3[[#This Row],[Time Spent on Configuration]]+CRF_3[[#This Row],[Time Spent on Review/Testing]]</f>
        <v>0.020833333332120674</v>
      </c>
      <c r="N89" s="1">
        <v>0</v>
      </c>
      <c r="O89" s="1" t="s">
        <v>1001</v>
      </c>
      <c r="P89" s="1" t="s">
        <v>503</v>
      </c>
      <c r="Q89" s="1" t="s">
        <v>977</v>
      </c>
      <c r="R89" s="14">
        <v>43145</v>
      </c>
      <c r="S89" s="1" t="s">
        <v>503</v>
      </c>
      <c r="U89" s="48"/>
    </row>
    <row r="90" ht="30" customHeight="1" spans="1:21" x14ac:dyDescent="0.25">
      <c r="A90" s="1" t="s">
        <v>3594</v>
      </c>
      <c r="B90" s="1">
        <v>2018</v>
      </c>
      <c r="C90" s="2" t="s">
        <v>1169</v>
      </c>
      <c r="D90" s="1" t="s">
        <v>989</v>
      </c>
      <c r="E90" s="1" t="s">
        <v>503</v>
      </c>
      <c r="F90" s="1" t="s">
        <v>37</v>
      </c>
      <c r="G90" s="14">
        <v>43146</v>
      </c>
      <c r="H90" s="14" t="s">
        <v>50</v>
      </c>
      <c r="I90" s="2" t="s">
        <v>1170</v>
      </c>
      <c r="J90" s="2" t="s">
        <v>1171</v>
      </c>
      <c r="K90" s="13">
        <v>0.006944444445252884</v>
      </c>
      <c r="L90" s="13">
        <v>0.006944444445252884</v>
      </c>
      <c r="M90" s="13">
        <f>CRF_3[[#This Row],[Time Spent on Configuration]]+CRF_3[[#This Row],[Time Spent on Review/Testing]]</f>
        <v>0.020833333332120674</v>
      </c>
      <c r="N90" s="1">
        <v>0</v>
      </c>
      <c r="O90" s="1" t="s">
        <v>956</v>
      </c>
      <c r="P90" s="1" t="s">
        <v>503</v>
      </c>
      <c r="Q90" s="1" t="s">
        <v>967</v>
      </c>
      <c r="R90" s="14">
        <v>43146</v>
      </c>
      <c r="S90" s="1" t="s">
        <v>503</v>
      </c>
      <c r="U90" s="48"/>
    </row>
    <row r="91" ht="45" customHeight="1" spans="1:21" x14ac:dyDescent="0.25">
      <c r="A91" s="1" t="s">
        <v>3594</v>
      </c>
      <c r="B91" s="1">
        <v>2018</v>
      </c>
      <c r="C91" s="2" t="s">
        <v>1041</v>
      </c>
      <c r="D91" s="1" t="s">
        <v>1042</v>
      </c>
      <c r="E91" s="1" t="s">
        <v>503</v>
      </c>
      <c r="F91" s="1" t="s">
        <v>37</v>
      </c>
      <c r="G91" s="14">
        <v>43147</v>
      </c>
      <c r="H91" s="14" t="s">
        <v>50</v>
      </c>
      <c r="I91" s="2" t="s">
        <v>1172</v>
      </c>
      <c r="J91" s="2" t="s">
        <v>3995</v>
      </c>
      <c r="K91" s="13">
        <v>0.006944444445252884</v>
      </c>
      <c r="L91" s="13">
        <v>0.006944444445252884</v>
      </c>
      <c r="M91" s="13">
        <f>CRF_3[[#This Row],[Time Spent on Configuration]]+CRF_3[[#This Row],[Time Spent on Review/Testing]]</f>
        <v>0.020833333332120674</v>
      </c>
      <c r="N91" s="1">
        <v>0</v>
      </c>
      <c r="O91" s="1" t="s">
        <v>966</v>
      </c>
      <c r="P91" s="1" t="s">
        <v>503</v>
      </c>
      <c r="Q91" s="1" t="s">
        <v>967</v>
      </c>
      <c r="R91" s="14">
        <v>43147</v>
      </c>
      <c r="S91" s="1" t="s">
        <v>503</v>
      </c>
      <c r="U91" s="48"/>
    </row>
    <row r="92" ht="30" customHeight="1" spans="1:21" x14ac:dyDescent="0.25">
      <c r="A92" s="1" t="s">
        <v>3594</v>
      </c>
      <c r="B92" s="1">
        <v>2018</v>
      </c>
      <c r="C92" s="2" t="s">
        <v>1103</v>
      </c>
      <c r="D92" s="1" t="s">
        <v>1104</v>
      </c>
      <c r="E92" s="1" t="s">
        <v>503</v>
      </c>
      <c r="F92" s="1" t="s">
        <v>37</v>
      </c>
      <c r="G92" s="14">
        <v>43150</v>
      </c>
      <c r="H92" s="14" t="s">
        <v>28</v>
      </c>
      <c r="I92" s="2" t="s">
        <v>3996</v>
      </c>
      <c r="J92" s="2" t="s">
        <v>1175</v>
      </c>
      <c r="K92" s="13">
        <v>0.010416666667879326</v>
      </c>
      <c r="L92" s="13">
        <v>0.010416666667879326</v>
      </c>
      <c r="M92" s="13">
        <f>CRF_3[[#This Row],[Time Spent on Configuration]]+CRF_3[[#This Row],[Time Spent on Review/Testing]]</f>
        <v>0.020833333332120674</v>
      </c>
      <c r="N92" s="1">
        <v>0</v>
      </c>
      <c r="O92" s="1" t="s">
        <v>1001</v>
      </c>
      <c r="P92" s="1" t="s">
        <v>503</v>
      </c>
      <c r="Q92" s="1" t="s">
        <v>967</v>
      </c>
      <c r="R92" s="14">
        <v>43150</v>
      </c>
      <c r="S92" s="1" t="s">
        <v>503</v>
      </c>
      <c r="U92" s="48"/>
    </row>
    <row r="93" ht="30" customHeight="1" spans="1:21" x14ac:dyDescent="0.25">
      <c r="A93" s="1" t="s">
        <v>3594</v>
      </c>
      <c r="B93" s="1">
        <v>2018</v>
      </c>
      <c r="C93" s="2" t="s">
        <v>228</v>
      </c>
      <c r="D93" s="1" t="s">
        <v>25</v>
      </c>
      <c r="E93" s="1" t="s">
        <v>503</v>
      </c>
      <c r="F93" s="1" t="s">
        <v>27</v>
      </c>
      <c r="G93" s="14">
        <v>43150</v>
      </c>
      <c r="H93" s="14" t="s">
        <v>670</v>
      </c>
      <c r="I93" s="2" t="s">
        <v>3997</v>
      </c>
      <c r="J93" s="2" t="s">
        <v>1177</v>
      </c>
      <c r="K93" s="13">
        <v>0.08333333333212067</v>
      </c>
      <c r="L93" s="13">
        <v>0.08333333333212067</v>
      </c>
      <c r="M93" s="13">
        <f>CRF_3[[#This Row],[Time Spent on Configuration]]+CRF_3[[#This Row],[Time Spent on Review/Testing]]</f>
        <v>0.020833333332120674</v>
      </c>
      <c r="N93" s="1">
        <v>0</v>
      </c>
      <c r="O93" s="1" t="s">
        <v>966</v>
      </c>
      <c r="P93" s="1" t="s">
        <v>503</v>
      </c>
      <c r="Q93" s="1" t="s">
        <v>977</v>
      </c>
      <c r="R93" s="14">
        <v>43150</v>
      </c>
      <c r="S93" s="1" t="s">
        <v>503</v>
      </c>
      <c r="U93" s="48"/>
    </row>
    <row r="94" ht="30" customHeight="1" spans="1:21" x14ac:dyDescent="0.25">
      <c r="A94" s="1" t="s">
        <v>3594</v>
      </c>
      <c r="B94" s="1">
        <v>2018</v>
      </c>
      <c r="C94" s="2" t="s">
        <v>1047</v>
      </c>
      <c r="D94" s="1" t="s">
        <v>989</v>
      </c>
      <c r="E94" s="1" t="s">
        <v>503</v>
      </c>
      <c r="F94" s="1" t="s">
        <v>37</v>
      </c>
      <c r="G94" s="14">
        <v>43150</v>
      </c>
      <c r="H94" s="14" t="s">
        <v>255</v>
      </c>
      <c r="I94" s="2" t="s">
        <v>3998</v>
      </c>
      <c r="J94" s="2" t="s">
        <v>3999</v>
      </c>
      <c r="K94" s="13">
        <v>0.041666666667879326</v>
      </c>
      <c r="L94" s="13">
        <v>0.041666666667879326</v>
      </c>
      <c r="M94" s="13">
        <f>CRF_3[[#This Row],[Time Spent on Configuration]]+CRF_3[[#This Row],[Time Spent on Review/Testing]]</f>
        <v>0.020833333332120674</v>
      </c>
      <c r="N94" s="1">
        <v>0</v>
      </c>
      <c r="O94" s="1" t="s">
        <v>966</v>
      </c>
      <c r="P94" s="1" t="s">
        <v>503</v>
      </c>
      <c r="Q94" s="1" t="s">
        <v>967</v>
      </c>
      <c r="R94" s="14">
        <v>43150</v>
      </c>
      <c r="S94" s="1" t="s">
        <v>503</v>
      </c>
      <c r="U94" s="48"/>
    </row>
    <row r="95" spans="1:21" x14ac:dyDescent="0.25">
      <c r="A95" s="1" t="s">
        <v>3594</v>
      </c>
      <c r="B95" s="1">
        <v>2018</v>
      </c>
      <c r="C95" s="2" t="s">
        <v>1041</v>
      </c>
      <c r="D95" s="1" t="s">
        <v>1042</v>
      </c>
      <c r="E95" s="1" t="s">
        <v>503</v>
      </c>
      <c r="F95" s="1" t="s">
        <v>27</v>
      </c>
      <c r="G95" s="14">
        <v>43152</v>
      </c>
      <c r="H95" s="14" t="s">
        <v>953</v>
      </c>
      <c r="I95" s="50" t="s">
        <v>1180</v>
      </c>
      <c r="J95" s="2" t="s">
        <v>1181</v>
      </c>
      <c r="K95" s="13">
        <v>0.006944444445252884</v>
      </c>
      <c r="L95" s="13">
        <v>0.006944444445252884</v>
      </c>
      <c r="M95" s="13">
        <f>CRF_3[[#This Row],[Time Spent on Configuration]]+CRF_3[[#This Row],[Time Spent on Review/Testing]]</f>
        <v>0.020833333332120674</v>
      </c>
      <c r="N95" s="1">
        <v>0</v>
      </c>
      <c r="O95" s="1" t="s">
        <v>966</v>
      </c>
      <c r="P95" s="1" t="s">
        <v>503</v>
      </c>
      <c r="Q95" s="1" t="s">
        <v>967</v>
      </c>
      <c r="R95" s="14">
        <v>43152</v>
      </c>
      <c r="S95" s="1" t="s">
        <v>503</v>
      </c>
      <c r="U95" s="48"/>
    </row>
    <row r="96" spans="1:21" x14ac:dyDescent="0.25">
      <c r="A96" s="1" t="s">
        <v>3594</v>
      </c>
      <c r="B96" s="1">
        <v>2018</v>
      </c>
      <c r="C96" s="2" t="s">
        <v>1093</v>
      </c>
      <c r="D96" s="1" t="s">
        <v>25</v>
      </c>
      <c r="E96" s="1" t="s">
        <v>503</v>
      </c>
      <c r="F96" s="1" t="s">
        <v>27</v>
      </c>
      <c r="G96" s="14">
        <v>43152</v>
      </c>
      <c r="H96" s="14" t="s">
        <v>255</v>
      </c>
      <c r="I96" s="2" t="s">
        <v>1182</v>
      </c>
      <c r="J96" s="2" t="s">
        <v>1183</v>
      </c>
      <c r="K96" s="13">
        <v>0.010416666667879326</v>
      </c>
      <c r="L96" s="13">
        <v>0.010416666667879326</v>
      </c>
      <c r="M96" s="13">
        <f>CRF_3[[#This Row],[Time Spent on Configuration]]+CRF_3[[#This Row],[Time Spent on Review/Testing]]</f>
        <v>0.020833333332120674</v>
      </c>
      <c r="N96" s="1">
        <v>0</v>
      </c>
      <c r="O96" s="1" t="s">
        <v>966</v>
      </c>
      <c r="P96" s="1" t="s">
        <v>503</v>
      </c>
      <c r="Q96" s="1" t="s">
        <v>977</v>
      </c>
      <c r="R96" s="14">
        <v>43152</v>
      </c>
      <c r="S96" s="1" t="s">
        <v>503</v>
      </c>
      <c r="U96" s="48"/>
    </row>
    <row r="97" spans="1:21" x14ac:dyDescent="0.25">
      <c r="A97" s="1" t="s">
        <v>3594</v>
      </c>
      <c r="B97" s="1">
        <v>2018</v>
      </c>
      <c r="C97" s="2" t="s">
        <v>118</v>
      </c>
      <c r="D97" s="1" t="s">
        <v>25</v>
      </c>
      <c r="E97" s="1" t="s">
        <v>503</v>
      </c>
      <c r="F97" s="1" t="s">
        <v>27</v>
      </c>
      <c r="G97" s="14">
        <v>43154</v>
      </c>
      <c r="H97" s="14" t="s">
        <v>50</v>
      </c>
      <c r="I97" s="2" t="s">
        <v>1184</v>
      </c>
      <c r="J97" s="2" t="s">
        <v>1185</v>
      </c>
      <c r="K97" s="13">
        <v>0.0625</v>
      </c>
      <c r="L97" s="13">
        <v>0.0625</v>
      </c>
      <c r="M97" s="13">
        <f>CRF_3[[#This Row],[Time Spent on Configuration]]+CRF_3[[#This Row],[Time Spent on Review/Testing]]</f>
        <v>0.020833333332120674</v>
      </c>
      <c r="N97" s="1">
        <v>0</v>
      </c>
      <c r="O97" s="1" t="s">
        <v>1001</v>
      </c>
      <c r="P97" s="1" t="s">
        <v>503</v>
      </c>
      <c r="Q97" s="1" t="s">
        <v>977</v>
      </c>
      <c r="R97" s="14">
        <v>43154</v>
      </c>
      <c r="S97" s="1" t="s">
        <v>503</v>
      </c>
      <c r="U97" s="48"/>
    </row>
    <row r="98" spans="1:21" x14ac:dyDescent="0.25">
      <c r="A98" s="1" t="s">
        <v>3594</v>
      </c>
      <c r="B98" s="1">
        <v>2018</v>
      </c>
      <c r="C98" s="2" t="s">
        <v>118</v>
      </c>
      <c r="D98" s="1" t="s">
        <v>25</v>
      </c>
      <c r="E98" s="1" t="s">
        <v>503</v>
      </c>
      <c r="F98" s="1" t="s">
        <v>27</v>
      </c>
      <c r="G98" s="14">
        <v>43155</v>
      </c>
      <c r="H98" s="14" t="s">
        <v>50</v>
      </c>
      <c r="I98" s="2" t="s">
        <v>1186</v>
      </c>
      <c r="J98" s="2" t="s">
        <v>1187</v>
      </c>
      <c r="K98" s="13">
        <v>0.013888888890505768</v>
      </c>
      <c r="L98" s="13">
        <v>0.013888888890505768</v>
      </c>
      <c r="M98" s="13">
        <f>CRF_3[[#This Row],[Time Spent on Configuration]]+CRF_3[[#This Row],[Time Spent on Review/Testing]]</f>
        <v>0.125</v>
      </c>
      <c r="N98" s="1">
        <v>0</v>
      </c>
      <c r="O98" s="1" t="s">
        <v>956</v>
      </c>
      <c r="P98" s="1" t="s">
        <v>503</v>
      </c>
      <c r="Q98" s="1" t="s">
        <v>977</v>
      </c>
      <c r="R98" s="14">
        <v>43155</v>
      </c>
      <c r="S98" s="1" t="s">
        <v>503</v>
      </c>
      <c r="U98" s="48"/>
    </row>
    <row r="99" spans="1:21" x14ac:dyDescent="0.25">
      <c r="A99" s="1" t="s">
        <v>3594</v>
      </c>
      <c r="B99" s="1">
        <v>2018</v>
      </c>
      <c r="C99" s="2" t="s">
        <v>950</v>
      </c>
      <c r="D99" s="1" t="s">
        <v>951</v>
      </c>
      <c r="E99" s="1" t="s">
        <v>503</v>
      </c>
      <c r="F99" s="1" t="s">
        <v>37</v>
      </c>
      <c r="G99" s="14">
        <v>43157</v>
      </c>
      <c r="H99" s="14" t="s">
        <v>255</v>
      </c>
      <c r="I99" s="2" t="s">
        <v>1188</v>
      </c>
      <c r="J99" s="2" t="s">
        <v>1189</v>
      </c>
      <c r="K99" s="13">
        <v>0.005208333332120674</v>
      </c>
      <c r="L99" s="13">
        <v>0.005208333332120674</v>
      </c>
      <c r="M99" s="13">
        <f>CRF_3[[#This Row],[Time Spent on Configuration]]+CRF_3[[#This Row],[Time Spent on Review/Testing]]</f>
        <v>0.03472222222262644</v>
      </c>
      <c r="N99" s="1">
        <v>0</v>
      </c>
      <c r="O99" s="1" t="s">
        <v>956</v>
      </c>
      <c r="P99" s="1" t="s">
        <v>503</v>
      </c>
      <c r="Q99" s="1" t="s">
        <v>957</v>
      </c>
      <c r="R99" s="14">
        <v>43157</v>
      </c>
      <c r="S99" s="1" t="s">
        <v>503</v>
      </c>
      <c r="U99" s="48"/>
    </row>
    <row r="100" ht="30" customHeight="1" spans="1:21" x14ac:dyDescent="0.25">
      <c r="A100" s="1" t="s">
        <v>3613</v>
      </c>
      <c r="B100" s="1">
        <v>2018</v>
      </c>
      <c r="C100" s="2" t="s">
        <v>1191</v>
      </c>
      <c r="D100" s="1" t="s">
        <v>25</v>
      </c>
      <c r="E100" s="1" t="s">
        <v>503</v>
      </c>
      <c r="F100" s="1" t="s">
        <v>952</v>
      </c>
      <c r="G100" s="14">
        <v>43160</v>
      </c>
      <c r="H100" s="14" t="s">
        <v>1073</v>
      </c>
      <c r="I100" s="2" t="s">
        <v>1192</v>
      </c>
      <c r="J100" s="2" t="s">
        <v>1193</v>
      </c>
      <c r="K100" s="13">
        <v>0.006944444445252884</v>
      </c>
      <c r="L100" s="13">
        <v>0.006944444445252884</v>
      </c>
      <c r="M100" s="13">
        <f>CRF_3[[#This Row],[Time Spent on Configuration]]+CRF_3[[#This Row],[Time Spent on Review/Testing]]</f>
        <v>0.08680555555474712</v>
      </c>
      <c r="N100" s="1">
        <v>0</v>
      </c>
      <c r="O100" s="1" t="s">
        <v>1001</v>
      </c>
      <c r="P100" s="1" t="s">
        <v>503</v>
      </c>
      <c r="Q100" s="1" t="s">
        <v>977</v>
      </c>
      <c r="R100" s="14">
        <v>43160</v>
      </c>
      <c r="S100" s="1" t="s">
        <v>503</v>
      </c>
      <c r="U100" s="48"/>
    </row>
    <row r="101" ht="60" customHeight="1" spans="1:21" x14ac:dyDescent="0.25">
      <c r="A101" s="1" t="s">
        <v>3613</v>
      </c>
      <c r="B101" s="1">
        <v>2018</v>
      </c>
      <c r="C101" s="2" t="s">
        <v>950</v>
      </c>
      <c r="D101" s="1" t="s">
        <v>951</v>
      </c>
      <c r="E101" s="1" t="s">
        <v>503</v>
      </c>
      <c r="F101" s="1" t="s">
        <v>952</v>
      </c>
      <c r="G101" s="14">
        <v>43160</v>
      </c>
      <c r="H101" s="14" t="s">
        <v>953</v>
      </c>
      <c r="I101" s="2" t="s">
        <v>4000</v>
      </c>
      <c r="J101" s="2" t="s">
        <v>4001</v>
      </c>
      <c r="K101" s="13">
        <v>0.010416666667879326</v>
      </c>
      <c r="L101" s="13">
        <v>0.010416666667879326</v>
      </c>
      <c r="M101" s="13">
        <f>CRF_3[[#This Row],[Time Spent on Configuration]]+CRF_3[[#This Row],[Time Spent on Review/Testing]]</f>
        <v>0.055555555554747116</v>
      </c>
      <c r="N101" s="1">
        <v>0</v>
      </c>
      <c r="O101" s="1" t="s">
        <v>966</v>
      </c>
      <c r="P101" s="1" t="s">
        <v>503</v>
      </c>
      <c r="Q101" s="1" t="s">
        <v>117</v>
      </c>
      <c r="R101" s="14">
        <v>43160</v>
      </c>
      <c r="S101" s="1" t="s">
        <v>503</v>
      </c>
      <c r="U101" s="48"/>
    </row>
    <row r="102" ht="90" customHeight="1" spans="1:21" x14ac:dyDescent="0.25">
      <c r="A102" s="1" t="s">
        <v>3613</v>
      </c>
      <c r="B102" s="1">
        <v>2018</v>
      </c>
      <c r="C102" s="2" t="s">
        <v>1047</v>
      </c>
      <c r="D102" s="1" t="s">
        <v>989</v>
      </c>
      <c r="E102" s="1" t="s">
        <v>503</v>
      </c>
      <c r="F102" s="1" t="s">
        <v>37</v>
      </c>
      <c r="G102" s="14">
        <v>43160</v>
      </c>
      <c r="H102" s="14" t="s">
        <v>28</v>
      </c>
      <c r="I102" s="2" t="s">
        <v>4002</v>
      </c>
      <c r="J102" s="2" t="s">
        <v>4002</v>
      </c>
      <c r="K102" s="13">
        <v>0.010416666667879326</v>
      </c>
      <c r="L102" s="13">
        <v>0.010416666667879326</v>
      </c>
      <c r="M102" s="13">
        <f>CRF_3[[#This Row],[Time Spent on Configuration]]+CRF_3[[#This Row],[Time Spent on Review/Testing]]</f>
        <v>0.041666666667879326</v>
      </c>
      <c r="N102" s="1">
        <v>0</v>
      </c>
      <c r="O102" s="1" t="s">
        <v>966</v>
      </c>
      <c r="P102" s="1" t="s">
        <v>503</v>
      </c>
      <c r="Q102" s="1" t="s">
        <v>488</v>
      </c>
      <c r="R102" s="14">
        <v>43160</v>
      </c>
      <c r="S102" s="1" t="s">
        <v>503</v>
      </c>
      <c r="U102" s="48"/>
    </row>
    <row r="103" spans="1:21" x14ac:dyDescent="0.25">
      <c r="A103" s="1" t="s">
        <v>3613</v>
      </c>
      <c r="B103" s="1">
        <v>2018</v>
      </c>
      <c r="C103" s="2" t="s">
        <v>1059</v>
      </c>
      <c r="D103" s="1" t="s">
        <v>261</v>
      </c>
      <c r="E103" s="1" t="s">
        <v>503</v>
      </c>
      <c r="F103" s="1" t="s">
        <v>37</v>
      </c>
      <c r="G103" s="14">
        <v>43160</v>
      </c>
      <c r="H103" s="14" t="s">
        <v>28</v>
      </c>
      <c r="I103" s="2" t="s">
        <v>4003</v>
      </c>
      <c r="J103" s="2" t="s">
        <v>1198</v>
      </c>
      <c r="K103" s="13">
        <v>0.10416666666787933</v>
      </c>
      <c r="L103" s="13">
        <v>0.10416666666787933</v>
      </c>
      <c r="M103" s="13">
        <f>CRF_3[[#This Row],[Time Spent on Configuration]]+CRF_3[[#This Row],[Time Spent on Review/Testing]]</f>
        <v>0.04861111110949423</v>
      </c>
      <c r="N103" s="1">
        <v>0</v>
      </c>
      <c r="O103" s="1" t="s">
        <v>956</v>
      </c>
      <c r="P103" s="1" t="s">
        <v>503</v>
      </c>
      <c r="Q103" s="1" t="s">
        <v>977</v>
      </c>
      <c r="R103" s="14">
        <v>43161</v>
      </c>
      <c r="S103" s="1" t="s">
        <v>503</v>
      </c>
      <c r="U103" s="48"/>
    </row>
    <row r="104" ht="75" customHeight="1" spans="1:21" x14ac:dyDescent="0.25">
      <c r="A104" s="1" t="s">
        <v>3613</v>
      </c>
      <c r="B104" s="1">
        <v>2018</v>
      </c>
      <c r="C104" s="2" t="s">
        <v>1047</v>
      </c>
      <c r="D104" s="1" t="s">
        <v>989</v>
      </c>
      <c r="E104" s="1" t="s">
        <v>503</v>
      </c>
      <c r="F104" s="1" t="s">
        <v>37</v>
      </c>
      <c r="G104" s="14">
        <v>43161</v>
      </c>
      <c r="H104" s="14" t="s">
        <v>953</v>
      </c>
      <c r="I104" s="2" t="s">
        <v>4004</v>
      </c>
      <c r="J104" s="2" t="s">
        <v>4005</v>
      </c>
      <c r="K104" s="13">
        <v>0.006944444445252884</v>
      </c>
      <c r="L104" s="13">
        <v>0.006944444445252884</v>
      </c>
      <c r="M104" s="13">
        <f>CRF_3[[#This Row],[Time Spent on Configuration]]+CRF_3[[#This Row],[Time Spent on Review/Testing]]</f>
        <v>0.04861111110949423</v>
      </c>
      <c r="N104" s="1">
        <v>0</v>
      </c>
      <c r="O104" s="1" t="s">
        <v>966</v>
      </c>
      <c r="P104" s="1" t="s">
        <v>503</v>
      </c>
      <c r="Q104" s="1" t="s">
        <v>488</v>
      </c>
      <c r="R104" s="14">
        <v>43161</v>
      </c>
      <c r="S104" s="1" t="s">
        <v>503</v>
      </c>
      <c r="U104" s="48"/>
    </row>
    <row r="105" ht="45" customHeight="1" spans="1:21" x14ac:dyDescent="0.25">
      <c r="A105" s="1" t="s">
        <v>3613</v>
      </c>
      <c r="B105" s="1">
        <v>2018</v>
      </c>
      <c r="C105" s="2" t="s">
        <v>1201</v>
      </c>
      <c r="D105" s="1" t="s">
        <v>1112</v>
      </c>
      <c r="E105" s="1" t="s">
        <v>503</v>
      </c>
      <c r="F105" s="1" t="s">
        <v>37</v>
      </c>
      <c r="G105" s="14">
        <v>43161</v>
      </c>
      <c r="H105" s="14" t="s">
        <v>953</v>
      </c>
      <c r="I105" s="2" t="s">
        <v>4006</v>
      </c>
      <c r="J105" s="2" t="s">
        <v>4007</v>
      </c>
      <c r="K105" s="13">
        <v>0.0017361111094942316</v>
      </c>
      <c r="L105" s="13">
        <v>0.0017361111094942316</v>
      </c>
      <c r="M105" s="13">
        <f>CRF_3[[#This Row],[Time Spent on Configuration]]+CRF_3[[#This Row],[Time Spent on Review/Testing]]</f>
        <v>0.052083333332120674</v>
      </c>
      <c r="N105" s="1">
        <v>0</v>
      </c>
      <c r="O105" s="1" t="s">
        <v>1001</v>
      </c>
      <c r="P105" s="1" t="s">
        <v>503</v>
      </c>
      <c r="Q105" s="1" t="s">
        <v>977</v>
      </c>
      <c r="R105" s="14">
        <v>43161</v>
      </c>
      <c r="S105" s="1" t="s">
        <v>503</v>
      </c>
      <c r="U105" s="48"/>
    </row>
    <row r="106" spans="1:21" x14ac:dyDescent="0.25">
      <c r="A106" s="1" t="s">
        <v>3613</v>
      </c>
      <c r="B106" s="1">
        <v>2018</v>
      </c>
      <c r="C106" s="2" t="s">
        <v>1204</v>
      </c>
      <c r="D106" s="1" t="s">
        <v>951</v>
      </c>
      <c r="E106" s="1" t="s">
        <v>503</v>
      </c>
      <c r="F106" s="1" t="s">
        <v>37</v>
      </c>
      <c r="G106" s="14">
        <v>43166</v>
      </c>
      <c r="H106" s="14" t="s">
        <v>255</v>
      </c>
      <c r="I106" s="2" t="s">
        <v>1205</v>
      </c>
      <c r="J106" s="2" t="s">
        <v>1206</v>
      </c>
      <c r="K106" s="13">
        <v>0.0625</v>
      </c>
      <c r="L106" s="13">
        <v>0.0625</v>
      </c>
      <c r="M106" s="13">
        <f>CRF_3[[#This Row],[Time Spent on Configuration]]+CRF_3[[#This Row],[Time Spent on Review/Testing]]</f>
        <v>0.0625</v>
      </c>
      <c r="N106" s="1">
        <v>0</v>
      </c>
      <c r="O106" s="1" t="s">
        <v>1001</v>
      </c>
      <c r="P106" s="1" t="s">
        <v>503</v>
      </c>
      <c r="Q106" s="1" t="s">
        <v>117</v>
      </c>
      <c r="R106" s="14">
        <v>43166</v>
      </c>
      <c r="S106" s="1" t="s">
        <v>503</v>
      </c>
      <c r="U106" s="48"/>
    </row>
    <row r="107" spans="1:21" x14ac:dyDescent="0.25">
      <c r="A107" s="1" t="s">
        <v>3613</v>
      </c>
      <c r="B107" s="1">
        <v>2018</v>
      </c>
      <c r="C107" s="2" t="s">
        <v>99</v>
      </c>
      <c r="D107" s="1" t="s">
        <v>25</v>
      </c>
      <c r="E107" s="1" t="s">
        <v>503</v>
      </c>
      <c r="F107" s="1" t="s">
        <v>37</v>
      </c>
      <c r="G107" s="14">
        <v>43166</v>
      </c>
      <c r="H107" s="14" t="s">
        <v>28</v>
      </c>
      <c r="I107" s="2" t="s">
        <v>1207</v>
      </c>
      <c r="J107" s="2" t="s">
        <v>1208</v>
      </c>
      <c r="K107" s="13">
        <v>0.08333333333212067</v>
      </c>
      <c r="L107" s="13">
        <v>0.08333333333212067</v>
      </c>
      <c r="M107" s="13">
        <f>CRF_3[[#This Row],[Time Spent on Configuration]]+CRF_3[[#This Row],[Time Spent on Review/Testing]]</f>
        <v>0.055555555554747116</v>
      </c>
      <c r="N107" s="1">
        <v>0</v>
      </c>
      <c r="O107" s="1" t="s">
        <v>956</v>
      </c>
      <c r="P107" s="1" t="s">
        <v>503</v>
      </c>
      <c r="Q107" s="1" t="s">
        <v>488</v>
      </c>
      <c r="R107" s="14">
        <v>43166</v>
      </c>
      <c r="S107" s="1" t="s">
        <v>503</v>
      </c>
      <c r="U107" s="48"/>
    </row>
    <row r="108" spans="1:21" x14ac:dyDescent="0.25">
      <c r="A108" s="1" t="s">
        <v>3613</v>
      </c>
      <c r="B108" s="1">
        <v>2018</v>
      </c>
      <c r="C108" s="2" t="s">
        <v>286</v>
      </c>
      <c r="D108" s="1" t="s">
        <v>974</v>
      </c>
      <c r="E108" s="1" t="s">
        <v>503</v>
      </c>
      <c r="F108" s="1" t="s">
        <v>37</v>
      </c>
      <c r="G108" s="14">
        <v>43166</v>
      </c>
      <c r="H108" s="14" t="s">
        <v>953</v>
      </c>
      <c r="I108" s="2" t="s">
        <v>1209</v>
      </c>
      <c r="J108" s="2" t="s">
        <v>1210</v>
      </c>
      <c r="K108" s="13">
        <v>0.010416666667879326</v>
      </c>
      <c r="L108" s="13">
        <v>0.010416666667879326</v>
      </c>
      <c r="M108" s="13">
        <f>CRF_3[[#This Row],[Time Spent on Configuration]]+CRF_3[[#This Row],[Time Spent on Review/Testing]]</f>
        <v>0.055555555554747116</v>
      </c>
      <c r="N108" s="1">
        <v>0</v>
      </c>
      <c r="O108" s="1" t="s">
        <v>956</v>
      </c>
      <c r="P108" s="1" t="s">
        <v>503</v>
      </c>
      <c r="Q108" s="1" t="s">
        <v>977</v>
      </c>
      <c r="R108" s="14">
        <v>43166</v>
      </c>
      <c r="S108" s="1" t="s">
        <v>503</v>
      </c>
      <c r="U108" s="48"/>
    </row>
    <row r="109" ht="30" customHeight="1" spans="1:21" x14ac:dyDescent="0.25">
      <c r="A109" s="1" t="s">
        <v>3613</v>
      </c>
      <c r="B109" s="1">
        <v>2018</v>
      </c>
      <c r="C109" s="2" t="s">
        <v>288</v>
      </c>
      <c r="D109" s="1" t="s">
        <v>25</v>
      </c>
      <c r="E109" s="1" t="s">
        <v>503</v>
      </c>
      <c r="F109" s="1" t="s">
        <v>27</v>
      </c>
      <c r="G109" s="14">
        <v>43168</v>
      </c>
      <c r="H109" s="14" t="s">
        <v>28</v>
      </c>
      <c r="I109" s="2" t="s">
        <v>1211</v>
      </c>
      <c r="J109" s="2" t="s">
        <v>1211</v>
      </c>
      <c r="K109" s="13">
        <v>0.003472222222626442</v>
      </c>
      <c r="L109" s="13">
        <v>0.003472222222626442</v>
      </c>
      <c r="M109" s="13">
        <f>CRF_3[[#This Row],[Time Spent on Configuration]]+CRF_3[[#This Row],[Time Spent on Review/Testing]]</f>
        <v>0.07638888889050577</v>
      </c>
      <c r="N109" s="1">
        <v>0</v>
      </c>
      <c r="O109" s="1" t="s">
        <v>966</v>
      </c>
      <c r="P109" s="1" t="s">
        <v>503</v>
      </c>
      <c r="Q109" s="1" t="s">
        <v>977</v>
      </c>
      <c r="R109" s="14">
        <v>43168</v>
      </c>
      <c r="S109" s="1" t="s">
        <v>503</v>
      </c>
      <c r="U109" s="48"/>
    </row>
    <row r="110" ht="30" customHeight="1" spans="1:21" x14ac:dyDescent="0.25">
      <c r="A110" s="1" t="s">
        <v>3613</v>
      </c>
      <c r="B110" s="1">
        <v>2018</v>
      </c>
      <c r="C110" s="2" t="s">
        <v>1012</v>
      </c>
      <c r="D110" s="1" t="s">
        <v>25</v>
      </c>
      <c r="E110" s="1" t="s">
        <v>503</v>
      </c>
      <c r="F110" s="1" t="s">
        <v>27</v>
      </c>
      <c r="G110" s="14">
        <v>43168</v>
      </c>
      <c r="H110" s="14" t="s">
        <v>28</v>
      </c>
      <c r="I110" s="2" t="s">
        <v>1211</v>
      </c>
      <c r="J110" s="2" t="s">
        <v>1211</v>
      </c>
      <c r="K110" s="13">
        <v>0.003472222222626442</v>
      </c>
      <c r="L110" s="13">
        <v>0.003472222222626442</v>
      </c>
      <c r="M110" s="13">
        <f>CRF_3[[#This Row],[Time Spent on Configuration]]+CRF_3[[#This Row],[Time Spent on Review/Testing]]</f>
        <v>0.055555555554747116</v>
      </c>
      <c r="N110" s="1">
        <v>0</v>
      </c>
      <c r="O110" s="1" t="s">
        <v>966</v>
      </c>
      <c r="P110" s="1" t="s">
        <v>503</v>
      </c>
      <c r="Q110" s="1" t="s">
        <v>977</v>
      </c>
      <c r="R110" s="14">
        <v>43168</v>
      </c>
      <c r="S110" s="1" t="s">
        <v>503</v>
      </c>
      <c r="U110" s="48"/>
    </row>
    <row r="111" ht="30" customHeight="1" spans="1:21" x14ac:dyDescent="0.25">
      <c r="A111" s="1" t="s">
        <v>3613</v>
      </c>
      <c r="B111" s="1">
        <v>2018</v>
      </c>
      <c r="C111" s="2" t="s">
        <v>1212</v>
      </c>
      <c r="D111" s="1" t="s">
        <v>25</v>
      </c>
      <c r="E111" s="1" t="s">
        <v>503</v>
      </c>
      <c r="F111" s="1" t="s">
        <v>27</v>
      </c>
      <c r="G111" s="14">
        <v>43168</v>
      </c>
      <c r="H111" s="14" t="s">
        <v>28</v>
      </c>
      <c r="I111" s="2" t="s">
        <v>1211</v>
      </c>
      <c r="J111" s="2" t="s">
        <v>1211</v>
      </c>
      <c r="K111" s="13">
        <v>0.003472222222626442</v>
      </c>
      <c r="L111" s="13">
        <v>0.003472222222626442</v>
      </c>
      <c r="M111" s="13">
        <f>CRF_3[[#This Row],[Time Spent on Configuration]]+CRF_3[[#This Row],[Time Spent on Review/Testing]]</f>
        <v>0.055555555554747116</v>
      </c>
      <c r="N111" s="1">
        <v>0</v>
      </c>
      <c r="O111" s="1" t="s">
        <v>966</v>
      </c>
      <c r="P111" s="1" t="s">
        <v>503</v>
      </c>
      <c r="Q111" s="1" t="s">
        <v>977</v>
      </c>
      <c r="R111" s="14">
        <v>43168</v>
      </c>
      <c r="S111" s="1" t="s">
        <v>503</v>
      </c>
      <c r="U111" s="48"/>
    </row>
    <row r="112" spans="1:21" x14ac:dyDescent="0.25">
      <c r="A112" s="1" t="s">
        <v>3613</v>
      </c>
      <c r="B112" s="1">
        <v>2018</v>
      </c>
      <c r="C112" s="2" t="s">
        <v>988</v>
      </c>
      <c r="D112" s="1" t="s">
        <v>989</v>
      </c>
      <c r="E112" s="1" t="s">
        <v>503</v>
      </c>
      <c r="F112" s="1" t="s">
        <v>952</v>
      </c>
      <c r="G112" s="14">
        <v>43172</v>
      </c>
      <c r="H112" s="14" t="s">
        <v>1073</v>
      </c>
      <c r="I112" s="2" t="s">
        <v>1213</v>
      </c>
      <c r="J112" s="2" t="s">
        <v>1214</v>
      </c>
      <c r="K112" s="13">
        <v>0.010416666667879326</v>
      </c>
      <c r="L112" s="13">
        <v>0.010416666667879326</v>
      </c>
      <c r="M112" s="13">
        <f>CRF_3[[#This Row],[Time Spent on Configuration]]+CRF_3[[#This Row],[Time Spent on Review/Testing]]</f>
        <v>0.052083333332120674</v>
      </c>
      <c r="N112" s="1">
        <v>0</v>
      </c>
      <c r="O112" s="1" t="s">
        <v>1001</v>
      </c>
      <c r="P112" s="1" t="s">
        <v>503</v>
      </c>
      <c r="Q112" s="1" t="s">
        <v>967</v>
      </c>
      <c r="R112" s="14">
        <v>43172</v>
      </c>
      <c r="S112" s="1" t="s">
        <v>503</v>
      </c>
      <c r="U112" s="48"/>
    </row>
    <row r="113" ht="30" customHeight="1" spans="1:21" x14ac:dyDescent="0.25">
      <c r="A113" s="1" t="s">
        <v>3613</v>
      </c>
      <c r="B113" s="1">
        <v>2018</v>
      </c>
      <c r="C113" s="2" t="s">
        <v>1111</v>
      </c>
      <c r="D113" s="1" t="s">
        <v>1112</v>
      </c>
      <c r="E113" s="1" t="s">
        <v>503</v>
      </c>
      <c r="F113" s="1" t="s">
        <v>27</v>
      </c>
      <c r="G113" s="14">
        <v>43173</v>
      </c>
      <c r="H113" s="14" t="s">
        <v>50</v>
      </c>
      <c r="I113" s="2" t="s">
        <v>1215</v>
      </c>
      <c r="J113" s="2" t="s">
        <v>1216</v>
      </c>
      <c r="K113" s="13">
        <v>0.020833333332120674</v>
      </c>
      <c r="L113" s="13">
        <v>0.020833333332120674</v>
      </c>
      <c r="M113" s="13">
        <f>CRF_3[[#This Row],[Time Spent on Configuration]]+CRF_3[[#This Row],[Time Spent on Review/Testing]]</f>
        <v>0.09375</v>
      </c>
      <c r="N113" s="1">
        <v>0</v>
      </c>
      <c r="O113" s="1" t="s">
        <v>956</v>
      </c>
      <c r="P113" s="1" t="s">
        <v>503</v>
      </c>
      <c r="Q113" s="1" t="s">
        <v>977</v>
      </c>
      <c r="R113" s="14">
        <v>43173</v>
      </c>
      <c r="S113" s="1" t="s">
        <v>503</v>
      </c>
      <c r="U113" s="48"/>
    </row>
    <row r="114" spans="1:21" x14ac:dyDescent="0.25">
      <c r="A114" s="1" t="s">
        <v>3613</v>
      </c>
      <c r="B114" s="1">
        <v>2018</v>
      </c>
      <c r="C114" s="2" t="s">
        <v>1217</v>
      </c>
      <c r="D114" s="1" t="s">
        <v>261</v>
      </c>
      <c r="E114" s="1" t="s">
        <v>503</v>
      </c>
      <c r="F114" s="1" t="s">
        <v>27</v>
      </c>
      <c r="G114" s="14">
        <v>43174</v>
      </c>
      <c r="H114" s="14" t="s">
        <v>50</v>
      </c>
      <c r="I114" s="2" t="s">
        <v>1218</v>
      </c>
      <c r="J114" s="2" t="s">
        <v>1219</v>
      </c>
      <c r="K114" s="13">
        <v>0.010416666667879326</v>
      </c>
      <c r="L114" s="13">
        <v>0.010416666667879326</v>
      </c>
      <c r="M114" s="13">
        <f>CRF_3[[#This Row],[Time Spent on Configuration]]+CRF_3[[#This Row],[Time Spent on Review/Testing]]</f>
        <v>0.05902777777737356</v>
      </c>
      <c r="N114" s="1">
        <v>0</v>
      </c>
      <c r="O114" s="1" t="s">
        <v>956</v>
      </c>
      <c r="P114" s="1" t="s">
        <v>503</v>
      </c>
      <c r="Q114" s="1" t="s">
        <v>977</v>
      </c>
      <c r="R114" s="14">
        <v>43174</v>
      </c>
      <c r="S114" s="1" t="s">
        <v>503</v>
      </c>
      <c r="U114" s="48"/>
    </row>
    <row r="115" spans="1:21" x14ac:dyDescent="0.25">
      <c r="A115" s="1" t="s">
        <v>3613</v>
      </c>
      <c r="B115" s="1">
        <v>2018</v>
      </c>
      <c r="C115" s="2" t="s">
        <v>1009</v>
      </c>
      <c r="D115" s="1" t="s">
        <v>951</v>
      </c>
      <c r="E115" s="1" t="s">
        <v>503</v>
      </c>
      <c r="F115" s="1" t="s">
        <v>37</v>
      </c>
      <c r="G115" s="14">
        <v>43179</v>
      </c>
      <c r="H115" s="14" t="s">
        <v>255</v>
      </c>
      <c r="I115" s="2" t="s">
        <v>1220</v>
      </c>
      <c r="J115" s="2" t="s">
        <v>1221</v>
      </c>
      <c r="K115" s="13">
        <v>0.010416666667879326</v>
      </c>
      <c r="L115" s="13">
        <v>0.010416666667879326</v>
      </c>
      <c r="M115" s="13">
        <f>CRF_3[[#This Row],[Time Spent on Configuration]]+CRF_3[[#This Row],[Time Spent on Review/Testing]]</f>
        <v>0.05902777777737356</v>
      </c>
      <c r="N115" s="1">
        <v>0</v>
      </c>
      <c r="O115" s="1" t="s">
        <v>956</v>
      </c>
      <c r="P115" s="1" t="s">
        <v>503</v>
      </c>
      <c r="Q115" s="1" t="s">
        <v>957</v>
      </c>
      <c r="R115" s="14">
        <v>43179</v>
      </c>
      <c r="S115" s="1" t="s">
        <v>503</v>
      </c>
      <c r="U115" s="48"/>
    </row>
    <row r="116" spans="1:21" x14ac:dyDescent="0.25">
      <c r="A116" s="1" t="s">
        <v>3613</v>
      </c>
      <c r="B116" s="1">
        <v>2018</v>
      </c>
      <c r="C116" s="2" t="s">
        <v>1222</v>
      </c>
      <c r="D116" s="1" t="s">
        <v>541</v>
      </c>
      <c r="E116" s="1" t="s">
        <v>503</v>
      </c>
      <c r="F116" s="1" t="s">
        <v>37</v>
      </c>
      <c r="G116" s="14">
        <v>43180</v>
      </c>
      <c r="H116" s="14" t="s">
        <v>28</v>
      </c>
      <c r="I116" s="2" t="s">
        <v>1223</v>
      </c>
      <c r="J116" s="2" t="s">
        <v>1224</v>
      </c>
      <c r="K116" s="13">
        <v>0.020833333332120674</v>
      </c>
      <c r="L116" s="13">
        <v>0.020833333332120674</v>
      </c>
      <c r="M116" s="13">
        <f>CRF_3[[#This Row],[Time Spent on Configuration]]+CRF_3[[#This Row],[Time Spent on Review/Testing]]</f>
        <v>0.07638888889050577</v>
      </c>
      <c r="N116" s="1">
        <v>0</v>
      </c>
      <c r="O116" s="1" t="s">
        <v>956</v>
      </c>
      <c r="P116" s="1" t="s">
        <v>503</v>
      </c>
      <c r="Q116" s="1" t="s">
        <v>967</v>
      </c>
      <c r="R116" s="14">
        <v>43179</v>
      </c>
      <c r="S116" s="1" t="s">
        <v>503</v>
      </c>
      <c r="U116" s="48"/>
    </row>
    <row r="117" spans="1:21" x14ac:dyDescent="0.25">
      <c r="A117" s="1" t="s">
        <v>3613</v>
      </c>
      <c r="B117" s="1">
        <v>2018</v>
      </c>
      <c r="C117" s="2" t="s">
        <v>1096</v>
      </c>
      <c r="D117" s="1" t="s">
        <v>541</v>
      </c>
      <c r="E117" s="1" t="s">
        <v>503</v>
      </c>
      <c r="F117" s="1" t="s">
        <v>37</v>
      </c>
      <c r="G117" s="14">
        <v>43182</v>
      </c>
      <c r="H117" s="14" t="s">
        <v>28</v>
      </c>
      <c r="I117" s="2" t="s">
        <v>4008</v>
      </c>
      <c r="J117" s="2" t="s">
        <v>4009</v>
      </c>
      <c r="K117" s="13">
        <v>0.0625</v>
      </c>
      <c r="L117" s="13">
        <v>0.0625</v>
      </c>
      <c r="M117" s="13">
        <f>CRF_3[[#This Row],[Time Spent on Configuration]]+CRF_3[[#This Row],[Time Spent on Review/Testing]]</f>
        <v>0.041666666667879326</v>
      </c>
      <c r="N117" s="1">
        <v>0</v>
      </c>
      <c r="O117" s="1" t="s">
        <v>1001</v>
      </c>
      <c r="P117" s="1" t="s">
        <v>503</v>
      </c>
      <c r="Q117" s="1" t="s">
        <v>967</v>
      </c>
      <c r="R117" s="14">
        <v>43182</v>
      </c>
      <c r="S117" s="1" t="s">
        <v>503</v>
      </c>
      <c r="U117" s="48"/>
    </row>
    <row r="118" spans="1:21" x14ac:dyDescent="0.25">
      <c r="A118" s="1" t="s">
        <v>3613</v>
      </c>
      <c r="B118" s="1">
        <v>2018</v>
      </c>
      <c r="C118" s="2" t="s">
        <v>796</v>
      </c>
      <c r="D118" s="1" t="s">
        <v>285</v>
      </c>
      <c r="E118" s="1" t="s">
        <v>503</v>
      </c>
      <c r="F118" s="1" t="s">
        <v>37</v>
      </c>
      <c r="G118" s="14">
        <v>43182</v>
      </c>
      <c r="H118" s="14" t="s">
        <v>28</v>
      </c>
      <c r="I118" s="2" t="s">
        <v>4010</v>
      </c>
      <c r="J118" s="2" t="s">
        <v>1228</v>
      </c>
      <c r="K118" s="13">
        <v>0.010416666667879326</v>
      </c>
      <c r="L118" s="13">
        <v>0.010416666667879326</v>
      </c>
      <c r="M118" s="13">
        <f>CRF_3[[#This Row],[Time Spent on Configuration]]+CRF_3[[#This Row],[Time Spent on Review/Testing]]</f>
        <v>0.020833333332120674</v>
      </c>
      <c r="N118" s="1">
        <v>0</v>
      </c>
      <c r="O118" s="1" t="s">
        <v>1001</v>
      </c>
      <c r="P118" s="1" t="s">
        <v>503</v>
      </c>
      <c r="Q118" s="1" t="s">
        <v>488</v>
      </c>
      <c r="R118" s="14">
        <v>43182</v>
      </c>
      <c r="S118" s="1" t="s">
        <v>503</v>
      </c>
      <c r="U118" s="48"/>
    </row>
    <row r="119" ht="30" customHeight="1" spans="1:21" x14ac:dyDescent="0.25">
      <c r="A119" s="1" t="s">
        <v>3613</v>
      </c>
      <c r="B119" s="1">
        <v>2018</v>
      </c>
      <c r="C119" s="2" t="s">
        <v>1093</v>
      </c>
      <c r="D119" s="1" t="s">
        <v>25</v>
      </c>
      <c r="E119" s="1" t="s">
        <v>503</v>
      </c>
      <c r="F119" s="1" t="s">
        <v>27</v>
      </c>
      <c r="G119" s="14">
        <v>43186</v>
      </c>
      <c r="H119" s="14" t="s">
        <v>953</v>
      </c>
      <c r="I119" s="2" t="s">
        <v>4011</v>
      </c>
      <c r="J119" s="2" t="s">
        <v>1230</v>
      </c>
      <c r="K119" s="13">
        <v>0.003472222222626442</v>
      </c>
      <c r="L119" s="13">
        <v>0.003472222222626442</v>
      </c>
      <c r="M119" s="13">
        <f>CRF_3[[#This Row],[Time Spent on Configuration]]+CRF_3[[#This Row],[Time Spent on Review/Testing]]</f>
        <v>0.020833333332120674</v>
      </c>
      <c r="N119" s="1">
        <v>0</v>
      </c>
      <c r="O119" s="1" t="s">
        <v>966</v>
      </c>
      <c r="P119" s="1" t="s">
        <v>503</v>
      </c>
      <c r="Q119" s="1" t="s">
        <v>977</v>
      </c>
      <c r="R119" s="14">
        <v>43186</v>
      </c>
      <c r="S119" s="1" t="s">
        <v>503</v>
      </c>
      <c r="U119" s="48"/>
    </row>
    <row r="120" ht="30" customHeight="1" spans="1:21" x14ac:dyDescent="0.25">
      <c r="A120" s="1" t="s">
        <v>3613</v>
      </c>
      <c r="B120" s="1">
        <v>2018</v>
      </c>
      <c r="C120" s="2" t="s">
        <v>1041</v>
      </c>
      <c r="D120" s="1" t="s">
        <v>1042</v>
      </c>
      <c r="E120" s="1" t="s">
        <v>503</v>
      </c>
      <c r="F120" s="1" t="s">
        <v>27</v>
      </c>
      <c r="G120" s="14">
        <v>43187</v>
      </c>
      <c r="H120" s="14" t="s">
        <v>96</v>
      </c>
      <c r="I120" s="2" t="s">
        <v>4012</v>
      </c>
      <c r="J120" s="2" t="s">
        <v>4013</v>
      </c>
      <c r="K120" s="13">
        <v>0.03125</v>
      </c>
      <c r="L120" s="13">
        <v>0.03125</v>
      </c>
      <c r="M120" s="13">
        <f>CRF_3[[#This Row],[Time Spent on Configuration]]+CRF_3[[#This Row],[Time Spent on Review/Testing]]</f>
        <v>0.041666666667879326</v>
      </c>
      <c r="N120" s="1">
        <v>0</v>
      </c>
      <c r="O120" s="1" t="s">
        <v>966</v>
      </c>
      <c r="P120" s="1" t="s">
        <v>503</v>
      </c>
      <c r="Q120" s="1" t="s">
        <v>484</v>
      </c>
      <c r="R120" s="14">
        <v>43187</v>
      </c>
      <c r="S120" s="1" t="s">
        <v>503</v>
      </c>
      <c r="U120" s="48"/>
    </row>
    <row r="121" spans="1:21" x14ac:dyDescent="0.25">
      <c r="A121" s="1" t="s">
        <v>3613</v>
      </c>
      <c r="B121" s="1">
        <v>2018</v>
      </c>
      <c r="C121" s="2" t="s">
        <v>1096</v>
      </c>
      <c r="D121" s="1" t="s">
        <v>541</v>
      </c>
      <c r="E121" s="1" t="s">
        <v>503</v>
      </c>
      <c r="F121" s="1" t="s">
        <v>37</v>
      </c>
      <c r="G121" s="14">
        <v>43187</v>
      </c>
      <c r="H121" s="14" t="s">
        <v>50</v>
      </c>
      <c r="I121" s="2" t="s">
        <v>1233</v>
      </c>
      <c r="J121" s="2" t="s">
        <v>1234</v>
      </c>
      <c r="K121" s="13">
        <v>0.0625</v>
      </c>
      <c r="L121" s="13">
        <v>0.0625</v>
      </c>
      <c r="M121" s="13">
        <f>CRF_3[[#This Row],[Time Spent on Configuration]]+CRF_3[[#This Row],[Time Spent on Review/Testing]]</f>
        <v>0.055555555554747116</v>
      </c>
      <c r="N121" s="1">
        <v>0</v>
      </c>
      <c r="O121" s="1" t="s">
        <v>966</v>
      </c>
      <c r="P121" s="1" t="s">
        <v>503</v>
      </c>
      <c r="Q121" s="1" t="s">
        <v>967</v>
      </c>
      <c r="R121" s="14">
        <v>43187</v>
      </c>
      <c r="S121" s="1" t="s">
        <v>503</v>
      </c>
      <c r="U121" s="48"/>
    </row>
    <row r="122" ht="30" customHeight="1" spans="1:21" x14ac:dyDescent="0.25">
      <c r="A122" s="1" t="s">
        <v>3613</v>
      </c>
      <c r="B122" s="1">
        <v>2018</v>
      </c>
      <c r="C122" s="2" t="s">
        <v>1235</v>
      </c>
      <c r="D122" s="1" t="s">
        <v>1236</v>
      </c>
      <c r="E122" s="1" t="s">
        <v>503</v>
      </c>
      <c r="F122" s="1" t="s">
        <v>37</v>
      </c>
      <c r="G122" s="14">
        <v>43188</v>
      </c>
      <c r="H122" s="14" t="s">
        <v>50</v>
      </c>
      <c r="I122" s="2" t="s">
        <v>1237</v>
      </c>
      <c r="J122" s="2" t="s">
        <v>1238</v>
      </c>
      <c r="K122" s="13">
        <v>0.013888888890505768</v>
      </c>
      <c r="L122" s="13">
        <v>0.013888888890505768</v>
      </c>
      <c r="M122" s="13">
        <f>CRF_3[[#This Row],[Time Spent on Configuration]]+CRF_3[[#This Row],[Time Spent on Review/Testing]]</f>
        <v>0.08333333333212067</v>
      </c>
      <c r="N122" s="1">
        <v>0</v>
      </c>
      <c r="O122" s="1" t="s">
        <v>1001</v>
      </c>
      <c r="P122" s="1" t="s">
        <v>503</v>
      </c>
      <c r="Q122" s="1" t="s">
        <v>967</v>
      </c>
      <c r="R122" s="14">
        <f>CRF_2[[#This Row],[Change Request Date]]</f>
        <v>43188</v>
      </c>
      <c r="S122" s="1" t="s">
        <v>503</v>
      </c>
      <c r="U122" s="48"/>
    </row>
    <row r="123" spans="1:21" x14ac:dyDescent="0.25">
      <c r="A123" s="1" t="s">
        <v>3613</v>
      </c>
      <c r="B123" s="1">
        <v>2018</v>
      </c>
      <c r="C123" s="2" t="s">
        <v>199</v>
      </c>
      <c r="D123" s="1" t="s">
        <v>541</v>
      </c>
      <c r="E123" s="1" t="s">
        <v>503</v>
      </c>
      <c r="F123" s="1" t="s">
        <v>37</v>
      </c>
      <c r="G123" s="14">
        <v>43188</v>
      </c>
      <c r="H123" s="14" t="s">
        <v>255</v>
      </c>
      <c r="I123" s="2" t="s">
        <v>4014</v>
      </c>
      <c r="J123" s="2" t="s">
        <v>1240</v>
      </c>
      <c r="K123" s="13">
        <v>0.010416666667879326</v>
      </c>
      <c r="L123" s="13">
        <v>0.010416666667879326</v>
      </c>
      <c r="M123" s="13">
        <f>CRF_3[[#This Row],[Time Spent on Configuration]]+CRF_3[[#This Row],[Time Spent on Review/Testing]]</f>
        <v>0.07291666666787933</v>
      </c>
      <c r="N123" s="1">
        <v>0</v>
      </c>
      <c r="O123" s="1" t="s">
        <v>956</v>
      </c>
      <c r="P123" s="1" t="s">
        <v>503</v>
      </c>
      <c r="Q123" s="1" t="s">
        <v>967</v>
      </c>
      <c r="R123" s="14">
        <f>CRF_2[[#This Row],[Change Request Date]]</f>
        <v>43188</v>
      </c>
      <c r="S123" s="1" t="s">
        <v>503</v>
      </c>
      <c r="U123" s="48"/>
    </row>
    <row r="124" spans="1:21" x14ac:dyDescent="0.25">
      <c r="A124" s="1" t="s">
        <v>3624</v>
      </c>
      <c r="B124" s="1">
        <v>2018</v>
      </c>
      <c r="C124" s="2" t="s">
        <v>1222</v>
      </c>
      <c r="D124" s="1" t="s">
        <v>541</v>
      </c>
      <c r="E124" s="1" t="s">
        <v>503</v>
      </c>
      <c r="F124" s="1" t="s">
        <v>27</v>
      </c>
      <c r="G124" s="14">
        <v>43194</v>
      </c>
      <c r="H124" s="14" t="s">
        <v>50</v>
      </c>
      <c r="I124" s="2" t="s">
        <v>1242</v>
      </c>
      <c r="J124" s="2" t="s">
        <v>1243</v>
      </c>
      <c r="K124" s="13">
        <v>0.015625</v>
      </c>
      <c r="L124" s="13">
        <v>0.015625</v>
      </c>
      <c r="M124" s="13">
        <f>CRF_3[[#This Row],[Time Spent on Configuration]]+CRF_3[[#This Row],[Time Spent on Review/Testing]]</f>
        <v>0.0625</v>
      </c>
      <c r="N124" s="1">
        <v>0</v>
      </c>
      <c r="O124" s="1" t="s">
        <v>956</v>
      </c>
      <c r="P124" s="1" t="s">
        <v>503</v>
      </c>
      <c r="Q124" s="1" t="s">
        <v>967</v>
      </c>
      <c r="R124" s="14">
        <v>43194</v>
      </c>
      <c r="S124" s="1" t="s">
        <v>503</v>
      </c>
      <c r="U124" s="48"/>
    </row>
    <row r="125" spans="1:21" x14ac:dyDescent="0.25">
      <c r="A125" s="1" t="s">
        <v>3624</v>
      </c>
      <c r="B125" s="1">
        <v>2018</v>
      </c>
      <c r="C125" s="2" t="s">
        <v>99</v>
      </c>
      <c r="D125" s="1" t="s">
        <v>25</v>
      </c>
      <c r="E125" s="1" t="s">
        <v>503</v>
      </c>
      <c r="F125" s="1" t="s">
        <v>27</v>
      </c>
      <c r="G125" s="14">
        <v>43194</v>
      </c>
      <c r="H125" s="14" t="s">
        <v>28</v>
      </c>
      <c r="I125" s="2" t="s">
        <v>1244</v>
      </c>
      <c r="J125" s="2" t="s">
        <v>1245</v>
      </c>
      <c r="K125" s="13">
        <v>0.052083333332120674</v>
      </c>
      <c r="L125" s="13">
        <v>0.052083333332120674</v>
      </c>
      <c r="M125" s="13">
        <f>CRF_3[[#This Row],[Time Spent on Configuration]]+CRF_3[[#This Row],[Time Spent on Review/Testing]]</f>
        <v>0.055555555554747116</v>
      </c>
      <c r="N125" s="1">
        <v>0</v>
      </c>
      <c r="O125" s="1" t="s">
        <v>956</v>
      </c>
      <c r="P125" s="1" t="s">
        <v>503</v>
      </c>
      <c r="Q125" s="1" t="s">
        <v>488</v>
      </c>
      <c r="R125" s="14">
        <v>43194</v>
      </c>
      <c r="S125" s="1" t="s">
        <v>503</v>
      </c>
      <c r="U125" s="48"/>
    </row>
    <row r="126" spans="1:21" x14ac:dyDescent="0.25">
      <c r="A126" s="1" t="s">
        <v>3624</v>
      </c>
      <c r="B126" s="1">
        <v>2018</v>
      </c>
      <c r="C126" s="2" t="s">
        <v>1038</v>
      </c>
      <c r="D126" s="1" t="s">
        <v>261</v>
      </c>
      <c r="E126" s="1" t="s">
        <v>503</v>
      </c>
      <c r="F126" s="1" t="s">
        <v>27</v>
      </c>
      <c r="G126" s="14">
        <v>43194</v>
      </c>
      <c r="H126" s="14" t="s">
        <v>28</v>
      </c>
      <c r="I126" s="2" t="s">
        <v>1246</v>
      </c>
      <c r="J126" s="2" t="s">
        <v>1247</v>
      </c>
      <c r="K126" s="13">
        <v>0.03125</v>
      </c>
      <c r="L126" s="13">
        <v>0.03125</v>
      </c>
      <c r="M126" s="13">
        <f>CRF_3[[#This Row],[Time Spent on Configuration]]+CRF_3[[#This Row],[Time Spent on Review/Testing]]</f>
        <v>0.055555555554747116</v>
      </c>
      <c r="N126" s="1">
        <v>0</v>
      </c>
      <c r="O126" s="1" t="s">
        <v>1001</v>
      </c>
      <c r="P126" s="1" t="s">
        <v>503</v>
      </c>
      <c r="Q126" s="1" t="s">
        <v>488</v>
      </c>
      <c r="R126" s="14">
        <v>43194</v>
      </c>
      <c r="S126" s="1" t="s">
        <v>503</v>
      </c>
      <c r="U126" s="48"/>
    </row>
    <row r="127" spans="1:21" x14ac:dyDescent="0.25">
      <c r="A127" s="1" t="s">
        <v>3624</v>
      </c>
      <c r="B127" s="1">
        <v>2018</v>
      </c>
      <c r="C127" s="2" t="s">
        <v>1222</v>
      </c>
      <c r="D127" s="1" t="s">
        <v>541</v>
      </c>
      <c r="E127" s="1" t="s">
        <v>503</v>
      </c>
      <c r="F127" s="1" t="s">
        <v>952</v>
      </c>
      <c r="G127" s="14">
        <v>43196</v>
      </c>
      <c r="H127" s="14" t="s">
        <v>50</v>
      </c>
      <c r="I127" s="2" t="s">
        <v>1248</v>
      </c>
      <c r="J127" s="2" t="s">
        <v>1249</v>
      </c>
      <c r="K127" s="13">
        <v>0.010416666667879326</v>
      </c>
      <c r="L127" s="13">
        <v>0.010416666667879326</v>
      </c>
      <c r="M127" s="13">
        <f>CRF_3[[#This Row],[Time Spent on Configuration]]+CRF_3[[#This Row],[Time Spent on Review/Testing]]</f>
        <v>0.08680555555474712</v>
      </c>
      <c r="N127" s="1">
        <v>0</v>
      </c>
      <c r="O127" s="1" t="s">
        <v>1001</v>
      </c>
      <c r="P127" s="1" t="s">
        <v>503</v>
      </c>
      <c r="Q127" s="1" t="s">
        <v>967</v>
      </c>
      <c r="R127" s="14">
        <v>43196</v>
      </c>
      <c r="S127" s="1" t="s">
        <v>503</v>
      </c>
      <c r="U127" s="48"/>
    </row>
    <row r="128" spans="1:21" x14ac:dyDescent="0.25">
      <c r="A128" s="1" t="s">
        <v>3624</v>
      </c>
      <c r="B128" s="1">
        <v>2018</v>
      </c>
      <c r="C128" s="2" t="s">
        <v>962</v>
      </c>
      <c r="D128" s="1" t="s">
        <v>963</v>
      </c>
      <c r="E128" s="1" t="s">
        <v>503</v>
      </c>
      <c r="F128" s="1" t="s">
        <v>37</v>
      </c>
      <c r="G128" s="14">
        <v>43195</v>
      </c>
      <c r="H128" s="14" t="s">
        <v>28</v>
      </c>
      <c r="I128" s="2" t="s">
        <v>1250</v>
      </c>
      <c r="J128" s="2" t="s">
        <v>1251</v>
      </c>
      <c r="K128" s="13">
        <v>0.010416666667879326</v>
      </c>
      <c r="L128" s="13">
        <v>0.010416666667879326</v>
      </c>
      <c r="M128" s="13">
        <f>CRF_3[[#This Row],[Time Spent on Configuration]]+CRF_3[[#This Row],[Time Spent on Review/Testing]]</f>
        <v>0.10069444444525288</v>
      </c>
      <c r="N128" s="1">
        <v>0</v>
      </c>
      <c r="O128" s="1" t="s">
        <v>966</v>
      </c>
      <c r="P128" s="1" t="s">
        <v>503</v>
      </c>
      <c r="Q128" s="1" t="s">
        <v>484</v>
      </c>
      <c r="R128" s="14">
        <v>43195</v>
      </c>
      <c r="S128" s="1" t="s">
        <v>503</v>
      </c>
      <c r="U128" s="48"/>
    </row>
    <row r="129" spans="1:21" x14ac:dyDescent="0.25">
      <c r="A129" s="1" t="s">
        <v>3624</v>
      </c>
      <c r="B129" s="1">
        <v>2018</v>
      </c>
      <c r="C129" s="2" t="s">
        <v>122</v>
      </c>
      <c r="D129" s="1" t="s">
        <v>123</v>
      </c>
      <c r="E129" s="1" t="s">
        <v>503</v>
      </c>
      <c r="F129" s="1" t="s">
        <v>27</v>
      </c>
      <c r="G129" s="14">
        <v>43208</v>
      </c>
      <c r="H129" s="14" t="s">
        <v>50</v>
      </c>
      <c r="I129" s="2" t="s">
        <v>4015</v>
      </c>
      <c r="J129" s="2" t="s">
        <v>4016</v>
      </c>
      <c r="K129" s="13">
        <v>0.010416666667879326</v>
      </c>
      <c r="L129" s="13">
        <v>0.010416666667879326</v>
      </c>
      <c r="M129" s="13">
        <f>CRF_3[[#This Row],[Time Spent on Configuration]]+CRF_3[[#This Row],[Time Spent on Review/Testing]]</f>
        <v>0.027777777777373558</v>
      </c>
      <c r="N129" s="1">
        <v>0</v>
      </c>
      <c r="O129" s="1" t="s">
        <v>1001</v>
      </c>
      <c r="P129" s="1" t="s">
        <v>503</v>
      </c>
      <c r="Q129" s="1" t="s">
        <v>977</v>
      </c>
      <c r="R129" s="14">
        <v>43208</v>
      </c>
      <c r="S129" s="1" t="s">
        <v>503</v>
      </c>
      <c r="U129" s="48"/>
    </row>
    <row r="130" ht="30" customHeight="1" spans="1:21" x14ac:dyDescent="0.25">
      <c r="A130" s="1" t="s">
        <v>3624</v>
      </c>
      <c r="B130" s="1">
        <v>2018</v>
      </c>
      <c r="C130" s="2" t="s">
        <v>988</v>
      </c>
      <c r="D130" s="1" t="s">
        <v>989</v>
      </c>
      <c r="E130" s="1" t="s">
        <v>503</v>
      </c>
      <c r="F130" s="1" t="s">
        <v>952</v>
      </c>
      <c r="G130" s="14">
        <v>43208</v>
      </c>
      <c r="H130" s="14" t="s">
        <v>28</v>
      </c>
      <c r="I130" s="2" t="s">
        <v>1254</v>
      </c>
      <c r="J130" s="2" t="s">
        <v>1255</v>
      </c>
      <c r="K130" s="13">
        <v>0.027777777777373558</v>
      </c>
      <c r="L130" s="13">
        <v>0.027777777777373558</v>
      </c>
      <c r="M130" s="13">
        <f>CRF_3[[#This Row],[Time Spent on Configuration]]+CRF_3[[#This Row],[Time Spent on Review/Testing]]</f>
        <v>0.0625</v>
      </c>
      <c r="N130" s="1">
        <v>0</v>
      </c>
      <c r="O130" s="1" t="s">
        <v>1001</v>
      </c>
      <c r="P130" s="1" t="s">
        <v>503</v>
      </c>
      <c r="Q130" s="1" t="s">
        <v>967</v>
      </c>
      <c r="R130" s="14">
        <v>43208</v>
      </c>
      <c r="S130" s="1" t="s">
        <v>503</v>
      </c>
      <c r="U130" s="48"/>
    </row>
    <row r="131" ht="90" customHeight="1" spans="1:21" x14ac:dyDescent="0.25">
      <c r="A131" s="1" t="s">
        <v>3624</v>
      </c>
      <c r="B131" s="1">
        <v>2018</v>
      </c>
      <c r="C131" s="2" t="s">
        <v>1041</v>
      </c>
      <c r="D131" s="1" t="s">
        <v>1042</v>
      </c>
      <c r="E131" s="1" t="s">
        <v>503</v>
      </c>
      <c r="F131" s="1" t="s">
        <v>37</v>
      </c>
      <c r="G131" s="14">
        <v>43210</v>
      </c>
      <c r="H131" s="14" t="s">
        <v>1073</v>
      </c>
      <c r="I131" s="2" t="s">
        <v>4017</v>
      </c>
      <c r="J131" s="2" t="s">
        <v>4018</v>
      </c>
      <c r="K131" s="13">
        <v>0.010416666667879326</v>
      </c>
      <c r="L131" s="13">
        <v>0.010416666667879326</v>
      </c>
      <c r="M131" s="13">
        <f>CRF_3[[#This Row],[Time Spent on Configuration]]+CRF_3[[#This Row],[Time Spent on Review/Testing]]</f>
        <v>0.027777777777373558</v>
      </c>
      <c r="N131" s="1">
        <v>0</v>
      </c>
      <c r="O131" s="1" t="s">
        <v>966</v>
      </c>
      <c r="P131" s="1" t="s">
        <v>503</v>
      </c>
      <c r="Q131" s="1" t="s">
        <v>484</v>
      </c>
      <c r="R131" s="14">
        <v>43210</v>
      </c>
      <c r="S131" s="1" t="s">
        <v>503</v>
      </c>
      <c r="U131" s="48"/>
    </row>
    <row r="132" ht="30" customHeight="1" spans="1:21" x14ac:dyDescent="0.25">
      <c r="A132" s="1" t="s">
        <v>3624</v>
      </c>
      <c r="B132" s="1">
        <v>2018</v>
      </c>
      <c r="C132" s="2" t="s">
        <v>489</v>
      </c>
      <c r="D132" s="1" t="s">
        <v>1258</v>
      </c>
      <c r="E132" s="1" t="s">
        <v>503</v>
      </c>
      <c r="F132" s="1" t="s">
        <v>952</v>
      </c>
      <c r="G132" s="14">
        <v>43210</v>
      </c>
      <c r="H132" s="14" t="s">
        <v>28</v>
      </c>
      <c r="I132" s="2" t="s">
        <v>1259</v>
      </c>
      <c r="J132" s="2" t="s">
        <v>1260</v>
      </c>
      <c r="K132" s="13">
        <v>0.024305555554747116</v>
      </c>
      <c r="L132" s="13">
        <v>0.024305555554747116</v>
      </c>
      <c r="M132" s="13">
        <f>CRF_3[[#This Row],[Time Spent on Configuration]]+CRF_3[[#This Row],[Time Spent on Review/Testing]]</f>
        <v>0.041666666667879326</v>
      </c>
      <c r="N132" s="1">
        <v>0</v>
      </c>
      <c r="O132" s="1" t="s">
        <v>1001</v>
      </c>
      <c r="P132" s="1" t="s">
        <v>503</v>
      </c>
      <c r="Q132" s="1" t="s">
        <v>967</v>
      </c>
      <c r="R132" s="14">
        <v>43210</v>
      </c>
      <c r="S132" s="1" t="s">
        <v>503</v>
      </c>
      <c r="U132" s="48"/>
    </row>
    <row r="133" spans="1:21" x14ac:dyDescent="0.25">
      <c r="A133" s="1" t="s">
        <v>3624</v>
      </c>
      <c r="B133" s="1">
        <v>2018</v>
      </c>
      <c r="C133" s="2" t="s">
        <v>1041</v>
      </c>
      <c r="D133" s="1" t="s">
        <v>1042</v>
      </c>
      <c r="E133" s="1" t="s">
        <v>503</v>
      </c>
      <c r="F133" s="1" t="s">
        <v>37</v>
      </c>
      <c r="G133" s="14">
        <v>43211</v>
      </c>
      <c r="H133" s="14" t="s">
        <v>28</v>
      </c>
      <c r="I133" s="2" t="s">
        <v>4019</v>
      </c>
      <c r="J133" s="2" t="s">
        <v>1262</v>
      </c>
      <c r="K133" s="13">
        <v>0.06770833333212067</v>
      </c>
      <c r="L133" s="13">
        <v>0.06770833333212067</v>
      </c>
      <c r="M133" s="13">
        <f>CRF_3[[#This Row],[Time Spent on Configuration]]+CRF_3[[#This Row],[Time Spent on Review/Testing]]</f>
        <v>0.038194444445252884</v>
      </c>
      <c r="N133" s="1">
        <v>0</v>
      </c>
      <c r="O133" s="1" t="s">
        <v>966</v>
      </c>
      <c r="P133" s="1" t="s">
        <v>503</v>
      </c>
      <c r="Q133" s="1" t="s">
        <v>484</v>
      </c>
      <c r="R133" s="14">
        <v>43211</v>
      </c>
      <c r="S133" s="1" t="s">
        <v>503</v>
      </c>
      <c r="U133" s="48"/>
    </row>
    <row r="134" ht="30" customHeight="1" spans="1:21" x14ac:dyDescent="0.25">
      <c r="A134" s="1" t="s">
        <v>3624</v>
      </c>
      <c r="B134" s="1">
        <v>2018</v>
      </c>
      <c r="C134" s="2" t="s">
        <v>1120</v>
      </c>
      <c r="D134" s="1" t="s">
        <v>541</v>
      </c>
      <c r="E134" s="1" t="s">
        <v>503</v>
      </c>
      <c r="F134" s="1" t="s">
        <v>37</v>
      </c>
      <c r="G134" s="14">
        <v>43216</v>
      </c>
      <c r="H134" s="14" t="s">
        <v>28</v>
      </c>
      <c r="I134" s="2" t="s">
        <v>1263</v>
      </c>
      <c r="J134" s="2" t="s">
        <v>1264</v>
      </c>
      <c r="K134" s="13">
        <v>0.041666666667879326</v>
      </c>
      <c r="L134" s="13">
        <v>0.041666666667879326</v>
      </c>
      <c r="M134" s="13">
        <f>CRF_3[[#This Row],[Time Spent on Configuration]]+CRF_3[[#This Row],[Time Spent on Review/Testing]]</f>
        <v>0.07291666666787933</v>
      </c>
      <c r="N134" s="1">
        <v>0</v>
      </c>
      <c r="O134" s="1" t="s">
        <v>1001</v>
      </c>
      <c r="P134" s="1" t="s">
        <v>503</v>
      </c>
      <c r="Q134" s="1" t="s">
        <v>967</v>
      </c>
      <c r="R134" s="14">
        <v>43216</v>
      </c>
      <c r="S134" s="1" t="s">
        <v>503</v>
      </c>
      <c r="U134" s="48"/>
    </row>
    <row r="135" spans="1:21" x14ac:dyDescent="0.25">
      <c r="A135" s="1" t="s">
        <v>3646</v>
      </c>
      <c r="B135" s="1">
        <v>2018</v>
      </c>
      <c r="C135" s="2" t="s">
        <v>1235</v>
      </c>
      <c r="D135" s="1" t="s">
        <v>1236</v>
      </c>
      <c r="E135" s="1" t="s">
        <v>503</v>
      </c>
      <c r="F135" s="1" t="s">
        <v>37</v>
      </c>
      <c r="G135" s="14">
        <v>43222</v>
      </c>
      <c r="H135" s="14" t="s">
        <v>28</v>
      </c>
      <c r="I135" s="2" t="s">
        <v>1266</v>
      </c>
      <c r="J135" s="2" t="s">
        <v>1267</v>
      </c>
      <c r="K135" s="13">
        <v>0.020833333332120674</v>
      </c>
      <c r="L135" s="13">
        <v>0.020833333332120674</v>
      </c>
      <c r="M135" s="13">
        <f>CRF_3[[#This Row],[Time Spent on Configuration]]+CRF_3[[#This Row],[Time Spent on Review/Testing]]</f>
        <v>0.06944444444525288</v>
      </c>
      <c r="N135" s="1">
        <v>0</v>
      </c>
      <c r="O135" s="1" t="s">
        <v>1001</v>
      </c>
      <c r="P135" s="1" t="s">
        <v>503</v>
      </c>
      <c r="Q135" s="1" t="s">
        <v>484</v>
      </c>
      <c r="R135" s="14">
        <v>43222</v>
      </c>
      <c r="S135" s="1" t="s">
        <v>503</v>
      </c>
      <c r="U135" s="48"/>
    </row>
    <row r="136" ht="30" customHeight="1" spans="1:21" x14ac:dyDescent="0.25">
      <c r="A136" s="1" t="s">
        <v>3646</v>
      </c>
      <c r="B136" s="1">
        <v>2018</v>
      </c>
      <c r="C136" s="2" t="s">
        <v>1169</v>
      </c>
      <c r="D136" s="1" t="s">
        <v>989</v>
      </c>
      <c r="E136" s="1" t="s">
        <v>503</v>
      </c>
      <c r="F136" s="1" t="s">
        <v>27</v>
      </c>
      <c r="G136" s="14">
        <v>43222</v>
      </c>
      <c r="H136" s="14" t="s">
        <v>38</v>
      </c>
      <c r="I136" s="2" t="s">
        <v>4020</v>
      </c>
      <c r="J136" s="2" t="s">
        <v>4021</v>
      </c>
      <c r="K136" s="13">
        <v>0.0625</v>
      </c>
      <c r="L136" s="13">
        <v>0.0625</v>
      </c>
      <c r="M136" s="13">
        <f>CRF_3[[#This Row],[Time Spent on Configuration]]+CRF_3[[#This Row],[Time Spent on Review/Testing]]</f>
        <v>0.09375</v>
      </c>
      <c r="N136" s="1">
        <v>0</v>
      </c>
      <c r="O136" s="1" t="s">
        <v>1001</v>
      </c>
      <c r="P136" s="1" t="s">
        <v>503</v>
      </c>
      <c r="Q136" s="1" t="s">
        <v>484</v>
      </c>
      <c r="R136" s="14">
        <v>43222</v>
      </c>
      <c r="S136" s="1" t="s">
        <v>503</v>
      </c>
      <c r="U136" s="48"/>
    </row>
    <row r="137" spans="1:21" x14ac:dyDescent="0.25">
      <c r="A137" s="1" t="s">
        <v>3646</v>
      </c>
      <c r="B137" s="1">
        <v>2018</v>
      </c>
      <c r="C137" s="2" t="s">
        <v>286</v>
      </c>
      <c r="D137" s="1" t="s">
        <v>974</v>
      </c>
      <c r="E137" s="1" t="s">
        <v>503</v>
      </c>
      <c r="F137" s="1" t="s">
        <v>27</v>
      </c>
      <c r="G137" s="14">
        <v>43223</v>
      </c>
      <c r="H137" s="14" t="s">
        <v>50</v>
      </c>
      <c r="I137" s="2" t="s">
        <v>1270</v>
      </c>
      <c r="J137" s="2" t="s">
        <v>1271</v>
      </c>
      <c r="K137" s="13">
        <v>0.010416666667879326</v>
      </c>
      <c r="L137" s="13">
        <v>0.010416666667879326</v>
      </c>
      <c r="M137" s="13">
        <f>CRF_3[[#This Row],[Time Spent on Configuration]]+CRF_3[[#This Row],[Time Spent on Review/Testing]]</f>
        <v>0.08333333333212067</v>
      </c>
      <c r="N137" s="1">
        <v>0</v>
      </c>
      <c r="O137" s="1" t="s">
        <v>966</v>
      </c>
      <c r="P137" s="1" t="s">
        <v>503</v>
      </c>
      <c r="Q137" s="1" t="s">
        <v>977</v>
      </c>
      <c r="R137" s="14">
        <v>43223</v>
      </c>
      <c r="S137" s="1" t="s">
        <v>503</v>
      </c>
      <c r="U137" s="48"/>
    </row>
    <row r="138" spans="1:21" x14ac:dyDescent="0.25">
      <c r="A138" s="1" t="s">
        <v>3646</v>
      </c>
      <c r="B138" s="1">
        <v>2018</v>
      </c>
      <c r="C138" s="2" t="s">
        <v>286</v>
      </c>
      <c r="D138" s="1" t="s">
        <v>974</v>
      </c>
      <c r="E138" s="1" t="s">
        <v>503</v>
      </c>
      <c r="F138" s="1" t="s">
        <v>27</v>
      </c>
      <c r="G138" s="14">
        <v>43223</v>
      </c>
      <c r="H138" s="14" t="s">
        <v>50</v>
      </c>
      <c r="I138" s="2" t="s">
        <v>4022</v>
      </c>
      <c r="J138" s="2" t="s">
        <v>1273</v>
      </c>
      <c r="K138" s="13">
        <v>0.0625</v>
      </c>
      <c r="L138" s="13">
        <v>0.0625</v>
      </c>
      <c r="M138" s="13">
        <f>CRF_3[[#This Row],[Time Spent on Configuration]]+CRF_3[[#This Row],[Time Spent on Review/Testing]]</f>
        <v>0.04513888889050577</v>
      </c>
      <c r="N138" s="1">
        <v>0</v>
      </c>
      <c r="O138" s="1" t="s">
        <v>966</v>
      </c>
      <c r="P138" s="1" t="s">
        <v>503</v>
      </c>
      <c r="Q138" s="1" t="s">
        <v>977</v>
      </c>
      <c r="R138" s="14">
        <v>43223</v>
      </c>
      <c r="S138" s="1" t="s">
        <v>503</v>
      </c>
      <c r="U138" s="48"/>
    </row>
    <row r="139" ht="30" customHeight="1" spans="1:21" x14ac:dyDescent="0.25">
      <c r="A139" s="1" t="s">
        <v>3646</v>
      </c>
      <c r="B139" s="1">
        <v>2018</v>
      </c>
      <c r="C139" s="2" t="s">
        <v>1041</v>
      </c>
      <c r="D139" s="1" t="s">
        <v>1042</v>
      </c>
      <c r="E139" s="1" t="s">
        <v>503</v>
      </c>
      <c r="F139" s="1" t="s">
        <v>952</v>
      </c>
      <c r="G139" s="14">
        <v>43224</v>
      </c>
      <c r="H139" s="14" t="s">
        <v>28</v>
      </c>
      <c r="I139" s="2" t="s">
        <v>1274</v>
      </c>
      <c r="J139" s="2" t="s">
        <v>4023</v>
      </c>
      <c r="K139" s="13">
        <v>0.010416666667879326</v>
      </c>
      <c r="L139" s="13">
        <v>0.010416666667879326</v>
      </c>
      <c r="M139" s="13">
        <f>CRF_3[[#This Row],[Time Spent on Configuration]]+CRF_3[[#This Row],[Time Spent on Review/Testing]]</f>
        <v>0.04861111110949423</v>
      </c>
      <c r="N139" s="1">
        <v>0</v>
      </c>
      <c r="O139" s="1" t="s">
        <v>966</v>
      </c>
      <c r="P139" s="1" t="s">
        <v>503</v>
      </c>
      <c r="Q139" s="1" t="s">
        <v>484</v>
      </c>
      <c r="R139" s="14">
        <v>43224</v>
      </c>
      <c r="S139" s="1" t="s">
        <v>503</v>
      </c>
      <c r="U139" s="48"/>
    </row>
    <row r="140" spans="1:21" x14ac:dyDescent="0.25">
      <c r="A140" s="1" t="s">
        <v>3646</v>
      </c>
      <c r="B140" s="1">
        <v>2018</v>
      </c>
      <c r="C140" s="2" t="s">
        <v>1002</v>
      </c>
      <c r="D140" s="1" t="s">
        <v>1003</v>
      </c>
      <c r="E140" s="1" t="s">
        <v>503</v>
      </c>
      <c r="F140" s="1" t="s">
        <v>27</v>
      </c>
      <c r="G140" s="14">
        <v>43224</v>
      </c>
      <c r="H140" s="14" t="s">
        <v>28</v>
      </c>
      <c r="I140" s="2" t="s">
        <v>1276</v>
      </c>
      <c r="J140" s="2" t="s">
        <v>1277</v>
      </c>
      <c r="K140" s="13">
        <v>0.03125</v>
      </c>
      <c r="L140" s="13">
        <v>0.03125</v>
      </c>
      <c r="M140" s="13">
        <f>CRF_3[[#This Row],[Time Spent on Configuration]]+CRF_3[[#This Row],[Time Spent on Review/Testing]]</f>
        <v>0.04861111110949423</v>
      </c>
      <c r="N140" s="1">
        <v>0</v>
      </c>
      <c r="O140" s="1" t="s">
        <v>966</v>
      </c>
      <c r="P140" s="1" t="s">
        <v>503</v>
      </c>
      <c r="Q140" s="1" t="s">
        <v>977</v>
      </c>
      <c r="R140" s="14">
        <v>43224</v>
      </c>
      <c r="S140" s="1" t="s">
        <v>503</v>
      </c>
      <c r="U140" s="48"/>
    </row>
    <row r="141" ht="30" customHeight="1" spans="1:21" x14ac:dyDescent="0.25">
      <c r="A141" s="1" t="s">
        <v>3646</v>
      </c>
      <c r="B141" s="1">
        <v>2018</v>
      </c>
      <c r="C141" s="2" t="s">
        <v>4024</v>
      </c>
      <c r="D141" s="1" t="s">
        <v>1112</v>
      </c>
      <c r="E141" s="1" t="s">
        <v>503</v>
      </c>
      <c r="F141" s="1" t="s">
        <v>37</v>
      </c>
      <c r="G141" s="14">
        <v>43224</v>
      </c>
      <c r="H141" s="14" t="s">
        <v>28</v>
      </c>
      <c r="I141" s="2" t="s">
        <v>1278</v>
      </c>
      <c r="J141" s="2" t="s">
        <v>4025</v>
      </c>
      <c r="K141" s="13">
        <v>0.052083333332120674</v>
      </c>
      <c r="L141" s="13">
        <v>0.052083333332120674</v>
      </c>
      <c r="M141" s="13">
        <f>CRF_3[[#This Row],[Time Spent on Configuration]]+CRF_3[[#This Row],[Time Spent on Review/Testing]]</f>
        <v>0.055555555554747116</v>
      </c>
      <c r="N141" s="1">
        <v>0</v>
      </c>
      <c r="O141" s="1" t="s">
        <v>1001</v>
      </c>
      <c r="P141" s="1" t="s">
        <v>503</v>
      </c>
      <c r="Q141" s="1" t="s">
        <v>977</v>
      </c>
      <c r="R141" s="14">
        <v>43224</v>
      </c>
      <c r="S141" s="1" t="s">
        <v>503</v>
      </c>
      <c r="U141" s="48"/>
    </row>
    <row r="142" ht="30" customHeight="1" spans="1:21" x14ac:dyDescent="0.25">
      <c r="A142" s="1" t="s">
        <v>3646</v>
      </c>
      <c r="B142" s="1">
        <v>2018</v>
      </c>
      <c r="C142" s="2" t="s">
        <v>1012</v>
      </c>
      <c r="D142" s="1" t="s">
        <v>25</v>
      </c>
      <c r="E142" s="1" t="s">
        <v>503</v>
      </c>
      <c r="F142" s="1" t="s">
        <v>27</v>
      </c>
      <c r="G142" s="14">
        <v>43229</v>
      </c>
      <c r="H142" s="14" t="s">
        <v>28</v>
      </c>
      <c r="I142" s="2" t="s">
        <v>4026</v>
      </c>
      <c r="J142" s="2" t="s">
        <v>4027</v>
      </c>
      <c r="K142" s="13">
        <v>0.013888888890505768</v>
      </c>
      <c r="L142" s="13">
        <v>0.013888888890505768</v>
      </c>
      <c r="M142" s="13">
        <f>CRF_3[[#This Row],[Time Spent on Configuration]]+CRF_3[[#This Row],[Time Spent on Review/Testing]]</f>
        <v>0.05277777777882875</v>
      </c>
      <c r="N142" s="1">
        <v>0</v>
      </c>
      <c r="O142" s="1" t="s">
        <v>1001</v>
      </c>
      <c r="P142" s="1" t="s">
        <v>503</v>
      </c>
      <c r="Q142" s="1" t="s">
        <v>977</v>
      </c>
      <c r="R142" s="14">
        <v>43229</v>
      </c>
      <c r="S142" s="1" t="s">
        <v>503</v>
      </c>
      <c r="U142" s="48"/>
    </row>
    <row r="143" spans="1:21" x14ac:dyDescent="0.25">
      <c r="A143" s="1" t="s">
        <v>3646</v>
      </c>
      <c r="B143" s="1">
        <v>2018</v>
      </c>
      <c r="C143" s="2" t="s">
        <v>796</v>
      </c>
      <c r="D143" s="1" t="s">
        <v>285</v>
      </c>
      <c r="E143" s="1" t="s">
        <v>503</v>
      </c>
      <c r="F143" s="1" t="s">
        <v>37</v>
      </c>
      <c r="G143" s="14">
        <v>43225</v>
      </c>
      <c r="H143" s="14" t="s">
        <v>28</v>
      </c>
      <c r="I143" s="2" t="s">
        <v>1282</v>
      </c>
      <c r="J143" s="2" t="s">
        <v>4028</v>
      </c>
      <c r="K143" s="13">
        <v>0.0625</v>
      </c>
      <c r="L143" s="13">
        <v>0.0625</v>
      </c>
      <c r="M143" s="13">
        <f>CRF_3[[#This Row],[Time Spent on Configuration]]+CRF_3[[#This Row],[Time Spent on Review/Testing]]</f>
        <v>0.027777777777373558</v>
      </c>
      <c r="N143" s="1">
        <v>0</v>
      </c>
      <c r="O143" s="1" t="s">
        <v>956</v>
      </c>
      <c r="P143" s="1" t="s">
        <v>503</v>
      </c>
      <c r="Q143" s="1" t="s">
        <v>977</v>
      </c>
      <c r="R143" s="14">
        <v>43225</v>
      </c>
      <c r="S143" s="1" t="s">
        <v>503</v>
      </c>
      <c r="U143" s="48"/>
    </row>
    <row r="144" spans="1:21" x14ac:dyDescent="0.25">
      <c r="A144" s="1" t="s">
        <v>3646</v>
      </c>
      <c r="B144" s="1">
        <v>2018</v>
      </c>
      <c r="C144" s="2" t="s">
        <v>796</v>
      </c>
      <c r="D144" s="1" t="s">
        <v>285</v>
      </c>
      <c r="E144" s="1" t="s">
        <v>503</v>
      </c>
      <c r="F144" s="1" t="s">
        <v>37</v>
      </c>
      <c r="G144" s="14">
        <v>43231</v>
      </c>
      <c r="H144" s="14" t="s">
        <v>28</v>
      </c>
      <c r="I144" s="2" t="s">
        <v>1284</v>
      </c>
      <c r="J144" s="2" t="s">
        <v>1285</v>
      </c>
      <c r="K144" s="13">
        <v>0.015625</v>
      </c>
      <c r="L144" s="13">
        <v>0.015625</v>
      </c>
      <c r="M144" s="13">
        <f>CRF_3[[#This Row],[Time Spent on Configuration]]+CRF_3[[#This Row],[Time Spent on Review/Testing]]</f>
        <v>0.055555555554747116</v>
      </c>
      <c r="N144" s="1">
        <v>0</v>
      </c>
      <c r="O144" s="1" t="s">
        <v>966</v>
      </c>
      <c r="P144" s="1" t="s">
        <v>503</v>
      </c>
      <c r="Q144" s="1" t="s">
        <v>977</v>
      </c>
      <c r="R144" s="14">
        <v>43231</v>
      </c>
      <c r="S144" s="1" t="s">
        <v>503</v>
      </c>
      <c r="U144" s="48"/>
    </row>
    <row r="145" ht="30" customHeight="1" spans="1:21" x14ac:dyDescent="0.25">
      <c r="A145" s="1" t="s">
        <v>3646</v>
      </c>
      <c r="B145" s="1">
        <v>2018</v>
      </c>
      <c r="C145" s="2" t="s">
        <v>1222</v>
      </c>
      <c r="D145" s="1" t="s">
        <v>541</v>
      </c>
      <c r="E145" s="1" t="s">
        <v>503</v>
      </c>
      <c r="F145" s="1" t="s">
        <v>952</v>
      </c>
      <c r="G145" s="14">
        <v>43234</v>
      </c>
      <c r="H145" s="14" t="s">
        <v>50</v>
      </c>
      <c r="I145" s="2" t="s">
        <v>4029</v>
      </c>
      <c r="J145" s="2" t="s">
        <v>1287</v>
      </c>
      <c r="K145" s="13">
        <v>0.006944444445252884</v>
      </c>
      <c r="L145" s="13">
        <v>0.006944444445252884</v>
      </c>
      <c r="M145" s="13">
        <f>CRF_3[[#This Row],[Time Spent on Configuration]]+CRF_3[[#This Row],[Time Spent on Review/Testing]]</f>
        <v>0.07638888889050577</v>
      </c>
      <c r="N145" s="1">
        <v>0</v>
      </c>
      <c r="O145" s="1" t="s">
        <v>966</v>
      </c>
      <c r="P145" s="1" t="s">
        <v>503</v>
      </c>
      <c r="Q145" s="1" t="s">
        <v>488</v>
      </c>
      <c r="R145" s="14">
        <v>43234</v>
      </c>
      <c r="S145" s="1" t="s">
        <v>503</v>
      </c>
      <c r="U145" s="48"/>
    </row>
    <row r="146" ht="30" customHeight="1" spans="1:21" x14ac:dyDescent="0.25">
      <c r="A146" s="1" t="s">
        <v>3646</v>
      </c>
      <c r="B146" s="1">
        <v>2018</v>
      </c>
      <c r="C146" s="2" t="s">
        <v>99</v>
      </c>
      <c r="D146" s="1" t="s">
        <v>25</v>
      </c>
      <c r="E146" s="1" t="s">
        <v>503</v>
      </c>
      <c r="F146" s="1" t="s">
        <v>27</v>
      </c>
      <c r="G146" s="14">
        <v>43234</v>
      </c>
      <c r="H146" s="14" t="s">
        <v>50</v>
      </c>
      <c r="I146" s="2" t="s">
        <v>4030</v>
      </c>
      <c r="J146" s="2" t="s">
        <v>4031</v>
      </c>
      <c r="K146" s="13">
        <v>0.01736111110949423</v>
      </c>
      <c r="L146" s="13">
        <v>0.01736111110949423</v>
      </c>
      <c r="M146" s="13">
        <f>CRF_3[[#This Row],[Time Spent on Configuration]]+CRF_3[[#This Row],[Time Spent on Review/Testing]]</f>
        <v>0.006944444445252884</v>
      </c>
      <c r="N146" s="1">
        <v>0</v>
      </c>
      <c r="O146" s="1" t="s">
        <v>956</v>
      </c>
      <c r="P146" s="1" t="s">
        <v>503</v>
      </c>
      <c r="Q146" s="1" t="s">
        <v>977</v>
      </c>
      <c r="R146" s="14">
        <v>43234</v>
      </c>
      <c r="S146" s="1" t="s">
        <v>503</v>
      </c>
      <c r="U146" s="48"/>
    </row>
    <row r="147" spans="1:21" x14ac:dyDescent="0.25">
      <c r="A147" s="51" t="s">
        <v>3646</v>
      </c>
      <c r="B147" s="1">
        <v>2018</v>
      </c>
      <c r="C147" s="2" t="s">
        <v>286</v>
      </c>
      <c r="D147" s="1" t="s">
        <v>974</v>
      </c>
      <c r="E147" s="1" t="s">
        <v>503</v>
      </c>
      <c r="F147" s="1" t="s">
        <v>27</v>
      </c>
      <c r="G147" s="14">
        <v>43237</v>
      </c>
      <c r="H147" s="14" t="s">
        <v>50</v>
      </c>
      <c r="I147" s="2" t="s">
        <v>4032</v>
      </c>
      <c r="J147" s="2" t="s">
        <v>4033</v>
      </c>
      <c r="K147" s="13">
        <v>0.041666666667879326</v>
      </c>
      <c r="L147" s="13">
        <v>0.041666666667879326</v>
      </c>
      <c r="M147" s="13">
        <f>CRF_3[[#This Row],[Time Spent on Configuration]]+CRF_3[[#This Row],[Time Spent on Review/Testing]]</f>
        <v>0.03472222222262644</v>
      </c>
      <c r="N147" s="1">
        <v>0</v>
      </c>
      <c r="O147" s="1" t="s">
        <v>966</v>
      </c>
      <c r="P147" s="1" t="s">
        <v>503</v>
      </c>
      <c r="Q147" s="1" t="s">
        <v>977</v>
      </c>
      <c r="R147" s="14">
        <v>43237</v>
      </c>
      <c r="S147" s="1" t="s">
        <v>503</v>
      </c>
      <c r="U147" s="48"/>
    </row>
    <row r="148" spans="1:21" x14ac:dyDescent="0.25">
      <c r="A148" s="51" t="s">
        <v>3646</v>
      </c>
      <c r="B148" s="1">
        <v>2018</v>
      </c>
      <c r="C148" s="2" t="s">
        <v>1204</v>
      </c>
      <c r="D148" s="1" t="s">
        <v>951</v>
      </c>
      <c r="E148" s="1" t="s">
        <v>503</v>
      </c>
      <c r="F148" s="1" t="s">
        <v>37</v>
      </c>
      <c r="G148" s="14">
        <v>43237</v>
      </c>
      <c r="H148" s="14" t="s">
        <v>953</v>
      </c>
      <c r="I148" s="2" t="s">
        <v>1292</v>
      </c>
      <c r="J148" s="2" t="s">
        <v>1293</v>
      </c>
      <c r="K148" s="13">
        <v>0.036458333332120674</v>
      </c>
      <c r="L148" s="13">
        <v>0.036458333332120674</v>
      </c>
      <c r="M148" s="13">
        <f>CRF_3[[#This Row],[Time Spent on Configuration]]+CRF_3[[#This Row],[Time Spent on Review/Testing]]</f>
        <v>0.0625</v>
      </c>
      <c r="N148" s="1">
        <v>0</v>
      </c>
      <c r="O148" s="1" t="s">
        <v>956</v>
      </c>
      <c r="P148" s="1" t="s">
        <v>503</v>
      </c>
      <c r="Q148" s="1" t="s">
        <v>484</v>
      </c>
      <c r="R148" s="14">
        <v>43237</v>
      </c>
      <c r="S148" s="1" t="s">
        <v>503</v>
      </c>
      <c r="U148" s="48"/>
    </row>
    <row r="149" ht="45" customHeight="1" spans="1:21" x14ac:dyDescent="0.25">
      <c r="A149" s="51" t="s">
        <v>3646</v>
      </c>
      <c r="B149" s="1">
        <v>2018</v>
      </c>
      <c r="C149" s="2" t="s">
        <v>1018</v>
      </c>
      <c r="D149" s="1" t="s">
        <v>1019</v>
      </c>
      <c r="E149" s="1" t="s">
        <v>503</v>
      </c>
      <c r="F149" s="1" t="s">
        <v>27</v>
      </c>
      <c r="G149" s="14">
        <v>43238</v>
      </c>
      <c r="H149" s="14" t="s">
        <v>28</v>
      </c>
      <c r="I149" s="2" t="s">
        <v>1294</v>
      </c>
      <c r="J149" s="2" t="s">
        <v>4034</v>
      </c>
      <c r="K149" s="13">
        <v>0.052083333332120674</v>
      </c>
      <c r="L149" s="13">
        <v>0.052083333332120674</v>
      </c>
      <c r="M149" s="13">
        <f>CRF_3[[#This Row],[Time Spent on Configuration]]+CRF_3[[#This Row],[Time Spent on Review/Testing]]</f>
        <v>0.055555555554747116</v>
      </c>
      <c r="N149" s="1">
        <v>0</v>
      </c>
      <c r="O149" s="1" t="s">
        <v>1001</v>
      </c>
      <c r="P149" s="1" t="s">
        <v>503</v>
      </c>
      <c r="Q149" s="1" t="s">
        <v>977</v>
      </c>
      <c r="R149" s="14">
        <v>43238</v>
      </c>
      <c r="S149" s="1" t="s">
        <v>503</v>
      </c>
      <c r="U149" s="48"/>
    </row>
    <row r="150" spans="1:21" x14ac:dyDescent="0.25">
      <c r="A150" s="1" t="s">
        <v>3646</v>
      </c>
      <c r="B150" s="1">
        <v>2018</v>
      </c>
      <c r="C150" s="2" t="s">
        <v>1093</v>
      </c>
      <c r="D150" s="1" t="s">
        <v>25</v>
      </c>
      <c r="E150" s="1" t="s">
        <v>503</v>
      </c>
      <c r="F150" s="1" t="s">
        <v>27</v>
      </c>
      <c r="G150" s="14">
        <v>43238</v>
      </c>
      <c r="H150" s="14" t="s">
        <v>28</v>
      </c>
      <c r="I150" s="2" t="s">
        <v>4035</v>
      </c>
      <c r="J150" s="2" t="s">
        <v>1297</v>
      </c>
      <c r="K150" s="13">
        <v>0.03472222222262644</v>
      </c>
      <c r="L150" s="13">
        <v>0.03472222222262644</v>
      </c>
      <c r="M150" s="13">
        <f>CRF_3[[#This Row],[Time Spent on Configuration]]+CRF_3[[#This Row],[Time Spent on Review/Testing]]</f>
        <v>0.04861111110949423</v>
      </c>
      <c r="N150" s="1">
        <v>0</v>
      </c>
      <c r="O150" s="1" t="s">
        <v>966</v>
      </c>
      <c r="P150" s="1" t="s">
        <v>503</v>
      </c>
      <c r="Q150" s="1" t="s">
        <v>977</v>
      </c>
      <c r="R150" s="14">
        <v>43238</v>
      </c>
      <c r="S150" s="1" t="s">
        <v>503</v>
      </c>
      <c r="U150" s="48"/>
    </row>
    <row r="151" ht="60" customHeight="1" spans="1:21" x14ac:dyDescent="0.25">
      <c r="A151" s="1" t="s">
        <v>3646</v>
      </c>
      <c r="B151" s="1">
        <v>2018</v>
      </c>
      <c r="C151" s="2" t="s">
        <v>962</v>
      </c>
      <c r="D151" s="1" t="s">
        <v>963</v>
      </c>
      <c r="E151" s="1" t="s">
        <v>503</v>
      </c>
      <c r="F151" s="1" t="s">
        <v>37</v>
      </c>
      <c r="G151" s="14">
        <v>43243</v>
      </c>
      <c r="H151" s="14" t="s">
        <v>28</v>
      </c>
      <c r="I151" s="2" t="s">
        <v>1298</v>
      </c>
      <c r="J151" s="2" t="s">
        <v>4036</v>
      </c>
      <c r="K151" s="13">
        <v>0.052083333332120674</v>
      </c>
      <c r="L151" s="13">
        <v>0.052083333332120674</v>
      </c>
      <c r="M151" s="13">
        <f>CRF_3[[#This Row],[Time Spent on Configuration]]+CRF_3[[#This Row],[Time Spent on Review/Testing]]</f>
        <v>0.10416666666787933</v>
      </c>
      <c r="N151" s="1">
        <v>0</v>
      </c>
      <c r="O151" s="1" t="s">
        <v>966</v>
      </c>
      <c r="P151" s="1" t="s">
        <v>503</v>
      </c>
      <c r="Q151" s="1" t="s">
        <v>484</v>
      </c>
      <c r="R151" s="14">
        <v>43243</v>
      </c>
      <c r="S151" s="1" t="s">
        <v>503</v>
      </c>
      <c r="U151" s="48"/>
    </row>
    <row r="152" spans="1:21" x14ac:dyDescent="0.25">
      <c r="A152" s="1" t="s">
        <v>3646</v>
      </c>
      <c r="B152" s="1">
        <v>2018</v>
      </c>
      <c r="C152" s="2" t="s">
        <v>1041</v>
      </c>
      <c r="D152" s="1" t="s">
        <v>1042</v>
      </c>
      <c r="E152" s="1" t="s">
        <v>503</v>
      </c>
      <c r="F152" s="1" t="s">
        <v>37</v>
      </c>
      <c r="G152" s="14">
        <v>43243</v>
      </c>
      <c r="H152" s="14" t="s">
        <v>28</v>
      </c>
      <c r="I152" s="2" t="s">
        <v>1300</v>
      </c>
      <c r="J152" s="2" t="s">
        <v>1301</v>
      </c>
      <c r="K152" s="13">
        <v>0.052083333332120674</v>
      </c>
      <c r="L152" s="13">
        <v>0.052083333332120674</v>
      </c>
      <c r="M152" s="13">
        <f>CRF_3[[#This Row],[Time Spent on Configuration]]+CRF_3[[#This Row],[Time Spent on Review/Testing]]</f>
        <v>0.07638888889050577</v>
      </c>
      <c r="N152" s="1">
        <v>0</v>
      </c>
      <c r="O152" s="1" t="s">
        <v>966</v>
      </c>
      <c r="P152" s="1" t="s">
        <v>503</v>
      </c>
      <c r="Q152" s="1" t="s">
        <v>484</v>
      </c>
      <c r="R152" s="14">
        <v>43243</v>
      </c>
      <c r="S152" s="1" t="s">
        <v>503</v>
      </c>
      <c r="U152" s="48"/>
    </row>
    <row r="153" ht="30" customHeight="1" spans="1:21" x14ac:dyDescent="0.25">
      <c r="A153" s="1" t="s">
        <v>3646</v>
      </c>
      <c r="B153" s="1">
        <v>2018</v>
      </c>
      <c r="C153" s="2" t="s">
        <v>1120</v>
      </c>
      <c r="D153" s="1" t="s">
        <v>541</v>
      </c>
      <c r="E153" s="1" t="s">
        <v>503</v>
      </c>
      <c r="F153" s="1" t="s">
        <v>37</v>
      </c>
      <c r="G153" s="14">
        <v>43245</v>
      </c>
      <c r="H153" s="14" t="s">
        <v>953</v>
      </c>
      <c r="I153" s="2" t="s">
        <v>4037</v>
      </c>
      <c r="J153" s="2" t="s">
        <v>1303</v>
      </c>
      <c r="K153" s="13">
        <v>0.006944444445252884</v>
      </c>
      <c r="L153" s="13">
        <v>0.006944444445252884</v>
      </c>
      <c r="M153" s="13">
        <f>CRF_3[[#This Row],[Time Spent on Configuration]]+CRF_3[[#This Row],[Time Spent on Review/Testing]]</f>
        <v>0.055555555554747116</v>
      </c>
      <c r="N153" s="1">
        <v>0</v>
      </c>
      <c r="O153" s="1" t="s">
        <v>966</v>
      </c>
      <c r="P153" s="1" t="s">
        <v>503</v>
      </c>
      <c r="Q153" s="1" t="s">
        <v>488</v>
      </c>
      <c r="R153" s="14">
        <v>43245</v>
      </c>
      <c r="S153" s="1" t="s">
        <v>503</v>
      </c>
      <c r="U153" s="48"/>
    </row>
    <row r="154" ht="30" customHeight="1" spans="1:21" x14ac:dyDescent="0.25">
      <c r="A154" s="1" t="s">
        <v>3646</v>
      </c>
      <c r="B154" s="1">
        <v>2018</v>
      </c>
      <c r="C154" s="2" t="s">
        <v>1018</v>
      </c>
      <c r="D154" s="1" t="s">
        <v>1019</v>
      </c>
      <c r="E154" s="1" t="s">
        <v>503</v>
      </c>
      <c r="F154" s="1" t="s">
        <v>27</v>
      </c>
      <c r="G154" s="14">
        <v>43250</v>
      </c>
      <c r="H154" s="14" t="s">
        <v>28</v>
      </c>
      <c r="I154" s="2" t="s">
        <v>4038</v>
      </c>
      <c r="J154" s="2" t="s">
        <v>1305</v>
      </c>
      <c r="K154" s="13">
        <v>0.03472222222262644</v>
      </c>
      <c r="L154" s="13">
        <v>0.03472222222262644</v>
      </c>
      <c r="M154" s="13">
        <f>CRF_3[[#This Row],[Time Spent on Configuration]]+CRF_3[[#This Row],[Time Spent on Review/Testing]]</f>
        <v>0.041666666667879326</v>
      </c>
      <c r="N154" s="1">
        <v>0</v>
      </c>
      <c r="O154" s="1" t="s">
        <v>1001</v>
      </c>
      <c r="P154" s="1" t="s">
        <v>503</v>
      </c>
      <c r="Q154" s="1" t="s">
        <v>977</v>
      </c>
      <c r="R154" s="14">
        <v>43250</v>
      </c>
      <c r="S154" s="1" t="s">
        <v>503</v>
      </c>
      <c r="U154" s="48"/>
    </row>
    <row r="155" ht="30" customHeight="1" spans="1:21" x14ac:dyDescent="0.25">
      <c r="A155" s="1" t="s">
        <v>3646</v>
      </c>
      <c r="B155" s="1">
        <v>2018</v>
      </c>
      <c r="C155" s="2" t="s">
        <v>1018</v>
      </c>
      <c r="D155" s="1" t="s">
        <v>1019</v>
      </c>
      <c r="E155" s="1" t="s">
        <v>503</v>
      </c>
      <c r="F155" s="1" t="s">
        <v>27</v>
      </c>
      <c r="G155" s="14">
        <v>43250</v>
      </c>
      <c r="H155" s="14" t="s">
        <v>28</v>
      </c>
      <c r="I155" s="2" t="s">
        <v>4039</v>
      </c>
      <c r="J155" s="2" t="s">
        <v>4039</v>
      </c>
      <c r="K155" s="13">
        <v>0.041666666667879326</v>
      </c>
      <c r="L155" s="13">
        <v>0.041666666667879326</v>
      </c>
      <c r="M155" s="13">
        <f>CRF_3[[#This Row],[Time Spent on Configuration]]+CRF_3[[#This Row],[Time Spent on Review/Testing]]</f>
        <v>0</v>
      </c>
      <c r="N155" s="1">
        <v>0</v>
      </c>
      <c r="O155" s="1" t="s">
        <v>1001</v>
      </c>
      <c r="P155" s="1" t="s">
        <v>503</v>
      </c>
      <c r="Q155" s="1" t="s">
        <v>977</v>
      </c>
      <c r="R155" s="14">
        <v>43250</v>
      </c>
      <c r="S155" s="1" t="s">
        <v>503</v>
      </c>
      <c r="U155" s="48"/>
    </row>
    <row r="156" spans="1:21" x14ac:dyDescent="0.25">
      <c r="A156" s="1" t="s">
        <v>3646</v>
      </c>
      <c r="B156" s="1">
        <v>2018</v>
      </c>
      <c r="C156" s="2" t="s">
        <v>1041</v>
      </c>
      <c r="D156" s="1" t="s">
        <v>1042</v>
      </c>
      <c r="E156" s="1" t="s">
        <v>503</v>
      </c>
      <c r="F156" s="1" t="s">
        <v>37</v>
      </c>
      <c r="G156" s="14">
        <v>43250</v>
      </c>
      <c r="H156" s="14" t="s">
        <v>953</v>
      </c>
      <c r="I156" s="2" t="s">
        <v>1307</v>
      </c>
      <c r="J156" s="2" t="s">
        <v>1308</v>
      </c>
      <c r="K156" s="13">
        <v>0.006944444445252884</v>
      </c>
      <c r="L156" s="13">
        <v>0.006944444445252884</v>
      </c>
      <c r="M156" s="13">
        <f>CRF_3[[#This Row],[Time Spent on Configuration]]+CRF_3[[#This Row],[Time Spent on Review/Testing]]</f>
        <v>NaN</v>
      </c>
      <c r="N156" s="1">
        <v>0</v>
      </c>
      <c r="O156" s="1" t="s">
        <v>966</v>
      </c>
      <c r="P156" s="1" t="s">
        <v>503</v>
      </c>
      <c r="Q156" s="1" t="s">
        <v>484</v>
      </c>
      <c r="R156" s="14">
        <v>43250</v>
      </c>
      <c r="S156" s="1" t="s">
        <v>503</v>
      </c>
      <c r="U156" s="48"/>
    </row>
    <row r="157" ht="30" customHeight="1" spans="1:21" x14ac:dyDescent="0.25">
      <c r="A157" s="1" t="s">
        <v>3646</v>
      </c>
      <c r="B157" s="1">
        <v>2018</v>
      </c>
      <c r="C157" s="2" t="s">
        <v>1012</v>
      </c>
      <c r="D157" s="1" t="s">
        <v>25</v>
      </c>
      <c r="E157" s="1" t="s">
        <v>503</v>
      </c>
      <c r="F157" s="1" t="s">
        <v>27</v>
      </c>
      <c r="G157" s="14">
        <v>43251</v>
      </c>
      <c r="H157" s="14" t="s">
        <v>28</v>
      </c>
      <c r="I157" s="2" t="s">
        <v>1309</v>
      </c>
      <c r="J157" s="2" t="s">
        <v>4040</v>
      </c>
      <c r="K157" s="13">
        <v>0.041666666667879326</v>
      </c>
      <c r="L157" s="13">
        <v>0.041666666667879326</v>
      </c>
      <c r="M157" s="13">
        <f>CRF_3[[#This Row],[Time Spent on Configuration]]+CRF_3[[#This Row],[Time Spent on Review/Testing]]</f>
        <v>NaN</v>
      </c>
      <c r="N157" s="1">
        <v>0</v>
      </c>
      <c r="O157" s="1" t="s">
        <v>1001</v>
      </c>
      <c r="P157" s="1" t="s">
        <v>503</v>
      </c>
      <c r="Q157" s="1" t="s">
        <v>977</v>
      </c>
      <c r="R157" s="14">
        <v>43251</v>
      </c>
      <c r="S157" s="1" t="s">
        <v>503</v>
      </c>
      <c r="U157" s="48"/>
    </row>
    <row r="158" spans="1:21" x14ac:dyDescent="0.25">
      <c r="A158" s="1" t="s">
        <v>3663</v>
      </c>
      <c r="B158" s="1">
        <v>2018</v>
      </c>
      <c r="C158" s="2" t="s">
        <v>199</v>
      </c>
      <c r="D158" s="1" t="s">
        <v>541</v>
      </c>
      <c r="E158" s="1" t="s">
        <v>503</v>
      </c>
      <c r="F158" s="1" t="s">
        <v>37</v>
      </c>
      <c r="G158" s="14">
        <v>43252</v>
      </c>
      <c r="H158" s="14" t="s">
        <v>1073</v>
      </c>
      <c r="I158" s="2" t="s">
        <v>1312</v>
      </c>
      <c r="J158" s="2" t="s">
        <v>1313</v>
      </c>
      <c r="K158" s="13">
        <v>0.013888888890505768</v>
      </c>
      <c r="L158" s="13">
        <v>0.013888888890505768</v>
      </c>
      <c r="M158" s="13">
        <f>CRF_3[[#This Row],[Time Spent on Configuration]]+CRF_3[[#This Row],[Time Spent on Review/Testing]]</f>
        <v>NaN</v>
      </c>
      <c r="N158" s="1">
        <v>0</v>
      </c>
      <c r="O158" s="1" t="s">
        <v>1314</v>
      </c>
      <c r="P158" s="1" t="s">
        <v>503</v>
      </c>
      <c r="Q158" s="1" t="s">
        <v>488</v>
      </c>
      <c r="R158" s="14">
        <v>43252</v>
      </c>
      <c r="S158" s="1" t="s">
        <v>503</v>
      </c>
      <c r="U158" s="48"/>
    </row>
    <row r="159" spans="1:21" x14ac:dyDescent="0.25">
      <c r="A159" s="1" t="s">
        <v>3663</v>
      </c>
      <c r="B159" s="1">
        <v>2018</v>
      </c>
      <c r="C159" s="2" t="s">
        <v>99</v>
      </c>
      <c r="D159" s="1" t="s">
        <v>25</v>
      </c>
      <c r="E159" s="1" t="s">
        <v>503</v>
      </c>
      <c r="F159" s="1" t="s">
        <v>37</v>
      </c>
      <c r="G159" s="14">
        <v>43253</v>
      </c>
      <c r="H159" s="14" t="s">
        <v>28</v>
      </c>
      <c r="I159" s="2" t="s">
        <v>1315</v>
      </c>
      <c r="J159" s="2" t="s">
        <v>1316</v>
      </c>
      <c r="K159" s="13">
        <v>0.10416666666787933</v>
      </c>
      <c r="L159" s="13">
        <v>0.10416666666787933</v>
      </c>
      <c r="M159" s="13">
        <f>CRF_3[[#This Row],[Time Spent on Configuration]]+CRF_3[[#This Row],[Time Spent on Review/Testing]]</f>
        <v>NaN</v>
      </c>
      <c r="N159" s="1">
        <v>0</v>
      </c>
      <c r="O159" s="1" t="s">
        <v>956</v>
      </c>
      <c r="P159" s="1" t="s">
        <v>503</v>
      </c>
      <c r="Q159" s="1" t="s">
        <v>977</v>
      </c>
      <c r="R159" s="14">
        <v>43253</v>
      </c>
      <c r="S159" s="1" t="s">
        <v>503</v>
      </c>
      <c r="U159" s="48"/>
    </row>
    <row r="160" spans="1:21" x14ac:dyDescent="0.25">
      <c r="A160" s="1" t="s">
        <v>3663</v>
      </c>
      <c r="B160" s="1">
        <v>2018</v>
      </c>
      <c r="C160" s="2" t="s">
        <v>99</v>
      </c>
      <c r="D160" s="1" t="s">
        <v>25</v>
      </c>
      <c r="E160" s="1" t="s">
        <v>503</v>
      </c>
      <c r="F160" s="1" t="s">
        <v>37</v>
      </c>
      <c r="G160" s="14">
        <v>43256</v>
      </c>
      <c r="H160" s="14" t="s">
        <v>28</v>
      </c>
      <c r="I160" s="2" t="s">
        <v>1317</v>
      </c>
      <c r="J160" s="2" t="s">
        <v>1318</v>
      </c>
      <c r="K160" s="13">
        <v>0.03125</v>
      </c>
      <c r="L160" s="13">
        <v>0.03125</v>
      </c>
      <c r="M160" s="13">
        <f>CRF_3[[#This Row],[Time Spent on Configuration]]+CRF_3[[#This Row],[Time Spent on Review/Testing]]</f>
        <v>NaN</v>
      </c>
      <c r="N160" s="1">
        <v>0</v>
      </c>
      <c r="O160" s="1" t="s">
        <v>956</v>
      </c>
      <c r="P160" s="1" t="s">
        <v>503</v>
      </c>
      <c r="Q160" s="1" t="s">
        <v>977</v>
      </c>
      <c r="R160" s="14">
        <v>43256</v>
      </c>
      <c r="S160" s="1" t="s">
        <v>503</v>
      </c>
      <c r="U160" s="48"/>
    </row>
    <row r="161" ht="90" customHeight="1" spans="1:21" x14ac:dyDescent="0.25">
      <c r="A161" s="1" t="s">
        <v>3663</v>
      </c>
      <c r="B161" s="1">
        <v>2018</v>
      </c>
      <c r="C161" s="2" t="s">
        <v>118</v>
      </c>
      <c r="D161" s="1" t="s">
        <v>25</v>
      </c>
      <c r="E161" s="1" t="s">
        <v>503</v>
      </c>
      <c r="F161" s="1" t="s">
        <v>37</v>
      </c>
      <c r="G161" s="14">
        <v>43257</v>
      </c>
      <c r="H161" s="14" t="s">
        <v>28</v>
      </c>
      <c r="I161" s="2" t="s">
        <v>1319</v>
      </c>
      <c r="J161" s="2" t="s">
        <v>4041</v>
      </c>
      <c r="K161" s="13">
        <v>0.08333333333212067</v>
      </c>
      <c r="L161" s="13">
        <v>0.08333333333212067</v>
      </c>
      <c r="M161" s="13">
        <f>CRF_3[[#This Row],[Time Spent on Configuration]]+CRF_3[[#This Row],[Time Spent on Review/Testing]]</f>
        <v>NaN</v>
      </c>
      <c r="N161" s="1">
        <v>0</v>
      </c>
      <c r="O161" s="1" t="s">
        <v>956</v>
      </c>
      <c r="P161" s="1" t="s">
        <v>503</v>
      </c>
      <c r="Q161" s="1" t="s">
        <v>977</v>
      </c>
      <c r="R161" s="14">
        <v>43257</v>
      </c>
      <c r="S161" s="1" t="s">
        <v>503</v>
      </c>
      <c r="U161" s="48"/>
    </row>
    <row r="162" spans="1:21" x14ac:dyDescent="0.25">
      <c r="A162" s="1" t="s">
        <v>3663</v>
      </c>
      <c r="B162" s="1">
        <v>2018</v>
      </c>
      <c r="C162" s="2" t="s">
        <v>1041</v>
      </c>
      <c r="D162" s="1" t="s">
        <v>1042</v>
      </c>
      <c r="E162" s="1" t="s">
        <v>503</v>
      </c>
      <c r="F162" s="1" t="s">
        <v>37</v>
      </c>
      <c r="G162" s="14">
        <v>43262</v>
      </c>
      <c r="H162" s="14" t="s">
        <v>28</v>
      </c>
      <c r="I162" s="2" t="s">
        <v>1321</v>
      </c>
      <c r="J162" s="2" t="s">
        <v>1322</v>
      </c>
      <c r="K162" s="13">
        <v>0.041666666667879326</v>
      </c>
      <c r="L162" s="13">
        <v>0.041666666667879326</v>
      </c>
      <c r="M162" s="13">
        <f>CRF_3[[#This Row],[Time Spent on Configuration]]+CRF_3[[#This Row],[Time Spent on Review/Testing]]</f>
        <v>NaN</v>
      </c>
      <c r="N162" s="1">
        <v>0</v>
      </c>
      <c r="O162" s="1" t="s">
        <v>966</v>
      </c>
      <c r="P162" s="1" t="s">
        <v>503</v>
      </c>
      <c r="Q162" s="1" t="s">
        <v>484</v>
      </c>
      <c r="R162" s="14">
        <v>43262</v>
      </c>
      <c r="S162" s="1" t="s">
        <v>503</v>
      </c>
      <c r="U162" s="48"/>
    </row>
    <row r="163" spans="1:21" x14ac:dyDescent="0.25">
      <c r="A163" s="1" t="s">
        <v>3663</v>
      </c>
      <c r="B163" s="1">
        <v>2018</v>
      </c>
      <c r="C163" s="2" t="s">
        <v>1155</v>
      </c>
      <c r="D163" s="1" t="s">
        <v>25</v>
      </c>
      <c r="E163" s="1" t="s">
        <v>503</v>
      </c>
      <c r="F163" s="1" t="s">
        <v>952</v>
      </c>
      <c r="G163" s="14">
        <v>43264</v>
      </c>
      <c r="H163" s="14" t="s">
        <v>255</v>
      </c>
      <c r="I163" s="2" t="s">
        <v>1323</v>
      </c>
      <c r="J163" s="2" t="s">
        <v>1324</v>
      </c>
      <c r="K163" s="13">
        <v>0.005208333332120674</v>
      </c>
      <c r="L163" s="13">
        <v>0.005208333332120674</v>
      </c>
      <c r="M163" s="13">
        <f>CRF_3[[#This Row],[Time Spent on Configuration]]+CRF_3[[#This Row],[Time Spent on Review/Testing]]</f>
        <v>NaN</v>
      </c>
      <c r="N163" s="1">
        <v>0</v>
      </c>
      <c r="O163" s="1" t="s">
        <v>956</v>
      </c>
      <c r="P163" s="1" t="s">
        <v>503</v>
      </c>
      <c r="Q163" s="1" t="s">
        <v>977</v>
      </c>
      <c r="R163" s="14">
        <v>43264</v>
      </c>
      <c r="S163" s="1" t="s">
        <v>503</v>
      </c>
      <c r="U163" s="48"/>
    </row>
    <row r="164" ht="30" customHeight="1" spans="1:21" x14ac:dyDescent="0.25">
      <c r="A164" s="1" t="s">
        <v>3663</v>
      </c>
      <c r="B164" s="1">
        <v>2018</v>
      </c>
      <c r="C164" s="2" t="s">
        <v>1012</v>
      </c>
      <c r="D164" s="1" t="s">
        <v>25</v>
      </c>
      <c r="E164" s="1" t="s">
        <v>503</v>
      </c>
      <c r="F164" s="1" t="s">
        <v>37</v>
      </c>
      <c r="G164" s="14">
        <v>43264</v>
      </c>
      <c r="H164" s="14" t="s">
        <v>28</v>
      </c>
      <c r="I164" s="2" t="s">
        <v>1325</v>
      </c>
      <c r="J164" s="2" t="s">
        <v>1326</v>
      </c>
      <c r="K164" s="13">
        <v>0.07291666666787933</v>
      </c>
      <c r="L164" s="13">
        <v>0.07291666666787933</v>
      </c>
      <c r="M164" s="13">
        <f>CRF_3[[#This Row],[Time Spent on Configuration]]+CRF_3[[#This Row],[Time Spent on Review/Testing]]</f>
        <v>NaN</v>
      </c>
      <c r="N164" s="1">
        <v>0</v>
      </c>
      <c r="O164" s="1" t="s">
        <v>1001</v>
      </c>
      <c r="P164" s="1" t="s">
        <v>503</v>
      </c>
      <c r="Q164" s="1" t="s">
        <v>977</v>
      </c>
      <c r="R164" s="14">
        <v>43264</v>
      </c>
      <c r="S164" s="1" t="s">
        <v>503</v>
      </c>
      <c r="U164" s="48"/>
    </row>
    <row r="165" ht="30" customHeight="1" spans="1:21" x14ac:dyDescent="0.25">
      <c r="A165" s="1" t="s">
        <v>3663</v>
      </c>
      <c r="B165" s="1">
        <v>2018</v>
      </c>
      <c r="C165" s="2" t="s">
        <v>99</v>
      </c>
      <c r="D165" s="1" t="s">
        <v>25</v>
      </c>
      <c r="E165" s="1" t="s">
        <v>503</v>
      </c>
      <c r="F165" s="1" t="s">
        <v>37</v>
      </c>
      <c r="G165" s="14">
        <v>43265</v>
      </c>
      <c r="H165" s="14" t="s">
        <v>28</v>
      </c>
      <c r="I165" s="2" t="s">
        <v>4042</v>
      </c>
      <c r="J165" s="2" t="s">
        <v>1328</v>
      </c>
      <c r="K165" s="13">
        <v>0.0625</v>
      </c>
      <c r="L165" s="13">
        <v>0.0625</v>
      </c>
      <c r="M165" s="13">
        <f>CRF_3[[#This Row],[Time Spent on Configuration]]+CRF_3[[#This Row],[Time Spent on Review/Testing]]</f>
        <v>NaN</v>
      </c>
      <c r="N165" s="1">
        <v>0</v>
      </c>
      <c r="O165" s="1" t="s">
        <v>956</v>
      </c>
      <c r="P165" s="1" t="s">
        <v>503</v>
      </c>
      <c r="Q165" s="1" t="s">
        <v>977</v>
      </c>
      <c r="R165" s="14">
        <v>43265</v>
      </c>
      <c r="S165" s="1" t="s">
        <v>503</v>
      </c>
      <c r="U165" s="48"/>
    </row>
    <row r="166" ht="30" customHeight="1" spans="1:21" x14ac:dyDescent="0.25">
      <c r="A166" s="1" t="s">
        <v>3663</v>
      </c>
      <c r="B166" s="1">
        <v>2018</v>
      </c>
      <c r="C166" s="2" t="s">
        <v>113</v>
      </c>
      <c r="D166" s="1" t="s">
        <v>25</v>
      </c>
      <c r="E166" s="1" t="s">
        <v>503</v>
      </c>
      <c r="F166" s="1" t="s">
        <v>37</v>
      </c>
      <c r="G166" s="14">
        <v>43265</v>
      </c>
      <c r="H166" s="14" t="s">
        <v>38</v>
      </c>
      <c r="I166" s="2" t="s">
        <v>1329</v>
      </c>
      <c r="J166" s="2" t="s">
        <v>1330</v>
      </c>
      <c r="K166" s="13">
        <v>0.020833333332120674</v>
      </c>
      <c r="L166" s="13">
        <v>0.020833333332120674</v>
      </c>
      <c r="M166" s="13">
        <f>CRF_3[[#This Row],[Time Spent on Configuration]]+CRF_3[[#This Row],[Time Spent on Review/Testing]]</f>
        <v>NaN</v>
      </c>
      <c r="N166" s="1">
        <v>0</v>
      </c>
      <c r="O166" s="1" t="s">
        <v>956</v>
      </c>
      <c r="P166" s="1" t="s">
        <v>503</v>
      </c>
      <c r="Q166" s="1" t="s">
        <v>488</v>
      </c>
      <c r="R166" s="14">
        <v>43265</v>
      </c>
      <c r="S166" s="1" t="s">
        <v>503</v>
      </c>
      <c r="U166" s="48"/>
    </row>
    <row r="167" ht="45" customHeight="1" spans="1:21" x14ac:dyDescent="0.25">
      <c r="A167" s="1" t="s">
        <v>3663</v>
      </c>
      <c r="B167" s="1">
        <v>2018</v>
      </c>
      <c r="C167" s="2" t="s">
        <v>113</v>
      </c>
      <c r="D167" s="1" t="s">
        <v>25</v>
      </c>
      <c r="E167" s="1" t="s">
        <v>503</v>
      </c>
      <c r="F167" s="1" t="s">
        <v>952</v>
      </c>
      <c r="G167" s="14">
        <v>43265</v>
      </c>
      <c r="H167" s="14" t="s">
        <v>1073</v>
      </c>
      <c r="I167" s="2" t="s">
        <v>4043</v>
      </c>
      <c r="J167" s="2" t="s">
        <v>4044</v>
      </c>
      <c r="K167" s="13">
        <v>0.052083333332120674</v>
      </c>
      <c r="L167" s="13">
        <v>0.052083333332120674</v>
      </c>
      <c r="M167" s="13">
        <f>CRF_3[[#This Row],[Time Spent on Configuration]]+CRF_3[[#This Row],[Time Spent on Review/Testing]]</f>
        <v>NaN</v>
      </c>
      <c r="N167" s="1">
        <v>0</v>
      </c>
      <c r="O167" s="1" t="s">
        <v>956</v>
      </c>
      <c r="P167" s="1" t="s">
        <v>503</v>
      </c>
      <c r="Q167" s="1" t="s">
        <v>488</v>
      </c>
      <c r="R167" s="14">
        <v>43265</v>
      </c>
      <c r="S167" s="1" t="s">
        <v>503</v>
      </c>
      <c r="U167" s="48"/>
    </row>
    <row r="168" spans="1:21" x14ac:dyDescent="0.25">
      <c r="A168" s="1" t="s">
        <v>3663</v>
      </c>
      <c r="B168" s="1">
        <v>2018</v>
      </c>
      <c r="C168" s="2" t="s">
        <v>1041</v>
      </c>
      <c r="D168" s="1" t="s">
        <v>1042</v>
      </c>
      <c r="E168" s="1" t="s">
        <v>503</v>
      </c>
      <c r="F168" s="1" t="s">
        <v>37</v>
      </c>
      <c r="G168" s="14">
        <v>43270</v>
      </c>
      <c r="H168" s="14" t="s">
        <v>953</v>
      </c>
      <c r="I168" s="2" t="s">
        <v>1333</v>
      </c>
      <c r="J168" s="2" t="s">
        <v>1334</v>
      </c>
      <c r="K168" s="13">
        <v>0.008680555554747116</v>
      </c>
      <c r="L168" s="13">
        <v>0.008680555554747116</v>
      </c>
      <c r="M168" s="13">
        <f>CRF_3[[#This Row],[Time Spent on Configuration]]+CRF_3[[#This Row],[Time Spent on Review/Testing]]</f>
        <v>NaN</v>
      </c>
      <c r="N168" s="1">
        <v>0</v>
      </c>
      <c r="O168" s="1" t="s">
        <v>966</v>
      </c>
      <c r="P168" s="1" t="s">
        <v>503</v>
      </c>
      <c r="Q168" s="1" t="s">
        <v>484</v>
      </c>
      <c r="R168" s="14">
        <v>43270</v>
      </c>
      <c r="S168" s="1" t="s">
        <v>503</v>
      </c>
      <c r="U168" s="48"/>
    </row>
    <row r="169" ht="60" customHeight="1" spans="1:21" x14ac:dyDescent="0.25">
      <c r="A169" s="1" t="s">
        <v>3663</v>
      </c>
      <c r="B169" s="1">
        <v>2018</v>
      </c>
      <c r="C169" s="2" t="s">
        <v>1169</v>
      </c>
      <c r="D169" s="1" t="s">
        <v>989</v>
      </c>
      <c r="E169" s="1" t="s">
        <v>503</v>
      </c>
      <c r="F169" s="1" t="s">
        <v>37</v>
      </c>
      <c r="G169" s="14">
        <v>43270</v>
      </c>
      <c r="H169" s="14" t="s">
        <v>28</v>
      </c>
      <c r="I169" s="2" t="s">
        <v>1335</v>
      </c>
      <c r="J169" s="2" t="s">
        <v>4045</v>
      </c>
      <c r="K169" s="13">
        <v>0.0625</v>
      </c>
      <c r="L169" s="13">
        <v>0.0625</v>
      </c>
      <c r="M169" s="13">
        <f>CRF_3[[#This Row],[Time Spent on Configuration]]+CRF_3[[#This Row],[Time Spent on Review/Testing]]</f>
        <v>NaN</v>
      </c>
      <c r="N169" s="1">
        <v>0</v>
      </c>
      <c r="O169" s="1" t="s">
        <v>1001</v>
      </c>
      <c r="P169" s="1" t="s">
        <v>503</v>
      </c>
      <c r="Q169" s="1" t="s">
        <v>484</v>
      </c>
      <c r="R169" s="14">
        <v>43270</v>
      </c>
      <c r="S169" s="1" t="s">
        <v>503</v>
      </c>
      <c r="U169" s="48"/>
    </row>
    <row r="170" ht="30" customHeight="1" spans="1:21" x14ac:dyDescent="0.25">
      <c r="A170" s="1" t="s">
        <v>3663</v>
      </c>
      <c r="B170" s="1">
        <v>2018</v>
      </c>
      <c r="C170" s="2" t="s">
        <v>99</v>
      </c>
      <c r="D170" s="1" t="s">
        <v>25</v>
      </c>
      <c r="E170" s="1" t="s">
        <v>503</v>
      </c>
      <c r="F170" s="1" t="s">
        <v>37</v>
      </c>
      <c r="G170" s="14">
        <v>43273</v>
      </c>
      <c r="H170" s="14" t="s">
        <v>28</v>
      </c>
      <c r="I170" s="2" t="s">
        <v>4042</v>
      </c>
      <c r="J170" s="2" t="s">
        <v>1337</v>
      </c>
      <c r="K170" s="13">
        <v>0.09375</v>
      </c>
      <c r="L170" s="13">
        <v>0.09375</v>
      </c>
      <c r="M170" s="13">
        <f>CRF_3[[#This Row],[Time Spent on Configuration]]+CRF_3[[#This Row],[Time Spent on Review/Testing]]</f>
        <v>NaN</v>
      </c>
      <c r="N170" s="1">
        <v>0</v>
      </c>
      <c r="O170" s="1" t="s">
        <v>956</v>
      </c>
      <c r="P170" s="1" t="s">
        <v>503</v>
      </c>
      <c r="Q170" s="1" t="s">
        <v>977</v>
      </c>
      <c r="R170" s="14">
        <v>43273</v>
      </c>
      <c r="S170" s="1" t="s">
        <v>503</v>
      </c>
      <c r="U170" s="48"/>
    </row>
    <row r="171" ht="30" customHeight="1" spans="1:21" x14ac:dyDescent="0.25">
      <c r="A171" s="1" t="s">
        <v>3663</v>
      </c>
      <c r="B171" s="1">
        <v>2018</v>
      </c>
      <c r="C171" s="2" t="s">
        <v>113</v>
      </c>
      <c r="D171" s="1" t="s">
        <v>25</v>
      </c>
      <c r="E171" s="1" t="s">
        <v>503</v>
      </c>
      <c r="F171" s="1" t="s">
        <v>27</v>
      </c>
      <c r="G171" s="14">
        <v>43279</v>
      </c>
      <c r="H171" s="14" t="s">
        <v>255</v>
      </c>
      <c r="I171" s="2" t="s">
        <v>1338</v>
      </c>
      <c r="J171" s="2" t="s">
        <v>1339</v>
      </c>
      <c r="K171" s="13">
        <v>0.052083333332120674</v>
      </c>
      <c r="L171" s="13">
        <v>0.052083333332120674</v>
      </c>
      <c r="M171" s="13">
        <f>CRF_3[[#This Row],[Time Spent on Configuration]]+CRF_3[[#This Row],[Time Spent on Review/Testing]]</f>
        <v>NaN</v>
      </c>
      <c r="N171" s="1">
        <v>0</v>
      </c>
      <c r="O171" s="1" t="s">
        <v>956</v>
      </c>
      <c r="P171" s="1" t="s">
        <v>503</v>
      </c>
      <c r="Q171" s="1" t="s">
        <v>488</v>
      </c>
      <c r="R171" s="14">
        <v>43279</v>
      </c>
      <c r="S171" s="1" t="s">
        <v>503</v>
      </c>
      <c r="U171" s="48"/>
    </row>
    <row r="172" spans="1:21" x14ac:dyDescent="0.25">
      <c r="A172" s="1" t="s">
        <v>3663</v>
      </c>
      <c r="B172" s="1">
        <v>2018</v>
      </c>
      <c r="C172" s="2" t="s">
        <v>1041</v>
      </c>
      <c r="D172" s="1" t="s">
        <v>1042</v>
      </c>
      <c r="E172" s="1" t="s">
        <v>503</v>
      </c>
      <c r="F172" s="1" t="s">
        <v>27</v>
      </c>
      <c r="G172" s="14">
        <v>43279</v>
      </c>
      <c r="H172" s="14" t="s">
        <v>255</v>
      </c>
      <c r="I172" s="2" t="s">
        <v>4046</v>
      </c>
      <c r="J172" s="2" t="s">
        <v>1341</v>
      </c>
      <c r="K172" s="13">
        <v>0.008680555554747116</v>
      </c>
      <c r="L172" s="13">
        <v>0.008680555554747116</v>
      </c>
      <c r="M172" s="13">
        <f>CRF_3[[#This Row],[Time Spent on Configuration]]+CRF_3[[#This Row],[Time Spent on Review/Testing]]</f>
        <v>NaN</v>
      </c>
      <c r="N172" s="1">
        <v>0</v>
      </c>
      <c r="O172" s="1" t="s">
        <v>966</v>
      </c>
      <c r="P172" s="1" t="s">
        <v>503</v>
      </c>
      <c r="Q172" s="1" t="s">
        <v>484</v>
      </c>
      <c r="R172" s="14">
        <v>43279</v>
      </c>
      <c r="S172" s="1" t="s">
        <v>503</v>
      </c>
      <c r="U172" s="48"/>
    </row>
    <row r="173" ht="30" customHeight="1" spans="1:21" x14ac:dyDescent="0.25">
      <c r="A173" s="1" t="s">
        <v>3663</v>
      </c>
      <c r="B173" s="1">
        <v>2018</v>
      </c>
      <c r="C173" s="2" t="s">
        <v>4024</v>
      </c>
      <c r="D173" s="1" t="s">
        <v>1112</v>
      </c>
      <c r="E173" s="1" t="s">
        <v>503</v>
      </c>
      <c r="F173" s="1" t="s">
        <v>27</v>
      </c>
      <c r="G173" s="14">
        <v>43280</v>
      </c>
      <c r="H173" s="14" t="s">
        <v>50</v>
      </c>
      <c r="I173" s="2" t="s">
        <v>1342</v>
      </c>
      <c r="J173" s="2" t="s">
        <v>1343</v>
      </c>
      <c r="K173" s="13">
        <v>0.020833333332120674</v>
      </c>
      <c r="L173" s="13">
        <v>0.020833333332120674</v>
      </c>
      <c r="M173" s="13">
        <f>CRF_3[[#This Row],[Time Spent on Configuration]]+CRF_3[[#This Row],[Time Spent on Review/Testing]]</f>
        <v>NaN</v>
      </c>
      <c r="N173" s="1">
        <v>0</v>
      </c>
      <c r="O173" s="1" t="s">
        <v>1314</v>
      </c>
      <c r="P173" s="1" t="s">
        <v>503</v>
      </c>
      <c r="Q173" s="1" t="s">
        <v>484</v>
      </c>
      <c r="R173" s="14">
        <v>43280</v>
      </c>
      <c r="S173" s="1" t="s">
        <v>503</v>
      </c>
      <c r="U173" s="48"/>
    </row>
    <row r="174" ht="30" customHeight="1" spans="1:21" x14ac:dyDescent="0.25">
      <c r="A174" s="1" t="s">
        <v>3676</v>
      </c>
      <c r="B174" s="1">
        <v>2018</v>
      </c>
      <c r="C174" s="2" t="s">
        <v>288</v>
      </c>
      <c r="D174" s="1" t="s">
        <v>25</v>
      </c>
      <c r="E174" s="1" t="s">
        <v>503</v>
      </c>
      <c r="F174" s="1" t="s">
        <v>27</v>
      </c>
      <c r="G174" s="14">
        <v>43284</v>
      </c>
      <c r="H174" s="14" t="s">
        <v>255</v>
      </c>
      <c r="I174" s="2" t="s">
        <v>1345</v>
      </c>
      <c r="J174" s="2" t="s">
        <v>1346</v>
      </c>
      <c r="K174" s="13">
        <v>0.041666666667879326</v>
      </c>
      <c r="L174" s="13">
        <v>0.041666666667879326</v>
      </c>
      <c r="M174" s="13">
        <f>CRF_3[[#This Row],[Time Spent on Configuration]]+CRF_3[[#This Row],[Time Spent on Review/Testing]]</f>
        <v>NaN</v>
      </c>
      <c r="N174" s="1">
        <v>0</v>
      </c>
      <c r="O174" s="1" t="s">
        <v>956</v>
      </c>
      <c r="P174" s="1" t="s">
        <v>503</v>
      </c>
      <c r="Q174" s="1" t="s">
        <v>488</v>
      </c>
      <c r="R174" s="14">
        <v>43284</v>
      </c>
      <c r="S174" s="1" t="s">
        <v>503</v>
      </c>
      <c r="U174" s="48"/>
    </row>
    <row r="175" spans="1:21" x14ac:dyDescent="0.25">
      <c r="A175" s="1" t="s">
        <v>3676</v>
      </c>
      <c r="B175" s="1">
        <v>2018</v>
      </c>
      <c r="C175" s="2" t="s">
        <v>525</v>
      </c>
      <c r="D175" s="1" t="s">
        <v>25</v>
      </c>
      <c r="E175" s="1" t="s">
        <v>503</v>
      </c>
      <c r="F175" s="1" t="s">
        <v>37</v>
      </c>
      <c r="G175" s="14">
        <v>43284</v>
      </c>
      <c r="H175" s="14" t="s">
        <v>953</v>
      </c>
      <c r="I175" s="2" t="s">
        <v>1347</v>
      </c>
      <c r="J175" s="2" t="s">
        <v>1348</v>
      </c>
      <c r="K175" s="13">
        <v>0.03472222222262644</v>
      </c>
      <c r="L175" s="13">
        <v>0.03472222222262644</v>
      </c>
      <c r="M175" s="13">
        <f>CRF_3[[#This Row],[Time Spent on Configuration]]+CRF_3[[#This Row],[Time Spent on Review/Testing]]</f>
        <v>NaN</v>
      </c>
      <c r="N175" s="1">
        <v>0</v>
      </c>
      <c r="O175" s="1" t="s">
        <v>1314</v>
      </c>
      <c r="P175" s="1" t="s">
        <v>503</v>
      </c>
      <c r="Q175" s="1" t="s">
        <v>488</v>
      </c>
      <c r="R175" s="14">
        <v>43284</v>
      </c>
      <c r="S175" s="1" t="s">
        <v>503</v>
      </c>
      <c r="U175" s="48"/>
    </row>
    <row r="176" ht="45" customHeight="1" spans="1:21" x14ac:dyDescent="0.25">
      <c r="A176" s="1" t="s">
        <v>3676</v>
      </c>
      <c r="B176" s="1">
        <v>2018</v>
      </c>
      <c r="C176" s="2" t="s">
        <v>1041</v>
      </c>
      <c r="D176" s="1" t="s">
        <v>1042</v>
      </c>
      <c r="E176" s="1" t="s">
        <v>503</v>
      </c>
      <c r="F176" s="1" t="s">
        <v>952</v>
      </c>
      <c r="G176" s="14">
        <v>43284</v>
      </c>
      <c r="H176" s="14" t="s">
        <v>255</v>
      </c>
      <c r="I176" s="2" t="s">
        <v>1349</v>
      </c>
      <c r="J176" s="2" t="s">
        <v>4047</v>
      </c>
      <c r="K176" s="13">
        <v>0.010416666667879326</v>
      </c>
      <c r="L176" s="13">
        <v>0.010416666667879326</v>
      </c>
      <c r="M176" s="13">
        <f>CRF_3[[#This Row],[Time Spent on Configuration]]+CRF_3[[#This Row],[Time Spent on Review/Testing]]</f>
        <v>NaN</v>
      </c>
      <c r="N176" s="1">
        <v>0</v>
      </c>
      <c r="O176" s="1" t="s">
        <v>966</v>
      </c>
      <c r="P176" s="1" t="s">
        <v>503</v>
      </c>
      <c r="Q176" s="1" t="s">
        <v>484</v>
      </c>
      <c r="R176" s="14">
        <v>43284</v>
      </c>
      <c r="S176" s="1" t="s">
        <v>503</v>
      </c>
      <c r="U176" s="48"/>
    </row>
    <row r="177" ht="90" customHeight="1" spans="1:21" x14ac:dyDescent="0.25">
      <c r="A177" s="1" t="s">
        <v>3676</v>
      </c>
      <c r="B177" s="1">
        <v>2018</v>
      </c>
      <c r="C177" s="2" t="s">
        <v>1047</v>
      </c>
      <c r="D177" s="1" t="s">
        <v>989</v>
      </c>
      <c r="E177" s="1" t="s">
        <v>503</v>
      </c>
      <c r="F177" s="1" t="s">
        <v>37</v>
      </c>
      <c r="G177" s="14">
        <v>43284</v>
      </c>
      <c r="H177" s="14" t="s">
        <v>28</v>
      </c>
      <c r="I177" s="2" t="s">
        <v>1351</v>
      </c>
      <c r="J177" s="2" t="s">
        <v>4048</v>
      </c>
      <c r="K177" s="13">
        <v>0.2708333333321207</v>
      </c>
      <c r="L177" s="13">
        <v>0.2708333333321207</v>
      </c>
      <c r="M177" s="13">
        <f>CRF_3[[#This Row],[Time Spent on Configuration]]+CRF_3[[#This Row],[Time Spent on Review/Testing]]</f>
        <v>NaN</v>
      </c>
      <c r="N177" s="1">
        <v>0</v>
      </c>
      <c r="O177" s="1" t="s">
        <v>966</v>
      </c>
      <c r="P177" s="1" t="s">
        <v>503</v>
      </c>
      <c r="Q177" s="1" t="s">
        <v>484</v>
      </c>
      <c r="R177" s="14">
        <v>43284</v>
      </c>
      <c r="S177" s="1" t="s">
        <v>503</v>
      </c>
      <c r="U177" s="48"/>
    </row>
    <row r="178" spans="1:21" x14ac:dyDescent="0.25">
      <c r="A178" s="1" t="s">
        <v>3676</v>
      </c>
      <c r="B178" s="1">
        <v>2018</v>
      </c>
      <c r="C178" s="2" t="s">
        <v>228</v>
      </c>
      <c r="D178" s="1" t="s">
        <v>1353</v>
      </c>
      <c r="E178" s="1" t="s">
        <v>503</v>
      </c>
      <c r="F178" s="1" t="s">
        <v>37</v>
      </c>
      <c r="G178" s="14">
        <v>43284</v>
      </c>
      <c r="H178" s="14" t="s">
        <v>953</v>
      </c>
      <c r="I178" s="2" t="s">
        <v>1354</v>
      </c>
      <c r="J178" s="2" t="s">
        <v>1355</v>
      </c>
      <c r="K178" s="13">
        <v>0.010416666667879326</v>
      </c>
      <c r="L178" s="13">
        <v>0.010416666667879326</v>
      </c>
      <c r="M178" s="13">
        <f>CRF_3[[#This Row],[Time Spent on Configuration]]+CRF_3[[#This Row],[Time Spent on Review/Testing]]</f>
        <v>NaN</v>
      </c>
      <c r="N178" s="1">
        <v>0</v>
      </c>
      <c r="O178" s="1" t="s">
        <v>966</v>
      </c>
      <c r="P178" s="1" t="s">
        <v>503</v>
      </c>
      <c r="Q178" s="1" t="s">
        <v>488</v>
      </c>
      <c r="R178" s="14">
        <v>43284</v>
      </c>
      <c r="S178" s="1" t="s">
        <v>503</v>
      </c>
      <c r="U178" s="48"/>
    </row>
    <row r="179" ht="30" customHeight="1" spans="1:21" x14ac:dyDescent="0.25">
      <c r="A179" s="1" t="s">
        <v>3676</v>
      </c>
      <c r="B179" s="1">
        <v>2018</v>
      </c>
      <c r="C179" s="2" t="s">
        <v>1212</v>
      </c>
      <c r="D179" s="1" t="s">
        <v>25</v>
      </c>
      <c r="E179" s="1" t="s">
        <v>503</v>
      </c>
      <c r="F179" s="1" t="s">
        <v>27</v>
      </c>
      <c r="G179" s="14">
        <v>43284</v>
      </c>
      <c r="H179" s="14" t="s">
        <v>28</v>
      </c>
      <c r="I179" s="2" t="s">
        <v>4049</v>
      </c>
      <c r="J179" s="2" t="s">
        <v>1357</v>
      </c>
      <c r="K179" s="13">
        <v>0.052083333332120674</v>
      </c>
      <c r="L179" s="13">
        <v>0.052083333332120674</v>
      </c>
      <c r="M179" s="13">
        <f>CRF_3[[#This Row],[Time Spent on Configuration]]+CRF_3[[#This Row],[Time Spent on Review/Testing]]</f>
        <v>NaN</v>
      </c>
      <c r="N179" s="1">
        <v>0</v>
      </c>
      <c r="O179" s="1" t="s">
        <v>966</v>
      </c>
      <c r="P179" s="1" t="s">
        <v>503</v>
      </c>
      <c r="Q179" s="1" t="s">
        <v>484</v>
      </c>
      <c r="R179" s="14">
        <v>43284</v>
      </c>
      <c r="S179" s="1" t="s">
        <v>503</v>
      </c>
      <c r="U179" s="48"/>
    </row>
    <row r="180" spans="1:21" x14ac:dyDescent="0.25">
      <c r="A180" s="1" t="s">
        <v>3676</v>
      </c>
      <c r="B180" s="1">
        <v>2018</v>
      </c>
      <c r="C180" s="2" t="s">
        <v>1358</v>
      </c>
      <c r="D180" s="1" t="s">
        <v>1359</v>
      </c>
      <c r="E180" s="1" t="s">
        <v>503</v>
      </c>
      <c r="F180" s="1" t="s">
        <v>27</v>
      </c>
      <c r="G180" s="14">
        <v>43284</v>
      </c>
      <c r="H180" s="14" t="s">
        <v>28</v>
      </c>
      <c r="I180" s="2" t="s">
        <v>1360</v>
      </c>
      <c r="J180" s="2" t="s">
        <v>1361</v>
      </c>
      <c r="K180" s="13">
        <v>0.046875</v>
      </c>
      <c r="L180" s="13">
        <v>0.046875</v>
      </c>
      <c r="M180" s="13">
        <f>CRF_3[[#This Row],[Time Spent on Configuration]]+CRF_3[[#This Row],[Time Spent on Review/Testing]]</f>
        <v>NaN</v>
      </c>
      <c r="N180" s="1">
        <v>0</v>
      </c>
      <c r="O180" s="1" t="s">
        <v>956</v>
      </c>
      <c r="P180" s="1" t="s">
        <v>503</v>
      </c>
      <c r="Q180" s="1" t="s">
        <v>488</v>
      </c>
      <c r="R180" s="14">
        <v>43284</v>
      </c>
      <c r="S180" s="1" t="s">
        <v>503</v>
      </c>
      <c r="U180" s="48"/>
    </row>
    <row r="181" ht="30" customHeight="1" spans="1:21" x14ac:dyDescent="0.25">
      <c r="A181" s="1" t="s">
        <v>3676</v>
      </c>
      <c r="B181" s="1">
        <v>2018</v>
      </c>
      <c r="C181" s="2" t="s">
        <v>113</v>
      </c>
      <c r="D181" s="1" t="s">
        <v>25</v>
      </c>
      <c r="E181" s="1" t="s">
        <v>503</v>
      </c>
      <c r="F181" s="1" t="s">
        <v>37</v>
      </c>
      <c r="G181" s="14">
        <v>43285</v>
      </c>
      <c r="H181" s="14" t="s">
        <v>28</v>
      </c>
      <c r="I181" s="2" t="s">
        <v>1362</v>
      </c>
      <c r="J181" s="2" t="s">
        <v>1363</v>
      </c>
      <c r="K181" s="13">
        <v>0.07291666666787933</v>
      </c>
      <c r="L181" s="13">
        <v>0.07291666666787933</v>
      </c>
      <c r="M181" s="13">
        <f>CRF_3[[#This Row],[Time Spent on Configuration]]+CRF_3[[#This Row],[Time Spent on Review/Testing]]</f>
        <v>NaN</v>
      </c>
      <c r="N181" s="1">
        <v>0</v>
      </c>
      <c r="O181" s="1" t="s">
        <v>956</v>
      </c>
      <c r="P181" s="1" t="s">
        <v>503</v>
      </c>
      <c r="Q181" s="1" t="s">
        <v>488</v>
      </c>
      <c r="R181" s="14">
        <v>43285</v>
      </c>
      <c r="S181" s="1" t="s">
        <v>503</v>
      </c>
      <c r="U181" s="48"/>
    </row>
    <row r="182" spans="1:21" x14ac:dyDescent="0.25">
      <c r="A182" s="1" t="s">
        <v>3676</v>
      </c>
      <c r="B182" s="1">
        <v>2018</v>
      </c>
      <c r="C182" s="2" t="s">
        <v>525</v>
      </c>
      <c r="D182" s="1" t="s">
        <v>25</v>
      </c>
      <c r="E182" s="1" t="s">
        <v>503</v>
      </c>
      <c r="F182" s="1" t="s">
        <v>27</v>
      </c>
      <c r="G182" s="14">
        <v>43285</v>
      </c>
      <c r="H182" s="14" t="s">
        <v>38</v>
      </c>
      <c r="I182" s="2" t="s">
        <v>1364</v>
      </c>
      <c r="J182" s="2" t="s">
        <v>1365</v>
      </c>
      <c r="K182" s="13">
        <v>0.041666666667879326</v>
      </c>
      <c r="L182" s="13">
        <v>0.041666666667879326</v>
      </c>
      <c r="M182" s="13">
        <f>CRF_3[[#This Row],[Time Spent on Configuration]]+CRF_3[[#This Row],[Time Spent on Review/Testing]]</f>
        <v>NaN</v>
      </c>
      <c r="N182" s="1">
        <v>0</v>
      </c>
      <c r="O182" s="1" t="s">
        <v>1001</v>
      </c>
      <c r="P182" s="1" t="s">
        <v>503</v>
      </c>
      <c r="Q182" s="1" t="s">
        <v>488</v>
      </c>
      <c r="R182" s="14">
        <v>43285</v>
      </c>
      <c r="S182" s="1" t="s">
        <v>503</v>
      </c>
      <c r="U182" s="48"/>
    </row>
    <row r="183" ht="30" customHeight="1" spans="1:21" x14ac:dyDescent="0.25">
      <c r="A183" s="1" t="s">
        <v>3676</v>
      </c>
      <c r="B183" s="1">
        <v>2018</v>
      </c>
      <c r="C183" s="2" t="s">
        <v>1212</v>
      </c>
      <c r="D183" s="1" t="s">
        <v>25</v>
      </c>
      <c r="E183" s="1" t="s">
        <v>503</v>
      </c>
      <c r="F183" s="1" t="s">
        <v>27</v>
      </c>
      <c r="G183" s="14">
        <v>43286</v>
      </c>
      <c r="H183" s="14" t="s">
        <v>28</v>
      </c>
      <c r="I183" s="2" t="s">
        <v>1366</v>
      </c>
      <c r="J183" s="2" t="s">
        <v>1367</v>
      </c>
      <c r="K183" s="13">
        <v>0.052083333332120674</v>
      </c>
      <c r="L183" s="13">
        <v>0.052083333332120674</v>
      </c>
      <c r="M183" s="13">
        <f>CRF_3[[#This Row],[Time Spent on Configuration]]+CRF_3[[#This Row],[Time Spent on Review/Testing]]</f>
        <v>NaN</v>
      </c>
      <c r="N183" s="1">
        <v>0</v>
      </c>
      <c r="O183" s="1" t="s">
        <v>956</v>
      </c>
      <c r="P183" s="1" t="s">
        <v>503</v>
      </c>
      <c r="Q183" s="1" t="s">
        <v>484</v>
      </c>
      <c r="R183" s="14">
        <v>43286</v>
      </c>
      <c r="S183" s="1" t="s">
        <v>503</v>
      </c>
      <c r="U183" s="48"/>
    </row>
    <row r="184" spans="1:21" x14ac:dyDescent="0.25">
      <c r="A184" s="1" t="s">
        <v>3676</v>
      </c>
      <c r="B184" s="1">
        <v>2018</v>
      </c>
      <c r="C184" s="2" t="s">
        <v>1204</v>
      </c>
      <c r="D184" s="1" t="s">
        <v>951</v>
      </c>
      <c r="E184" s="1" t="s">
        <v>503</v>
      </c>
      <c r="F184" s="1" t="s">
        <v>952</v>
      </c>
      <c r="G184" s="14">
        <v>43286</v>
      </c>
      <c r="H184" s="14" t="s">
        <v>1368</v>
      </c>
      <c r="I184" s="2" t="s">
        <v>1369</v>
      </c>
      <c r="J184" s="2" t="s">
        <v>1370</v>
      </c>
      <c r="K184" s="13">
        <v>0.18923611110949423</v>
      </c>
      <c r="L184" s="13">
        <v>0.18923611110949423</v>
      </c>
      <c r="M184" s="13">
        <f>CRF_3[[#This Row],[Time Spent on Configuration]]+CRF_3[[#This Row],[Time Spent on Review/Testing]]</f>
        <v>NaN</v>
      </c>
      <c r="N184" s="1">
        <v>0</v>
      </c>
      <c r="O184" s="1" t="s">
        <v>956</v>
      </c>
      <c r="P184" s="1" t="s">
        <v>503</v>
      </c>
      <c r="Q184" s="1" t="s">
        <v>117</v>
      </c>
      <c r="R184" s="14">
        <v>43292</v>
      </c>
      <c r="S184" s="1" t="s">
        <v>503</v>
      </c>
      <c r="U184" s="48"/>
    </row>
    <row r="185" ht="30" customHeight="1" spans="1:21" x14ac:dyDescent="0.25">
      <c r="A185" s="1" t="s">
        <v>3676</v>
      </c>
      <c r="B185" s="1">
        <v>2018</v>
      </c>
      <c r="C185" s="2" t="s">
        <v>1201</v>
      </c>
      <c r="D185" s="1" t="s">
        <v>1112</v>
      </c>
      <c r="E185" s="1" t="s">
        <v>503</v>
      </c>
      <c r="F185" s="1" t="s">
        <v>37</v>
      </c>
      <c r="G185" s="14">
        <v>43292</v>
      </c>
      <c r="H185" s="14" t="s">
        <v>50</v>
      </c>
      <c r="I185" s="2" t="s">
        <v>1371</v>
      </c>
      <c r="J185" s="2" t="s">
        <v>1372</v>
      </c>
      <c r="K185" s="13">
        <v>0.041666666667879326</v>
      </c>
      <c r="L185" s="13">
        <v>0.041666666667879326</v>
      </c>
      <c r="M185" s="13">
        <f>CRF_3[[#This Row],[Time Spent on Configuration]]+CRF_3[[#This Row],[Time Spent on Review/Testing]]</f>
        <v>NaN</v>
      </c>
      <c r="N185" s="1">
        <v>0</v>
      </c>
      <c r="O185" s="1" t="s">
        <v>956</v>
      </c>
      <c r="P185" s="1" t="s">
        <v>503</v>
      </c>
      <c r="Q185" s="1" t="s">
        <v>977</v>
      </c>
      <c r="R185" s="14">
        <v>43292</v>
      </c>
      <c r="S185" s="1" t="s">
        <v>503</v>
      </c>
      <c r="U185" s="48"/>
    </row>
    <row r="186" spans="1:21" x14ac:dyDescent="0.25">
      <c r="A186" s="1" t="s">
        <v>3676</v>
      </c>
      <c r="B186" s="1">
        <v>2018</v>
      </c>
      <c r="C186" s="2" t="s">
        <v>1222</v>
      </c>
      <c r="D186" s="1" t="s">
        <v>541</v>
      </c>
      <c r="E186" s="1" t="s">
        <v>503</v>
      </c>
      <c r="F186" s="1" t="s">
        <v>27</v>
      </c>
      <c r="G186" s="14">
        <v>43294</v>
      </c>
      <c r="H186" s="14" t="s">
        <v>255</v>
      </c>
      <c r="I186" s="2" t="s">
        <v>1373</v>
      </c>
      <c r="J186" s="2" t="s">
        <v>1374</v>
      </c>
      <c r="K186" s="13">
        <v>0.020833333332120674</v>
      </c>
      <c r="L186" s="13">
        <v>0.020833333332120674</v>
      </c>
      <c r="M186" s="13">
        <f>CRF_3[[#This Row],[Time Spent on Configuration]]+CRF_3[[#This Row],[Time Spent on Review/Testing]]</f>
        <v>NaN</v>
      </c>
      <c r="N186" s="1">
        <v>0</v>
      </c>
      <c r="O186" s="1" t="s">
        <v>966</v>
      </c>
      <c r="P186" s="1" t="s">
        <v>503</v>
      </c>
      <c r="Q186" s="1" t="s">
        <v>488</v>
      </c>
      <c r="R186" s="14">
        <v>43294</v>
      </c>
      <c r="S186" s="1" t="s">
        <v>503</v>
      </c>
      <c r="U186" s="48"/>
    </row>
    <row r="187" ht="30" customHeight="1" spans="1:21" x14ac:dyDescent="0.25">
      <c r="A187" s="1" t="s">
        <v>3676</v>
      </c>
      <c r="B187" s="1">
        <v>2018</v>
      </c>
      <c r="C187" s="2" t="s">
        <v>288</v>
      </c>
      <c r="D187" s="1" t="s">
        <v>25</v>
      </c>
      <c r="E187" s="1" t="s">
        <v>503</v>
      </c>
      <c r="F187" s="1" t="s">
        <v>952</v>
      </c>
      <c r="G187" s="14">
        <v>43294</v>
      </c>
      <c r="H187" s="14" t="s">
        <v>255</v>
      </c>
      <c r="I187" s="2" t="s">
        <v>1375</v>
      </c>
      <c r="J187" s="2" t="s">
        <v>1376</v>
      </c>
      <c r="K187" s="13">
        <v>0.026041666667879326</v>
      </c>
      <c r="L187" s="13">
        <v>0.026041666667879326</v>
      </c>
      <c r="M187" s="13">
        <f>CRF_3[[#This Row],[Time Spent on Configuration]]+CRF_3[[#This Row],[Time Spent on Review/Testing]]</f>
        <v>NaN</v>
      </c>
      <c r="N187" s="1">
        <v>0</v>
      </c>
      <c r="O187" s="1" t="s">
        <v>956</v>
      </c>
      <c r="P187" s="1" t="s">
        <v>503</v>
      </c>
      <c r="Q187" s="1" t="s">
        <v>977</v>
      </c>
      <c r="R187" s="14">
        <v>43294</v>
      </c>
      <c r="S187" s="1" t="s">
        <v>503</v>
      </c>
      <c r="U187" s="48"/>
    </row>
    <row r="188" ht="30" customHeight="1" spans="1:21" x14ac:dyDescent="0.25">
      <c r="A188" s="1" t="s">
        <v>3676</v>
      </c>
      <c r="B188" s="1">
        <v>2018</v>
      </c>
      <c r="C188" s="2" t="s">
        <v>1012</v>
      </c>
      <c r="D188" s="1" t="s">
        <v>25</v>
      </c>
      <c r="E188" s="1" t="s">
        <v>503</v>
      </c>
      <c r="F188" s="1" t="s">
        <v>952</v>
      </c>
      <c r="G188" s="14">
        <v>43294</v>
      </c>
      <c r="H188" s="14" t="s">
        <v>255</v>
      </c>
      <c r="I188" s="2" t="s">
        <v>1375</v>
      </c>
      <c r="J188" s="2" t="s">
        <v>1376</v>
      </c>
      <c r="K188" s="13">
        <v>0.026041666667879326</v>
      </c>
      <c r="L188" s="13">
        <v>0.026041666667879326</v>
      </c>
      <c r="M188" s="13">
        <f>CRF_3[[#This Row],[Time Spent on Configuration]]+CRF_3[[#This Row],[Time Spent on Review/Testing]]</f>
        <v>NaN</v>
      </c>
      <c r="N188" s="1">
        <v>0</v>
      </c>
      <c r="O188" s="1" t="s">
        <v>956</v>
      </c>
      <c r="P188" s="1" t="s">
        <v>503</v>
      </c>
      <c r="Q188" s="1" t="s">
        <v>977</v>
      </c>
      <c r="R188" s="14">
        <v>43294</v>
      </c>
      <c r="S188" s="1" t="s">
        <v>503</v>
      </c>
      <c r="U188" s="48"/>
    </row>
    <row r="189" ht="30" customHeight="1" spans="1:21" x14ac:dyDescent="0.25">
      <c r="A189" s="1" t="s">
        <v>3676</v>
      </c>
      <c r="B189" s="1">
        <v>2018</v>
      </c>
      <c r="C189" s="2" t="s">
        <v>1212</v>
      </c>
      <c r="D189" s="1" t="s">
        <v>25</v>
      </c>
      <c r="E189" s="1" t="s">
        <v>503</v>
      </c>
      <c r="F189" s="1" t="s">
        <v>952</v>
      </c>
      <c r="G189" s="14">
        <v>43294</v>
      </c>
      <c r="H189" s="14" t="s">
        <v>255</v>
      </c>
      <c r="I189" s="2" t="s">
        <v>1375</v>
      </c>
      <c r="J189" s="2" t="s">
        <v>1376</v>
      </c>
      <c r="K189" s="13">
        <v>0.026041666667879326</v>
      </c>
      <c r="L189" s="13">
        <v>0.026041666667879326</v>
      </c>
      <c r="M189" s="13">
        <f>CRF_3[[#This Row],[Time Spent on Configuration]]+CRF_3[[#This Row],[Time Spent on Review/Testing]]</f>
        <v>NaN</v>
      </c>
      <c r="N189" s="1">
        <v>0</v>
      </c>
      <c r="O189" s="1" t="s">
        <v>956</v>
      </c>
      <c r="P189" s="1" t="s">
        <v>503</v>
      </c>
      <c r="Q189" s="1" t="s">
        <v>977</v>
      </c>
      <c r="R189" s="14">
        <v>43294</v>
      </c>
      <c r="S189" s="1" t="s">
        <v>503</v>
      </c>
      <c r="U189" s="48"/>
    </row>
    <row r="190" spans="1:21" x14ac:dyDescent="0.25">
      <c r="A190" s="51" t="s">
        <v>3676</v>
      </c>
      <c r="B190" s="1">
        <v>2018</v>
      </c>
      <c r="C190" s="2" t="s">
        <v>950</v>
      </c>
      <c r="D190" s="1" t="s">
        <v>951</v>
      </c>
      <c r="E190" s="1" t="s">
        <v>503</v>
      </c>
      <c r="F190" s="1" t="s">
        <v>952</v>
      </c>
      <c r="G190" s="14">
        <v>43294</v>
      </c>
      <c r="H190" s="14" t="s">
        <v>255</v>
      </c>
      <c r="I190" s="2" t="s">
        <v>1375</v>
      </c>
      <c r="J190" s="2" t="s">
        <v>1376</v>
      </c>
      <c r="K190" s="13">
        <v>0.026041666667879326</v>
      </c>
      <c r="L190" s="13">
        <v>0.026041666667879326</v>
      </c>
      <c r="M190" s="13">
        <f>CRF_3[[#This Row],[Time Spent on Configuration]]+CRF_3[[#This Row],[Time Spent on Review/Testing]]</f>
        <v>NaN</v>
      </c>
      <c r="N190" s="1">
        <v>0</v>
      </c>
      <c r="O190" s="1" t="s">
        <v>956</v>
      </c>
      <c r="P190" s="1" t="s">
        <v>503</v>
      </c>
      <c r="Q190" s="1" t="s">
        <v>977</v>
      </c>
      <c r="R190" s="14">
        <v>43294</v>
      </c>
      <c r="S190" s="1" t="s">
        <v>503</v>
      </c>
      <c r="U190" s="48"/>
    </row>
    <row r="191" ht="60" customHeight="1" spans="1:21" x14ac:dyDescent="0.25">
      <c r="A191" s="1" t="s">
        <v>3676</v>
      </c>
      <c r="B191" s="1">
        <v>2018</v>
      </c>
      <c r="C191" s="2" t="s">
        <v>228</v>
      </c>
      <c r="D191" s="1" t="s">
        <v>1353</v>
      </c>
      <c r="E191" s="1" t="s">
        <v>503</v>
      </c>
      <c r="F191" s="1" t="s">
        <v>27</v>
      </c>
      <c r="G191" s="14">
        <v>43295</v>
      </c>
      <c r="H191" s="14" t="s">
        <v>28</v>
      </c>
      <c r="I191" s="2" t="s">
        <v>1377</v>
      </c>
      <c r="J191" s="2" t="s">
        <v>4050</v>
      </c>
      <c r="K191" s="13">
        <v>0.15625</v>
      </c>
      <c r="L191" s="13">
        <v>0.15625</v>
      </c>
      <c r="M191" s="13">
        <f>CRF_3[[#This Row],[Time Spent on Configuration]]+CRF_3[[#This Row],[Time Spent on Review/Testing]]</f>
        <v>NaN</v>
      </c>
      <c r="N191" s="1">
        <v>0</v>
      </c>
      <c r="O191" s="1" t="s">
        <v>966</v>
      </c>
      <c r="P191" s="1" t="s">
        <v>503</v>
      </c>
      <c r="Q191" s="1" t="s">
        <v>488</v>
      </c>
      <c r="R191" s="14">
        <v>43295</v>
      </c>
      <c r="S191" s="1" t="s">
        <v>503</v>
      </c>
      <c r="U191" s="48"/>
    </row>
    <row r="192" spans="1:21" x14ac:dyDescent="0.25">
      <c r="A192" s="1" t="s">
        <v>3676</v>
      </c>
      <c r="B192" s="1">
        <v>2018</v>
      </c>
      <c r="C192" s="2" t="s">
        <v>1204</v>
      </c>
      <c r="D192" s="1" t="s">
        <v>951</v>
      </c>
      <c r="E192" s="1" t="s">
        <v>503</v>
      </c>
      <c r="F192" s="1" t="s">
        <v>952</v>
      </c>
      <c r="G192" s="14">
        <v>43295</v>
      </c>
      <c r="H192" s="14" t="s">
        <v>953</v>
      </c>
      <c r="I192" s="2" t="s">
        <v>1379</v>
      </c>
      <c r="J192" s="2" t="s">
        <v>4051</v>
      </c>
      <c r="K192" s="13">
        <v>0.03125</v>
      </c>
      <c r="L192" s="13">
        <v>0.03125</v>
      </c>
      <c r="M192" s="13">
        <f>CRF_3[[#This Row],[Time Spent on Configuration]]+CRF_3[[#This Row],[Time Spent on Review/Testing]]</f>
        <v>NaN</v>
      </c>
      <c r="N192" s="1">
        <v>0</v>
      </c>
      <c r="O192" s="1" t="s">
        <v>956</v>
      </c>
      <c r="P192" s="1" t="s">
        <v>503</v>
      </c>
      <c r="Q192" s="1" t="s">
        <v>117</v>
      </c>
      <c r="R192" s="14">
        <v>43295</v>
      </c>
      <c r="S192" s="1" t="s">
        <v>503</v>
      </c>
      <c r="U192" s="48"/>
    </row>
    <row r="193" spans="1:21" x14ac:dyDescent="0.25">
      <c r="A193" s="1" t="s">
        <v>3676</v>
      </c>
      <c r="B193" s="1">
        <v>2018</v>
      </c>
      <c r="C193" s="2" t="s">
        <v>1155</v>
      </c>
      <c r="D193" s="1" t="s">
        <v>25</v>
      </c>
      <c r="E193" s="1" t="s">
        <v>503</v>
      </c>
      <c r="F193" s="1" t="s">
        <v>952</v>
      </c>
      <c r="G193" s="14">
        <v>43306</v>
      </c>
      <c r="H193" s="14" t="s">
        <v>255</v>
      </c>
      <c r="I193" s="2" t="s">
        <v>4052</v>
      </c>
      <c r="J193" s="2" t="s">
        <v>1382</v>
      </c>
      <c r="K193" s="13">
        <v>0.08333333333212067</v>
      </c>
      <c r="L193" s="13">
        <v>0.08333333333212067</v>
      </c>
      <c r="M193" s="13">
        <f>CRF_3[[#This Row],[Time Spent on Configuration]]+CRF_3[[#This Row],[Time Spent on Review/Testing]]</f>
        <v>NaN</v>
      </c>
      <c r="N193" s="1">
        <v>0</v>
      </c>
      <c r="O193" s="1" t="s">
        <v>956</v>
      </c>
      <c r="P193" s="1" t="s">
        <v>503</v>
      </c>
      <c r="Q193" s="1" t="s">
        <v>977</v>
      </c>
      <c r="R193" s="14">
        <v>43306</v>
      </c>
      <c r="S193" s="1" t="s">
        <v>503</v>
      </c>
      <c r="U193" s="48"/>
    </row>
    <row r="194" ht="30" customHeight="1" spans="1:21" x14ac:dyDescent="0.25">
      <c r="A194" s="1" t="s">
        <v>3676</v>
      </c>
      <c r="B194" s="1">
        <v>2018</v>
      </c>
      <c r="C194" s="2" t="s">
        <v>1041</v>
      </c>
      <c r="D194" s="1" t="s">
        <v>1042</v>
      </c>
      <c r="E194" s="1" t="s">
        <v>503</v>
      </c>
      <c r="F194" s="1" t="s">
        <v>27</v>
      </c>
      <c r="G194" s="14">
        <v>43307</v>
      </c>
      <c r="H194" s="14" t="s">
        <v>953</v>
      </c>
      <c r="I194" s="2" t="s">
        <v>1383</v>
      </c>
      <c r="J194" s="2" t="s">
        <v>4053</v>
      </c>
      <c r="K194" s="13">
        <v>0.020833333332120674</v>
      </c>
      <c r="L194" s="13">
        <v>0.020833333332120674</v>
      </c>
      <c r="M194" s="13">
        <f>CRF_3[[#This Row],[Time Spent on Configuration]]+CRF_3[[#This Row],[Time Spent on Review/Testing]]</f>
        <v>NaN</v>
      </c>
      <c r="N194" s="1">
        <v>0</v>
      </c>
      <c r="O194" s="1" t="s">
        <v>966</v>
      </c>
      <c r="P194" s="1" t="s">
        <v>503</v>
      </c>
      <c r="Q194" s="1" t="s">
        <v>484</v>
      </c>
      <c r="R194" s="14">
        <v>43307</v>
      </c>
      <c r="S194" s="1" t="s">
        <v>503</v>
      </c>
      <c r="U194" s="48"/>
    </row>
    <row r="195" spans="1:21" x14ac:dyDescent="0.25">
      <c r="A195" s="1" t="s">
        <v>3676</v>
      </c>
      <c r="B195" s="1">
        <v>2018</v>
      </c>
      <c r="C195" s="2" t="s">
        <v>199</v>
      </c>
      <c r="D195" s="1" t="s">
        <v>541</v>
      </c>
      <c r="E195" s="1" t="s">
        <v>503</v>
      </c>
      <c r="F195" s="1" t="s">
        <v>27</v>
      </c>
      <c r="G195" s="14">
        <v>43307</v>
      </c>
      <c r="H195" s="14" t="s">
        <v>670</v>
      </c>
      <c r="I195" s="2" t="s">
        <v>1385</v>
      </c>
      <c r="J195" s="2" t="s">
        <v>1386</v>
      </c>
      <c r="K195" s="13">
        <v>0.03125</v>
      </c>
      <c r="L195" s="13">
        <v>0.03125</v>
      </c>
      <c r="M195" s="13">
        <f>CRF_3[[#This Row],[Time Spent on Configuration]]+CRF_3[[#This Row],[Time Spent on Review/Testing]]</f>
        <v>NaN</v>
      </c>
      <c r="N195" s="1">
        <v>0</v>
      </c>
      <c r="O195" s="1" t="s">
        <v>956</v>
      </c>
      <c r="P195" s="1" t="s">
        <v>503</v>
      </c>
      <c r="Q195" s="1" t="s">
        <v>488</v>
      </c>
      <c r="R195" s="14">
        <v>43307</v>
      </c>
      <c r="S195" s="1" t="s">
        <v>503</v>
      </c>
      <c r="U195" s="48"/>
    </row>
    <row r="196" spans="1:21" x14ac:dyDescent="0.25">
      <c r="A196" s="1" t="s">
        <v>3676</v>
      </c>
      <c r="B196" s="1">
        <v>2018</v>
      </c>
      <c r="C196" s="2" t="s">
        <v>962</v>
      </c>
      <c r="D196" s="1" t="s">
        <v>963</v>
      </c>
      <c r="E196" s="1" t="s">
        <v>503</v>
      </c>
      <c r="F196" s="1" t="s">
        <v>37</v>
      </c>
      <c r="G196" s="14">
        <v>43309</v>
      </c>
      <c r="H196" s="14" t="s">
        <v>953</v>
      </c>
      <c r="I196" s="2" t="s">
        <v>4054</v>
      </c>
      <c r="J196" s="2" t="s">
        <v>1388</v>
      </c>
      <c r="K196" s="13">
        <v>0.010416666667879326</v>
      </c>
      <c r="L196" s="13">
        <v>0.010416666667879326</v>
      </c>
      <c r="M196" s="13">
        <f>CRF_3[[#This Row],[Time Spent on Configuration]]+CRF_3[[#This Row],[Time Spent on Review/Testing]]</f>
        <v>NaN</v>
      </c>
      <c r="N196" s="1">
        <v>0</v>
      </c>
      <c r="O196" s="1" t="s">
        <v>1314</v>
      </c>
      <c r="P196" s="1" t="s">
        <v>503</v>
      </c>
      <c r="Q196" s="1" t="s">
        <v>484</v>
      </c>
      <c r="R196" s="14">
        <v>43309</v>
      </c>
      <c r="S196" s="1" t="s">
        <v>503</v>
      </c>
      <c r="U196" s="48"/>
    </row>
    <row r="197" ht="60" customHeight="1" spans="1:21" x14ac:dyDescent="0.25">
      <c r="A197" s="1" t="s">
        <v>3676</v>
      </c>
      <c r="B197" s="1">
        <v>2018</v>
      </c>
      <c r="C197" s="2" t="s">
        <v>1111</v>
      </c>
      <c r="D197" s="1" t="s">
        <v>1112</v>
      </c>
      <c r="E197" s="1" t="s">
        <v>503</v>
      </c>
      <c r="F197" s="1" t="s">
        <v>37</v>
      </c>
      <c r="G197" s="14">
        <v>43312</v>
      </c>
      <c r="H197" s="14" t="s">
        <v>28</v>
      </c>
      <c r="I197" s="2" t="s">
        <v>1389</v>
      </c>
      <c r="J197" s="2" t="s">
        <v>4055</v>
      </c>
      <c r="K197" s="13">
        <v>0.08333333333212067</v>
      </c>
      <c r="L197" s="13">
        <v>0.08333333333212067</v>
      </c>
      <c r="M197" s="13">
        <f>CRF_3[[#This Row],[Time Spent on Configuration]]+CRF_3[[#This Row],[Time Spent on Review/Testing]]</f>
        <v>NaN</v>
      </c>
      <c r="N197" s="1">
        <v>0</v>
      </c>
      <c r="O197" s="1" t="s">
        <v>1001</v>
      </c>
      <c r="P197" s="1" t="s">
        <v>503</v>
      </c>
      <c r="Q197" s="1" t="s">
        <v>977</v>
      </c>
      <c r="R197" s="14">
        <v>43312</v>
      </c>
      <c r="S197" s="1" t="s">
        <v>503</v>
      </c>
      <c r="U197" s="48"/>
    </row>
    <row r="198" ht="30" customHeight="1" spans="1:21" x14ac:dyDescent="0.25">
      <c r="A198" s="1" t="s">
        <v>3676</v>
      </c>
      <c r="B198" s="1">
        <v>2018</v>
      </c>
      <c r="C198" s="2" t="s">
        <v>1391</v>
      </c>
      <c r="D198" s="1" t="s">
        <v>1112</v>
      </c>
      <c r="E198" s="1" t="s">
        <v>503</v>
      </c>
      <c r="F198" s="1" t="s">
        <v>37</v>
      </c>
      <c r="G198" s="14">
        <v>43312</v>
      </c>
      <c r="H198" s="14" t="s">
        <v>28</v>
      </c>
      <c r="I198" s="2" t="s">
        <v>1392</v>
      </c>
      <c r="J198" s="2" t="s">
        <v>1393</v>
      </c>
      <c r="K198" s="13">
        <v>0.03125</v>
      </c>
      <c r="L198" s="13">
        <v>0.03125</v>
      </c>
      <c r="M198" s="13">
        <f>CRF_3[[#This Row],[Time Spent on Configuration]]+CRF_3[[#This Row],[Time Spent on Review/Testing]]</f>
        <v>NaN</v>
      </c>
      <c r="N198" s="1">
        <v>0</v>
      </c>
      <c r="O198" s="1" t="s">
        <v>1001</v>
      </c>
      <c r="P198" s="1" t="s">
        <v>503</v>
      </c>
      <c r="Q198" s="1" t="s">
        <v>977</v>
      </c>
      <c r="R198" s="14">
        <v>43312</v>
      </c>
      <c r="S198" s="1" t="s">
        <v>503</v>
      </c>
      <c r="U198" s="48"/>
    </row>
    <row r="199" spans="1:21" x14ac:dyDescent="0.25">
      <c r="A199" s="1" t="s">
        <v>3690</v>
      </c>
      <c r="B199" s="1">
        <v>2018</v>
      </c>
      <c r="C199" s="2" t="s">
        <v>1047</v>
      </c>
      <c r="D199" s="1" t="s">
        <v>989</v>
      </c>
      <c r="E199" s="1" t="s">
        <v>503</v>
      </c>
      <c r="F199" s="1" t="s">
        <v>37</v>
      </c>
      <c r="G199" s="14">
        <v>43313</v>
      </c>
      <c r="H199" s="14" t="s">
        <v>28</v>
      </c>
      <c r="I199" s="2" t="s">
        <v>1395</v>
      </c>
      <c r="J199" s="2" t="s">
        <v>4056</v>
      </c>
      <c r="K199" s="13">
        <v>0.015625</v>
      </c>
      <c r="L199" s="13">
        <v>0.015625</v>
      </c>
      <c r="M199" s="13">
        <f>CRF_3[[#This Row],[Time Spent on Configuration]]+CRF_3[[#This Row],[Time Spent on Review/Testing]]</f>
        <v>NaN</v>
      </c>
      <c r="N199" s="1">
        <v>0</v>
      </c>
      <c r="O199" s="1" t="s">
        <v>966</v>
      </c>
      <c r="P199" s="1" t="s">
        <v>503</v>
      </c>
      <c r="Q199" s="1" t="s">
        <v>484</v>
      </c>
      <c r="R199" s="14">
        <v>43313</v>
      </c>
      <c r="S199" s="1" t="s">
        <v>503</v>
      </c>
      <c r="U199" s="48"/>
    </row>
    <row r="200" spans="1:21" x14ac:dyDescent="0.25">
      <c r="A200" s="1" t="s">
        <v>3690</v>
      </c>
      <c r="B200" s="1">
        <v>2018</v>
      </c>
      <c r="C200" s="2" t="s">
        <v>1041</v>
      </c>
      <c r="D200" s="1" t="s">
        <v>1042</v>
      </c>
      <c r="E200" s="1" t="s">
        <v>503</v>
      </c>
      <c r="F200" s="1" t="s">
        <v>27</v>
      </c>
      <c r="G200" s="14">
        <v>43314</v>
      </c>
      <c r="H200" s="14" t="s">
        <v>255</v>
      </c>
      <c r="I200" s="2" t="s">
        <v>4057</v>
      </c>
      <c r="J200" s="2" t="s">
        <v>4058</v>
      </c>
      <c r="K200" s="13">
        <v>0.07291666666787933</v>
      </c>
      <c r="L200" s="13">
        <v>0.07291666666787933</v>
      </c>
      <c r="M200" s="13">
        <f>CRF_3[[#This Row],[Time Spent on Configuration]]+CRF_3[[#This Row],[Time Spent on Review/Testing]]</f>
        <v>NaN</v>
      </c>
      <c r="N200" s="1">
        <v>0</v>
      </c>
      <c r="O200" s="1" t="s">
        <v>966</v>
      </c>
      <c r="P200" s="1" t="s">
        <v>503</v>
      </c>
      <c r="Q200" s="1" t="s">
        <v>484</v>
      </c>
      <c r="R200" s="14">
        <v>43314</v>
      </c>
      <c r="S200" s="1" t="s">
        <v>503</v>
      </c>
      <c r="U200" s="48"/>
    </row>
    <row r="201" ht="30" customHeight="1" spans="1:21" x14ac:dyDescent="0.25">
      <c r="A201" s="1" t="s">
        <v>3690</v>
      </c>
      <c r="B201" s="1">
        <v>2018</v>
      </c>
      <c r="C201" s="2" t="s">
        <v>113</v>
      </c>
      <c r="D201" s="1" t="s">
        <v>25</v>
      </c>
      <c r="E201" s="1" t="s">
        <v>503</v>
      </c>
      <c r="F201" s="1" t="s">
        <v>27</v>
      </c>
      <c r="G201" s="14">
        <v>43315</v>
      </c>
      <c r="H201" s="14" t="s">
        <v>50</v>
      </c>
      <c r="I201" s="2" t="s">
        <v>1399</v>
      </c>
      <c r="J201" s="2" t="s">
        <v>1400</v>
      </c>
      <c r="K201" s="13">
        <v>0.020833333332120674</v>
      </c>
      <c r="L201" s="13">
        <v>0.020833333332120674</v>
      </c>
      <c r="M201" s="13">
        <f>CRF_3[[#This Row],[Time Spent on Configuration]]+CRF_3[[#This Row],[Time Spent on Review/Testing]]</f>
        <v>NaN</v>
      </c>
      <c r="N201" s="1">
        <v>0</v>
      </c>
      <c r="O201" s="1" t="s">
        <v>956</v>
      </c>
      <c r="P201" s="1" t="s">
        <v>503</v>
      </c>
      <c r="Q201" s="1" t="s">
        <v>977</v>
      </c>
      <c r="R201" s="14">
        <v>43315</v>
      </c>
      <c r="S201" s="1" t="s">
        <v>503</v>
      </c>
      <c r="U201" s="48"/>
    </row>
    <row r="202" ht="45" customHeight="1" spans="1:21" x14ac:dyDescent="0.25">
      <c r="A202" s="1" t="s">
        <v>3690</v>
      </c>
      <c r="B202" s="1">
        <v>2018</v>
      </c>
      <c r="C202" s="2" t="s">
        <v>1047</v>
      </c>
      <c r="D202" s="1" t="s">
        <v>989</v>
      </c>
      <c r="E202" s="1" t="s">
        <v>503</v>
      </c>
      <c r="F202" s="1" t="s">
        <v>37</v>
      </c>
      <c r="G202" s="14">
        <v>43315</v>
      </c>
      <c r="H202" s="14" t="s">
        <v>28</v>
      </c>
      <c r="I202" s="2" t="s">
        <v>1401</v>
      </c>
      <c r="J202" s="2" t="s">
        <v>4059</v>
      </c>
      <c r="K202" s="13">
        <v>0.23090277777737356</v>
      </c>
      <c r="L202" s="13">
        <v>0.23090277777737356</v>
      </c>
      <c r="M202" s="13">
        <f>CRF_3[[#This Row],[Time Spent on Configuration]]+CRF_3[[#This Row],[Time Spent on Review/Testing]]</f>
        <v>NaN</v>
      </c>
      <c r="N202" s="1">
        <v>0</v>
      </c>
      <c r="O202" s="1" t="s">
        <v>966</v>
      </c>
      <c r="P202" s="1" t="s">
        <v>503</v>
      </c>
      <c r="Q202" s="1" t="s">
        <v>484</v>
      </c>
      <c r="R202" s="14">
        <v>43315</v>
      </c>
      <c r="S202" s="1" t="s">
        <v>503</v>
      </c>
      <c r="U202" s="48"/>
    </row>
    <row r="203" ht="30" customHeight="1" spans="1:21" x14ac:dyDescent="0.25">
      <c r="A203" s="1" t="s">
        <v>3690</v>
      </c>
      <c r="B203" s="1">
        <v>2018</v>
      </c>
      <c r="C203" s="2" t="s">
        <v>1009</v>
      </c>
      <c r="D203" s="1" t="s">
        <v>951</v>
      </c>
      <c r="E203" s="1" t="s">
        <v>503</v>
      </c>
      <c r="F203" s="1" t="s">
        <v>952</v>
      </c>
      <c r="G203" s="14">
        <v>43318</v>
      </c>
      <c r="H203" s="14" t="s">
        <v>28</v>
      </c>
      <c r="I203" s="2" t="s">
        <v>1403</v>
      </c>
      <c r="J203" s="2" t="s">
        <v>1404</v>
      </c>
      <c r="K203" s="13">
        <v>0.020833333332120674</v>
      </c>
      <c r="L203" s="13">
        <v>0.020833333332120674</v>
      </c>
      <c r="M203" s="13">
        <f>CRF_3[[#This Row],[Time Spent on Configuration]]+CRF_3[[#This Row],[Time Spent on Review/Testing]]</f>
        <v>NaN</v>
      </c>
      <c r="N203" s="1">
        <v>0</v>
      </c>
      <c r="O203" s="1" t="s">
        <v>956</v>
      </c>
      <c r="P203" s="1" t="s">
        <v>503</v>
      </c>
      <c r="Q203" s="1" t="s">
        <v>1405</v>
      </c>
      <c r="R203" s="14">
        <v>43318</v>
      </c>
      <c r="S203" s="1" t="s">
        <v>503</v>
      </c>
      <c r="U203" s="48"/>
    </row>
    <row r="204" spans="1:21" x14ac:dyDescent="0.25">
      <c r="A204" s="1" t="s">
        <v>3690</v>
      </c>
      <c r="B204" s="1">
        <v>2018</v>
      </c>
      <c r="C204" s="2" t="s">
        <v>99</v>
      </c>
      <c r="D204" s="1" t="s">
        <v>25</v>
      </c>
      <c r="E204" s="1" t="s">
        <v>503</v>
      </c>
      <c r="F204" s="1" t="s">
        <v>37</v>
      </c>
      <c r="G204" s="14">
        <v>43319</v>
      </c>
      <c r="H204" s="14" t="s">
        <v>28</v>
      </c>
      <c r="I204" s="2" t="s">
        <v>1406</v>
      </c>
      <c r="J204" s="2" t="s">
        <v>1407</v>
      </c>
      <c r="K204" s="13">
        <v>0.0625</v>
      </c>
      <c r="L204" s="13">
        <v>0.0625</v>
      </c>
      <c r="M204" s="13">
        <f>CRF_3[[#This Row],[Time Spent on Configuration]]+CRF_3[[#This Row],[Time Spent on Review/Testing]]</f>
        <v>NaN</v>
      </c>
      <c r="N204" s="1">
        <v>0</v>
      </c>
      <c r="O204" s="1" t="s">
        <v>956</v>
      </c>
      <c r="P204" s="1" t="s">
        <v>503</v>
      </c>
      <c r="Q204" s="1" t="s">
        <v>977</v>
      </c>
      <c r="R204" s="14">
        <v>43319</v>
      </c>
      <c r="S204" s="1" t="s">
        <v>503</v>
      </c>
      <c r="U204" s="48"/>
    </row>
    <row r="205" spans="1:21" x14ac:dyDescent="0.25">
      <c r="A205" s="1" t="s">
        <v>3690</v>
      </c>
      <c r="B205" s="1">
        <v>2018</v>
      </c>
      <c r="C205" s="2" t="s">
        <v>985</v>
      </c>
      <c r="D205" s="1" t="s">
        <v>25</v>
      </c>
      <c r="E205" s="1" t="s">
        <v>503</v>
      </c>
      <c r="F205" s="1" t="s">
        <v>37</v>
      </c>
      <c r="G205" s="14">
        <v>43320</v>
      </c>
      <c r="H205" s="14" t="s">
        <v>28</v>
      </c>
      <c r="I205" s="2" t="s">
        <v>1408</v>
      </c>
      <c r="J205" s="2" t="s">
        <v>1409</v>
      </c>
      <c r="K205" s="13">
        <v>0.052083333332120674</v>
      </c>
      <c r="L205" s="13">
        <v>0.052083333332120674</v>
      </c>
      <c r="M205" s="13">
        <f>CRF_3[[#This Row],[Time Spent on Configuration]]+CRF_3[[#This Row],[Time Spent on Review/Testing]]</f>
        <v>NaN</v>
      </c>
      <c r="N205" s="1">
        <v>0</v>
      </c>
      <c r="O205" s="1" t="s">
        <v>966</v>
      </c>
      <c r="P205" s="1" t="s">
        <v>503</v>
      </c>
      <c r="Q205" s="1" t="s">
        <v>977</v>
      </c>
      <c r="R205" s="14">
        <v>43320</v>
      </c>
      <c r="S205" s="1" t="s">
        <v>503</v>
      </c>
      <c r="U205" s="48"/>
    </row>
    <row r="206" ht="30" customHeight="1" spans="1:21" x14ac:dyDescent="0.25">
      <c r="A206" s="1" t="s">
        <v>3690</v>
      </c>
      <c r="B206" s="1">
        <v>2018</v>
      </c>
      <c r="C206" s="2" t="s">
        <v>1111</v>
      </c>
      <c r="D206" s="1" t="s">
        <v>1112</v>
      </c>
      <c r="E206" s="1" t="s">
        <v>503</v>
      </c>
      <c r="F206" s="1" t="s">
        <v>27</v>
      </c>
      <c r="G206" s="14">
        <v>43333</v>
      </c>
      <c r="H206" s="14" t="s">
        <v>28</v>
      </c>
      <c r="I206" s="2" t="s">
        <v>1389</v>
      </c>
      <c r="J206" s="2" t="s">
        <v>1410</v>
      </c>
      <c r="K206" s="13">
        <v>0.08333333333212067</v>
      </c>
      <c r="L206" s="13">
        <v>0.08333333333212067</v>
      </c>
      <c r="M206" s="13">
        <f>CRF_3[[#This Row],[Time Spent on Configuration]]+CRF_3[[#This Row],[Time Spent on Review/Testing]]</f>
        <v>NaN</v>
      </c>
      <c r="N206" s="1">
        <v>0</v>
      </c>
      <c r="O206" s="1" t="s">
        <v>1001</v>
      </c>
      <c r="P206" s="1" t="s">
        <v>503</v>
      </c>
      <c r="Q206" s="1" t="s">
        <v>977</v>
      </c>
      <c r="R206" s="14">
        <v>43333</v>
      </c>
      <c r="S206" s="1" t="s">
        <v>503</v>
      </c>
      <c r="U206" s="48"/>
    </row>
    <row r="207" spans="1:21" x14ac:dyDescent="0.25">
      <c r="A207" s="1" t="s">
        <v>3690</v>
      </c>
      <c r="B207" s="1">
        <v>2018</v>
      </c>
      <c r="C207" s="2" t="s">
        <v>1093</v>
      </c>
      <c r="D207" s="1" t="s">
        <v>25</v>
      </c>
      <c r="E207" s="1" t="s">
        <v>503</v>
      </c>
      <c r="F207" s="1" t="s">
        <v>37</v>
      </c>
      <c r="G207" s="14">
        <v>43334</v>
      </c>
      <c r="H207" s="14" t="s">
        <v>28</v>
      </c>
      <c r="I207" s="2" t="s">
        <v>1411</v>
      </c>
      <c r="J207" s="2" t="s">
        <v>1412</v>
      </c>
      <c r="K207" s="13">
        <v>0.015625</v>
      </c>
      <c r="L207" s="13">
        <v>0.015625</v>
      </c>
      <c r="M207" s="13">
        <f>CRF_3[[#This Row],[Time Spent on Configuration]]+CRF_3[[#This Row],[Time Spent on Review/Testing]]</f>
        <v>NaN</v>
      </c>
      <c r="N207" s="1">
        <v>0</v>
      </c>
      <c r="O207" s="1" t="s">
        <v>966</v>
      </c>
      <c r="P207" s="1" t="s">
        <v>503</v>
      </c>
      <c r="Q207" s="1" t="s">
        <v>977</v>
      </c>
      <c r="R207" s="14">
        <v>43334</v>
      </c>
      <c r="S207" s="1" t="s">
        <v>503</v>
      </c>
      <c r="U207" s="48"/>
    </row>
    <row r="208" spans="1:21" x14ac:dyDescent="0.25">
      <c r="A208" s="1" t="s">
        <v>3690</v>
      </c>
      <c r="B208" s="1">
        <v>2018</v>
      </c>
      <c r="C208" s="2" t="s">
        <v>118</v>
      </c>
      <c r="D208" s="1" t="s">
        <v>25</v>
      </c>
      <c r="E208" s="1" t="s">
        <v>503</v>
      </c>
      <c r="F208" s="1" t="s">
        <v>37</v>
      </c>
      <c r="G208" s="14">
        <v>43334</v>
      </c>
      <c r="H208" s="14" t="s">
        <v>953</v>
      </c>
      <c r="I208" s="2" t="s">
        <v>1413</v>
      </c>
      <c r="J208" s="2" t="s">
        <v>1414</v>
      </c>
      <c r="K208" s="13">
        <v>0.012152777777373558</v>
      </c>
      <c r="L208" s="13">
        <v>0.012152777777373558</v>
      </c>
      <c r="M208" s="13">
        <f>CRF_3[[#This Row],[Time Spent on Configuration]]+CRF_3[[#This Row],[Time Spent on Review/Testing]]</f>
        <v>NaN</v>
      </c>
      <c r="N208" s="1">
        <v>0</v>
      </c>
      <c r="O208" s="1" t="s">
        <v>956</v>
      </c>
      <c r="P208" s="1" t="s">
        <v>503</v>
      </c>
      <c r="Q208" s="1" t="s">
        <v>977</v>
      </c>
      <c r="R208" s="14">
        <v>43334</v>
      </c>
      <c r="S208" s="1" t="s">
        <v>503</v>
      </c>
      <c r="U208" s="48"/>
    </row>
    <row r="209" ht="30" customHeight="1" spans="1:21" x14ac:dyDescent="0.25">
      <c r="A209" s="1" t="s">
        <v>3690</v>
      </c>
      <c r="B209" s="1">
        <v>2018</v>
      </c>
      <c r="C209" s="2" t="s">
        <v>113</v>
      </c>
      <c r="D209" s="1" t="s">
        <v>25</v>
      </c>
      <c r="E209" s="1" t="s">
        <v>503</v>
      </c>
      <c r="F209" s="1" t="s">
        <v>37</v>
      </c>
      <c r="G209" s="14">
        <v>43334</v>
      </c>
      <c r="H209" s="14" t="s">
        <v>28</v>
      </c>
      <c r="I209" s="2" t="s">
        <v>1415</v>
      </c>
      <c r="J209" s="2" t="s">
        <v>1416</v>
      </c>
      <c r="K209" s="13">
        <v>0.020833333332120674</v>
      </c>
      <c r="L209" s="13">
        <v>0.020833333332120674</v>
      </c>
      <c r="M209" s="13">
        <f>CRF_3[[#This Row],[Time Spent on Configuration]]+CRF_3[[#This Row],[Time Spent on Review/Testing]]</f>
        <v>NaN</v>
      </c>
      <c r="N209" s="1">
        <v>0</v>
      </c>
      <c r="O209" s="1" t="s">
        <v>956</v>
      </c>
      <c r="P209" s="1" t="s">
        <v>503</v>
      </c>
      <c r="Q209" s="1" t="s">
        <v>977</v>
      </c>
      <c r="R209" s="14">
        <v>43334</v>
      </c>
      <c r="S209" s="1" t="s">
        <v>503</v>
      </c>
      <c r="U209" s="48"/>
    </row>
    <row r="210" spans="1:21" x14ac:dyDescent="0.25">
      <c r="A210" s="1" t="s">
        <v>3690</v>
      </c>
      <c r="B210" s="1">
        <v>2018</v>
      </c>
      <c r="C210" s="2" t="s">
        <v>99</v>
      </c>
      <c r="D210" s="1" t="s">
        <v>25</v>
      </c>
      <c r="E210" s="1" t="s">
        <v>503</v>
      </c>
      <c r="F210" s="1" t="s">
        <v>37</v>
      </c>
      <c r="G210" s="14">
        <v>43342</v>
      </c>
      <c r="H210" s="14" t="s">
        <v>28</v>
      </c>
      <c r="I210" s="2" t="s">
        <v>1417</v>
      </c>
      <c r="J210" s="2" t="s">
        <v>1418</v>
      </c>
      <c r="K210" s="13">
        <v>0.052083333332120674</v>
      </c>
      <c r="L210" s="13">
        <v>0.052083333332120674</v>
      </c>
      <c r="M210" s="13">
        <f>CRF_3[[#This Row],[Time Spent on Configuration]]+CRF_3[[#This Row],[Time Spent on Review/Testing]]</f>
        <v>NaN</v>
      </c>
      <c r="N210" s="1">
        <v>0</v>
      </c>
      <c r="O210" s="1" t="s">
        <v>956</v>
      </c>
      <c r="P210" s="1" t="s">
        <v>503</v>
      </c>
      <c r="Q210" s="1" t="s">
        <v>977</v>
      </c>
      <c r="R210" s="14">
        <v>43342</v>
      </c>
      <c r="S210" s="1" t="s">
        <v>503</v>
      </c>
      <c r="U210" s="48"/>
    </row>
    <row r="211" ht="30" customHeight="1" spans="1:21" x14ac:dyDescent="0.25">
      <c r="A211" s="1" t="s">
        <v>3699</v>
      </c>
      <c r="B211" s="1">
        <v>2018</v>
      </c>
      <c r="C211" s="2" t="s">
        <v>489</v>
      </c>
      <c r="D211" s="1" t="s">
        <v>1258</v>
      </c>
      <c r="E211" s="1" t="s">
        <v>503</v>
      </c>
      <c r="F211" s="1" t="s">
        <v>27</v>
      </c>
      <c r="G211" s="14">
        <v>43360</v>
      </c>
      <c r="H211" s="14" t="s">
        <v>28</v>
      </c>
      <c r="I211" s="2" t="s">
        <v>1420</v>
      </c>
      <c r="J211" s="2" t="s">
        <v>1420</v>
      </c>
      <c r="K211" s="13">
        <v>0.02708333333430346</v>
      </c>
      <c r="L211" s="13">
        <v>0.02708333333430346</v>
      </c>
      <c r="M211" s="13">
        <f>CRF_3[[#This Row],[Time Spent on Configuration]]+CRF_3[[#This Row],[Time Spent on Review/Testing]]</f>
        <v>NaN</v>
      </c>
      <c r="N211" s="1">
        <v>0</v>
      </c>
      <c r="O211" s="1" t="s">
        <v>956</v>
      </c>
      <c r="P211" s="1" t="s">
        <v>503</v>
      </c>
      <c r="Q211" s="1" t="s">
        <v>977</v>
      </c>
      <c r="R211" s="14">
        <v>43360</v>
      </c>
      <c r="S211" s="1" t="s">
        <v>503</v>
      </c>
      <c r="U211" s="48"/>
    </row>
    <row r="212" ht="45" customHeight="1" spans="1:21" x14ac:dyDescent="0.25">
      <c r="A212" s="1" t="s">
        <v>3699</v>
      </c>
      <c r="B212" s="1">
        <v>2018</v>
      </c>
      <c r="C212" s="2" t="s">
        <v>286</v>
      </c>
      <c r="D212" s="1" t="s">
        <v>974</v>
      </c>
      <c r="E212" s="1" t="s">
        <v>503</v>
      </c>
      <c r="F212" s="1" t="s">
        <v>37</v>
      </c>
      <c r="G212" s="14">
        <v>43361</v>
      </c>
      <c r="H212" s="14" t="s">
        <v>255</v>
      </c>
      <c r="I212" s="2" t="s">
        <v>1421</v>
      </c>
      <c r="J212" s="2" t="s">
        <v>4060</v>
      </c>
      <c r="K212" s="13">
        <v>0.041666666667879326</v>
      </c>
      <c r="L212" s="13">
        <v>0.041666666667879326</v>
      </c>
      <c r="M212" s="13">
        <f>CRF_3[[#This Row],[Time Spent on Configuration]]+CRF_3[[#This Row],[Time Spent on Review/Testing]]</f>
        <v>NaN</v>
      </c>
      <c r="N212" s="1">
        <v>0</v>
      </c>
      <c r="O212" s="1" t="s">
        <v>956</v>
      </c>
      <c r="P212" s="1" t="s">
        <v>503</v>
      </c>
      <c r="Q212" s="1" t="s">
        <v>977</v>
      </c>
      <c r="R212" s="14">
        <v>43361</v>
      </c>
      <c r="S212" s="1" t="s">
        <v>503</v>
      </c>
      <c r="U212" s="48"/>
    </row>
    <row r="213" ht="30" customHeight="1" spans="1:21" x14ac:dyDescent="0.25">
      <c r="A213" s="1" t="s">
        <v>3699</v>
      </c>
      <c r="B213" s="1">
        <v>2018</v>
      </c>
      <c r="C213" s="2" t="s">
        <v>1111</v>
      </c>
      <c r="D213" s="1" t="s">
        <v>1112</v>
      </c>
      <c r="E213" s="1" t="s">
        <v>503</v>
      </c>
      <c r="F213" s="1" t="s">
        <v>37</v>
      </c>
      <c r="G213" s="14">
        <v>43365</v>
      </c>
      <c r="H213" s="14" t="s">
        <v>28</v>
      </c>
      <c r="I213" s="2" t="s">
        <v>4061</v>
      </c>
      <c r="J213" s="2" t="s">
        <v>4062</v>
      </c>
      <c r="K213" s="13">
        <v>0.07291666666787933</v>
      </c>
      <c r="L213" s="13">
        <v>0.07291666666787933</v>
      </c>
      <c r="M213" s="13">
        <f>CRF_3[[#This Row],[Time Spent on Configuration]]+CRF_3[[#This Row],[Time Spent on Review/Testing]]</f>
        <v>NaN</v>
      </c>
      <c r="N213" s="1">
        <v>0</v>
      </c>
      <c r="O213" s="1" t="s">
        <v>574</v>
      </c>
      <c r="P213" s="1" t="s">
        <v>503</v>
      </c>
      <c r="Q213" s="1" t="s">
        <v>977</v>
      </c>
      <c r="R213" s="14">
        <v>43365</v>
      </c>
      <c r="S213" s="1" t="s">
        <v>503</v>
      </c>
      <c r="U213" s="48"/>
    </row>
    <row r="214" ht="30" customHeight="1" spans="1:21" x14ac:dyDescent="0.25">
      <c r="A214" s="1" t="s">
        <v>3699</v>
      </c>
      <c r="B214" s="1">
        <v>2018</v>
      </c>
      <c r="C214" s="2" t="s">
        <v>1012</v>
      </c>
      <c r="D214" s="1" t="s">
        <v>25</v>
      </c>
      <c r="E214" s="1" t="s">
        <v>503</v>
      </c>
      <c r="F214" s="1" t="s">
        <v>27</v>
      </c>
      <c r="G214" s="14">
        <v>43365</v>
      </c>
      <c r="H214" s="14" t="s">
        <v>28</v>
      </c>
      <c r="I214" s="2" t="s">
        <v>4063</v>
      </c>
      <c r="J214" s="2" t="s">
        <v>1069</v>
      </c>
      <c r="K214" s="13">
        <v>0.07291666666787933</v>
      </c>
      <c r="L214" s="13">
        <v>0.07291666666787933</v>
      </c>
      <c r="M214" s="13">
        <f>CRF_3[[#This Row],[Time Spent on Configuration]]+CRF_3[[#This Row],[Time Spent on Review/Testing]]</f>
        <v>NaN</v>
      </c>
      <c r="N214" s="1">
        <v>0</v>
      </c>
      <c r="O214" s="1" t="s">
        <v>574</v>
      </c>
      <c r="P214" s="1" t="s">
        <v>503</v>
      </c>
      <c r="Q214" s="1" t="s">
        <v>977</v>
      </c>
      <c r="R214" s="14">
        <v>43365</v>
      </c>
      <c r="S214" s="1" t="s">
        <v>503</v>
      </c>
      <c r="U214" s="48"/>
    </row>
    <row r="215" ht="30" customHeight="1" spans="1:21" x14ac:dyDescent="0.25">
      <c r="A215" s="1" t="s">
        <v>3699</v>
      </c>
      <c r="B215" s="1">
        <v>2018</v>
      </c>
      <c r="C215" s="2" t="s">
        <v>1012</v>
      </c>
      <c r="D215" s="1" t="s">
        <v>25</v>
      </c>
      <c r="E215" s="1" t="s">
        <v>503</v>
      </c>
      <c r="F215" s="1" t="s">
        <v>37</v>
      </c>
      <c r="G215" s="14">
        <v>43369</v>
      </c>
      <c r="H215" s="14" t="s">
        <v>28</v>
      </c>
      <c r="I215" s="2" t="s">
        <v>4064</v>
      </c>
      <c r="J215" s="2" t="s">
        <v>1426</v>
      </c>
      <c r="K215" s="13">
        <v>0.03125</v>
      </c>
      <c r="L215" s="13">
        <v>0.03125</v>
      </c>
      <c r="M215" s="13">
        <f>CRF_3[[#This Row],[Time Spent on Configuration]]+CRF_3[[#This Row],[Time Spent on Review/Testing]]</f>
        <v>NaN</v>
      </c>
      <c r="N215" s="1">
        <v>0</v>
      </c>
      <c r="O215" s="1" t="s">
        <v>574</v>
      </c>
      <c r="P215" s="1" t="s">
        <v>503</v>
      </c>
      <c r="Q215" s="1" t="s">
        <v>977</v>
      </c>
      <c r="R215" s="14">
        <v>43369</v>
      </c>
      <c r="S215" s="1" t="s">
        <v>503</v>
      </c>
      <c r="U215" s="48"/>
    </row>
    <row r="216" spans="1:21" x14ac:dyDescent="0.25">
      <c r="A216" s="1" t="s">
        <v>3708</v>
      </c>
      <c r="B216" s="1">
        <v>2018</v>
      </c>
      <c r="C216" s="2" t="s">
        <v>525</v>
      </c>
      <c r="D216" s="1" t="s">
        <v>25</v>
      </c>
      <c r="E216" s="1" t="s">
        <v>503</v>
      </c>
      <c r="F216" s="1" t="s">
        <v>27</v>
      </c>
      <c r="G216" s="14">
        <v>43381</v>
      </c>
      <c r="H216" s="14" t="s">
        <v>28</v>
      </c>
      <c r="I216" s="2" t="s">
        <v>1428</v>
      </c>
      <c r="J216" s="2" t="s">
        <v>1429</v>
      </c>
      <c r="K216" s="13">
        <v>0.0625</v>
      </c>
      <c r="L216" s="13">
        <v>0.0625</v>
      </c>
      <c r="M216" s="13">
        <f>CRF_3[[#This Row],[Time Spent on Configuration]]+CRF_3[[#This Row],[Time Spent on Review/Testing]]</f>
        <v>NaN</v>
      </c>
      <c r="N216" s="1">
        <v>0</v>
      </c>
      <c r="O216" s="1" t="s">
        <v>1430</v>
      </c>
      <c r="P216" s="1" t="s">
        <v>503</v>
      </c>
      <c r="Q216" s="1" t="s">
        <v>977</v>
      </c>
      <c r="R216" s="14">
        <v>43381</v>
      </c>
      <c r="S216" s="1" t="s">
        <v>503</v>
      </c>
      <c r="U216" s="48"/>
    </row>
    <row r="217" ht="30" customHeight="1" spans="1:21" x14ac:dyDescent="0.25">
      <c r="A217" s="1" t="s">
        <v>3708</v>
      </c>
      <c r="B217" s="1">
        <v>2018</v>
      </c>
      <c r="C217" s="2" t="s">
        <v>1212</v>
      </c>
      <c r="D217" s="1" t="s">
        <v>25</v>
      </c>
      <c r="E217" s="1" t="s">
        <v>503</v>
      </c>
      <c r="F217" s="1" t="s">
        <v>27</v>
      </c>
      <c r="G217" s="14">
        <v>43384</v>
      </c>
      <c r="H217" s="14" t="s">
        <v>255</v>
      </c>
      <c r="I217" s="2" t="s">
        <v>1431</v>
      </c>
      <c r="J217" s="2" t="s">
        <v>1432</v>
      </c>
      <c r="K217" s="13">
        <v>0.052083333332120674</v>
      </c>
      <c r="L217" s="13">
        <v>0.052083333332120674</v>
      </c>
      <c r="M217" s="13">
        <f>CRF_3[[#This Row],[Time Spent on Configuration]]+CRF_3[[#This Row],[Time Spent on Review/Testing]]</f>
        <v>NaN</v>
      </c>
      <c r="N217" s="1">
        <v>0</v>
      </c>
      <c r="O217" s="1" t="s">
        <v>966</v>
      </c>
      <c r="P217" s="1" t="s">
        <v>503</v>
      </c>
      <c r="Q217" s="1" t="s">
        <v>977</v>
      </c>
      <c r="R217" s="14">
        <v>43384</v>
      </c>
      <c r="S217" s="1" t="s">
        <v>503</v>
      </c>
      <c r="U217" s="48"/>
    </row>
    <row r="218" spans="1:21" x14ac:dyDescent="0.25">
      <c r="A218" s="1" t="s">
        <v>3708</v>
      </c>
      <c r="B218" s="1">
        <v>2018</v>
      </c>
      <c r="C218" s="2" t="s">
        <v>1059</v>
      </c>
      <c r="D218" s="1" t="s">
        <v>1433</v>
      </c>
      <c r="E218" s="1" t="s">
        <v>503</v>
      </c>
      <c r="F218" s="1" t="s">
        <v>37</v>
      </c>
      <c r="G218" s="14">
        <v>43390</v>
      </c>
      <c r="H218" s="14" t="s">
        <v>28</v>
      </c>
      <c r="I218" s="2" t="s">
        <v>1434</v>
      </c>
      <c r="J218" s="2" t="s">
        <v>1435</v>
      </c>
      <c r="K218" s="13">
        <v>0.25</v>
      </c>
      <c r="L218" s="13">
        <v>0.25</v>
      </c>
      <c r="M218" s="13">
        <f>CRF_3[[#This Row],[Time Spent on Configuration]]+CRF_3[[#This Row],[Time Spent on Review/Testing]]</f>
        <v>NaN</v>
      </c>
      <c r="N218" s="1">
        <v>0</v>
      </c>
      <c r="O218" s="1" t="s">
        <v>956</v>
      </c>
      <c r="P218" s="1" t="s">
        <v>503</v>
      </c>
      <c r="Q218" s="1" t="s">
        <v>977</v>
      </c>
      <c r="R218" s="14">
        <v>43390</v>
      </c>
      <c r="S218" s="1" t="s">
        <v>503</v>
      </c>
      <c r="U218" s="48"/>
    </row>
    <row r="219" spans="1:21" x14ac:dyDescent="0.25">
      <c r="A219" s="1" t="s">
        <v>3708</v>
      </c>
      <c r="B219" s="1">
        <v>2018</v>
      </c>
      <c r="C219" s="2" t="s">
        <v>796</v>
      </c>
      <c r="D219" s="1" t="s">
        <v>285</v>
      </c>
      <c r="E219" s="1" t="s">
        <v>503</v>
      </c>
      <c r="F219" s="1" t="s">
        <v>37</v>
      </c>
      <c r="G219" s="14">
        <v>43390</v>
      </c>
      <c r="H219" s="14" t="s">
        <v>28</v>
      </c>
      <c r="I219" s="2" t="s">
        <v>4065</v>
      </c>
      <c r="J219" s="2" t="s">
        <v>1437</v>
      </c>
      <c r="K219" s="13">
        <v>0.09895833333212067</v>
      </c>
      <c r="L219" s="13">
        <v>0.09895833333212067</v>
      </c>
      <c r="M219" s="13">
        <f>CRF_3[[#This Row],[Time Spent on Configuration]]+CRF_3[[#This Row],[Time Spent on Review/Testing]]</f>
        <v>NaN</v>
      </c>
      <c r="N219" s="1">
        <v>0</v>
      </c>
      <c r="O219" s="1" t="s">
        <v>574</v>
      </c>
      <c r="P219" s="1" t="s">
        <v>503</v>
      </c>
      <c r="Q219" s="1" t="s">
        <v>977</v>
      </c>
      <c r="R219" s="14">
        <v>43390</v>
      </c>
      <c r="S219" s="1" t="s">
        <v>503</v>
      </c>
      <c r="U219" s="48"/>
    </row>
    <row r="220" spans="1:21" x14ac:dyDescent="0.25">
      <c r="A220" s="1" t="s">
        <v>3708</v>
      </c>
      <c r="B220" s="1">
        <v>2018</v>
      </c>
      <c r="C220" s="2" t="s">
        <v>99</v>
      </c>
      <c r="D220" s="1" t="s">
        <v>25</v>
      </c>
      <c r="E220" s="1" t="s">
        <v>503</v>
      </c>
      <c r="F220" s="1" t="s">
        <v>27</v>
      </c>
      <c r="G220" s="14">
        <v>43390</v>
      </c>
      <c r="H220" s="14" t="s">
        <v>28</v>
      </c>
      <c r="I220" s="2" t="s">
        <v>1438</v>
      </c>
      <c r="J220" s="2" t="s">
        <v>4066</v>
      </c>
      <c r="K220" s="13">
        <v>0.11458333333212067</v>
      </c>
      <c r="L220" s="13">
        <v>0.11458333333212067</v>
      </c>
      <c r="M220" s="13">
        <f>CRF_3[[#This Row],[Time Spent on Configuration]]+CRF_3[[#This Row],[Time Spent on Review/Testing]]</f>
        <v>NaN</v>
      </c>
      <c r="N220" s="1">
        <v>0</v>
      </c>
      <c r="O220" s="1" t="s">
        <v>956</v>
      </c>
      <c r="P220" s="1" t="s">
        <v>503</v>
      </c>
      <c r="Q220" s="1" t="s">
        <v>488</v>
      </c>
      <c r="R220" s="14">
        <v>43390</v>
      </c>
      <c r="S220" s="1" t="s">
        <v>503</v>
      </c>
      <c r="U220" s="48"/>
    </row>
    <row r="221" spans="1:21" x14ac:dyDescent="0.25">
      <c r="A221" s="1" t="s">
        <v>3708</v>
      </c>
      <c r="B221" s="1">
        <v>2018</v>
      </c>
      <c r="C221" s="2" t="s">
        <v>1047</v>
      </c>
      <c r="D221" s="1" t="s">
        <v>989</v>
      </c>
      <c r="E221" s="1" t="s">
        <v>503</v>
      </c>
      <c r="F221" s="1" t="s">
        <v>37</v>
      </c>
      <c r="G221" s="14">
        <v>43391</v>
      </c>
      <c r="H221" s="14" t="s">
        <v>255</v>
      </c>
      <c r="I221" s="2" t="s">
        <v>1440</v>
      </c>
      <c r="J221" s="2" t="s">
        <v>1441</v>
      </c>
      <c r="K221" s="13">
        <v>0.0625</v>
      </c>
      <c r="L221" s="13">
        <v>0.0625</v>
      </c>
      <c r="M221" s="13">
        <f>CRF_3[[#This Row],[Time Spent on Configuration]]+CRF_3[[#This Row],[Time Spent on Review/Testing]]</f>
        <v>NaN</v>
      </c>
      <c r="N221" s="1">
        <v>0</v>
      </c>
      <c r="O221" s="1" t="s">
        <v>347</v>
      </c>
      <c r="P221" s="1" t="s">
        <v>503</v>
      </c>
      <c r="Q221" s="1" t="s">
        <v>117</v>
      </c>
      <c r="R221" s="14">
        <v>43391</v>
      </c>
      <c r="S221" s="1" t="s">
        <v>503</v>
      </c>
      <c r="U221" s="48"/>
    </row>
    <row r="222" spans="1:21" x14ac:dyDescent="0.25">
      <c r="A222" s="1" t="s">
        <v>3708</v>
      </c>
      <c r="B222" s="1">
        <v>2018</v>
      </c>
      <c r="C222" s="2" t="s">
        <v>1442</v>
      </c>
      <c r="D222" s="1" t="s">
        <v>186</v>
      </c>
      <c r="E222" s="1" t="s">
        <v>503</v>
      </c>
      <c r="F222" s="1" t="s">
        <v>27</v>
      </c>
      <c r="G222" s="14">
        <v>43393</v>
      </c>
      <c r="H222" s="14" t="s">
        <v>255</v>
      </c>
      <c r="I222" s="2" t="s">
        <v>4067</v>
      </c>
      <c r="J222" s="2" t="s">
        <v>1444</v>
      </c>
      <c r="K222" s="13">
        <v>0.020833333332120674</v>
      </c>
      <c r="L222" s="13">
        <v>0.020833333332120674</v>
      </c>
      <c r="M222" s="13">
        <f>CRF_3[[#This Row],[Time Spent on Configuration]]+CRF_3[[#This Row],[Time Spent on Review/Testing]]</f>
        <v>NaN</v>
      </c>
      <c r="N222" s="1">
        <v>0</v>
      </c>
      <c r="O222" s="1" t="s">
        <v>347</v>
      </c>
      <c r="P222" s="1" t="s">
        <v>503</v>
      </c>
      <c r="Q222" s="1" t="s">
        <v>488</v>
      </c>
      <c r="R222" s="14">
        <v>43393</v>
      </c>
      <c r="S222" s="1" t="s">
        <v>503</v>
      </c>
      <c r="U222" s="48"/>
    </row>
    <row r="223" ht="30" customHeight="1" spans="1:21" x14ac:dyDescent="0.25">
      <c r="A223" s="1" t="s">
        <v>3708</v>
      </c>
      <c r="B223" s="1">
        <v>2018</v>
      </c>
      <c r="C223" s="2" t="s">
        <v>1087</v>
      </c>
      <c r="D223" s="1" t="s">
        <v>186</v>
      </c>
      <c r="E223" s="1" t="s">
        <v>503</v>
      </c>
      <c r="F223" s="1" t="s">
        <v>27</v>
      </c>
      <c r="G223" s="14">
        <v>43393</v>
      </c>
      <c r="H223" s="14" t="s">
        <v>255</v>
      </c>
      <c r="I223" s="2" t="s">
        <v>1445</v>
      </c>
      <c r="J223" s="2" t="s">
        <v>1446</v>
      </c>
      <c r="K223" s="13">
        <v>0.03125</v>
      </c>
      <c r="L223" s="13">
        <v>0.03125</v>
      </c>
      <c r="M223" s="13">
        <f>CRF_3[[#This Row],[Time Spent on Configuration]]+CRF_3[[#This Row],[Time Spent on Review/Testing]]</f>
        <v>NaN</v>
      </c>
      <c r="N223" s="1">
        <v>0</v>
      </c>
      <c r="O223" s="1" t="s">
        <v>966</v>
      </c>
      <c r="P223" s="1" t="s">
        <v>503</v>
      </c>
      <c r="Q223" s="1" t="s">
        <v>488</v>
      </c>
      <c r="R223" s="14">
        <v>43393</v>
      </c>
      <c r="S223" s="1" t="s">
        <v>503</v>
      </c>
      <c r="U223" s="48"/>
    </row>
    <row r="224" spans="1:21" x14ac:dyDescent="0.25">
      <c r="A224" s="1" t="s">
        <v>3725</v>
      </c>
      <c r="B224" s="1">
        <v>2018</v>
      </c>
      <c r="C224" s="2" t="s">
        <v>1448</v>
      </c>
      <c r="D224" s="1" t="s">
        <v>1236</v>
      </c>
      <c r="E224" s="1" t="s">
        <v>503</v>
      </c>
      <c r="F224" s="1" t="s">
        <v>27</v>
      </c>
      <c r="G224" s="14">
        <v>43413</v>
      </c>
      <c r="H224" s="14" t="s">
        <v>28</v>
      </c>
      <c r="I224" s="2" t="s">
        <v>1449</v>
      </c>
      <c r="J224" s="2" t="s">
        <v>1450</v>
      </c>
      <c r="K224" s="13">
        <v>0.010416666667879326</v>
      </c>
      <c r="L224" s="13">
        <v>0.010416666667879326</v>
      </c>
      <c r="M224" s="13">
        <f>CRF_3[[#This Row],[Time Spent on Configuration]]+CRF_3[[#This Row],[Time Spent on Review/Testing]]</f>
        <v>NaN</v>
      </c>
      <c r="N224" s="1">
        <v>0</v>
      </c>
      <c r="O224" s="1" t="s">
        <v>966</v>
      </c>
      <c r="P224" s="1" t="s">
        <v>503</v>
      </c>
      <c r="Q224" s="1" t="s">
        <v>484</v>
      </c>
      <c r="R224" s="14">
        <v>43413</v>
      </c>
      <c r="S224" s="1" t="s">
        <v>503</v>
      </c>
      <c r="U224" s="48"/>
    </row>
    <row r="225" spans="1:21" x14ac:dyDescent="0.25">
      <c r="A225" s="1" t="s">
        <v>3725</v>
      </c>
      <c r="B225" s="1">
        <v>2018</v>
      </c>
      <c r="C225" s="2" t="s">
        <v>1451</v>
      </c>
      <c r="D225" s="1" t="s">
        <v>25</v>
      </c>
      <c r="E225" s="1" t="s">
        <v>503</v>
      </c>
      <c r="F225" s="1" t="s">
        <v>27</v>
      </c>
      <c r="G225" s="14">
        <v>43413</v>
      </c>
      <c r="H225" s="14" t="s">
        <v>255</v>
      </c>
      <c r="I225" s="2" t="s">
        <v>1452</v>
      </c>
      <c r="J225" s="2" t="s">
        <v>1453</v>
      </c>
      <c r="K225" s="13">
        <v>0.052083333332120674</v>
      </c>
      <c r="L225" s="13">
        <v>0.052083333332120674</v>
      </c>
      <c r="M225" s="13">
        <f>CRF_3[[#This Row],[Time Spent on Configuration]]+CRF_3[[#This Row],[Time Spent on Review/Testing]]</f>
        <v>NaN</v>
      </c>
      <c r="N225" s="1">
        <v>0</v>
      </c>
      <c r="O225" s="1" t="s">
        <v>966</v>
      </c>
      <c r="P225" s="1" t="s">
        <v>503</v>
      </c>
      <c r="Q225" s="1" t="s">
        <v>488</v>
      </c>
      <c r="R225" s="14">
        <v>43413</v>
      </c>
      <c r="S225" s="1" t="s">
        <v>503</v>
      </c>
      <c r="U225" s="48"/>
    </row>
    <row r="226" spans="1:21" x14ac:dyDescent="0.25">
      <c r="A226" s="1" t="s">
        <v>3725</v>
      </c>
      <c r="B226" s="1">
        <v>2018</v>
      </c>
      <c r="C226" s="2" t="s">
        <v>99</v>
      </c>
      <c r="D226" s="1" t="s">
        <v>25</v>
      </c>
      <c r="E226" s="1" t="s">
        <v>503</v>
      </c>
      <c r="F226" s="1" t="s">
        <v>27</v>
      </c>
      <c r="G226" s="14">
        <v>43419</v>
      </c>
      <c r="H226" s="14" t="s">
        <v>28</v>
      </c>
      <c r="I226" s="2" t="s">
        <v>1454</v>
      </c>
      <c r="J226" s="2" t="s">
        <v>1455</v>
      </c>
      <c r="K226" s="13">
        <v>0.041666666667879326</v>
      </c>
      <c r="L226" s="13">
        <v>0.041666666667879326</v>
      </c>
      <c r="M226" s="13">
        <f>CRF_3[[#This Row],[Time Spent on Configuration]]+CRF_3[[#This Row],[Time Spent on Review/Testing]]</f>
        <v>NaN</v>
      </c>
      <c r="N226" s="1">
        <v>0</v>
      </c>
      <c r="O226" s="1" t="s">
        <v>574</v>
      </c>
      <c r="P226" s="1" t="s">
        <v>503</v>
      </c>
      <c r="Q226" s="1" t="s">
        <v>977</v>
      </c>
      <c r="R226" s="14">
        <v>43419</v>
      </c>
      <c r="S226" s="1" t="s">
        <v>503</v>
      </c>
      <c r="U226" s="48"/>
    </row>
    <row r="227" spans="1:21" x14ac:dyDescent="0.25">
      <c r="A227" s="1" t="s">
        <v>3725</v>
      </c>
      <c r="B227" s="1">
        <v>2018</v>
      </c>
      <c r="C227" s="2" t="s">
        <v>99</v>
      </c>
      <c r="D227" s="1" t="s">
        <v>25</v>
      </c>
      <c r="E227" s="1" t="s">
        <v>503</v>
      </c>
      <c r="F227" s="1" t="s">
        <v>27</v>
      </c>
      <c r="G227" s="14">
        <v>43426</v>
      </c>
      <c r="H227" s="14" t="s">
        <v>28</v>
      </c>
      <c r="I227" s="2" t="s">
        <v>1456</v>
      </c>
      <c r="J227" s="2" t="s">
        <v>1457</v>
      </c>
      <c r="K227" s="13">
        <v>0.010416666667879326</v>
      </c>
      <c r="L227" s="13">
        <v>0.010416666667879326</v>
      </c>
      <c r="M227" s="13">
        <f>CRF_3[[#This Row],[Time Spent on Configuration]]+CRF_3[[#This Row],[Time Spent on Review/Testing]]</f>
        <v>NaN</v>
      </c>
      <c r="N227" s="1">
        <v>0</v>
      </c>
      <c r="O227" s="1" t="s">
        <v>1314</v>
      </c>
      <c r="P227" s="1" t="s">
        <v>503</v>
      </c>
      <c r="Q227" s="1" t="s">
        <v>977</v>
      </c>
      <c r="R227" s="14">
        <v>43426</v>
      </c>
      <c r="S227" s="1" t="s">
        <v>503</v>
      </c>
      <c r="U227" s="48"/>
    </row>
    <row r="228" ht="30" customHeight="1" spans="1:21" x14ac:dyDescent="0.25">
      <c r="A228" s="1" t="s">
        <v>3725</v>
      </c>
      <c r="B228" s="1">
        <v>2018</v>
      </c>
      <c r="C228" s="2" t="s">
        <v>1087</v>
      </c>
      <c r="D228" s="1" t="s">
        <v>186</v>
      </c>
      <c r="E228" s="1" t="s">
        <v>503</v>
      </c>
      <c r="F228" s="1" t="s">
        <v>27</v>
      </c>
      <c r="G228" s="14">
        <v>43426</v>
      </c>
      <c r="H228" s="14" t="s">
        <v>255</v>
      </c>
      <c r="I228" s="2" t="s">
        <v>1458</v>
      </c>
      <c r="J228" s="2" t="s">
        <v>1459</v>
      </c>
      <c r="K228" s="13">
        <v>0.020833333332120674</v>
      </c>
      <c r="L228" s="13">
        <v>0.020833333332120674</v>
      </c>
      <c r="M228" s="13">
        <f>CRF_3[[#This Row],[Time Spent on Configuration]]+CRF_3[[#This Row],[Time Spent on Review/Testing]]</f>
        <v>NaN</v>
      </c>
      <c r="N228" s="1">
        <v>0</v>
      </c>
      <c r="O228" s="1" t="s">
        <v>1314</v>
      </c>
      <c r="P228" s="1" t="s">
        <v>503</v>
      </c>
      <c r="Q228" s="1" t="s">
        <v>488</v>
      </c>
      <c r="R228" s="14">
        <v>43426</v>
      </c>
      <c r="S228" s="1" t="s">
        <v>503</v>
      </c>
      <c r="U228" s="48"/>
    </row>
    <row r="229" ht="30" customHeight="1" spans="1:21" x14ac:dyDescent="0.25">
      <c r="A229" s="1" t="s">
        <v>3725</v>
      </c>
      <c r="B229" s="1">
        <v>2018</v>
      </c>
      <c r="C229" s="2" t="s">
        <v>1087</v>
      </c>
      <c r="D229" s="1" t="s">
        <v>186</v>
      </c>
      <c r="E229" s="1" t="s">
        <v>503</v>
      </c>
      <c r="F229" s="1" t="s">
        <v>27</v>
      </c>
      <c r="G229" s="14">
        <v>43431</v>
      </c>
      <c r="H229" s="14" t="s">
        <v>28</v>
      </c>
      <c r="I229" s="2" t="s">
        <v>1460</v>
      </c>
      <c r="J229" s="2" t="s">
        <v>1461</v>
      </c>
      <c r="K229" s="13">
        <v>0.08333333333212067</v>
      </c>
      <c r="L229" s="13">
        <v>0.041666666667879326</v>
      </c>
      <c r="M229" s="13">
        <f>CRF_3[[#This Row],[Time Spent on Configuration]]+CRF_3[[#This Row],[Time Spent on Review/Testing]]</f>
        <v>NaN</v>
      </c>
      <c r="N229" s="1">
        <v>0</v>
      </c>
      <c r="O229" s="1" t="s">
        <v>574</v>
      </c>
      <c r="P229" s="1" t="s">
        <v>503</v>
      </c>
      <c r="Q229" s="1" t="s">
        <v>488</v>
      </c>
      <c r="R229" s="14">
        <v>43432</v>
      </c>
      <c r="S229" s="1" t="s">
        <v>503</v>
      </c>
      <c r="U229" s="48"/>
    </row>
    <row r="230" ht="30" customHeight="1" spans="1:21" x14ac:dyDescent="0.25">
      <c r="A230" s="1" t="s">
        <v>3733</v>
      </c>
      <c r="B230" s="1">
        <v>2018</v>
      </c>
      <c r="C230" s="2" t="s">
        <v>1222</v>
      </c>
      <c r="D230" s="1" t="s">
        <v>541</v>
      </c>
      <c r="E230" s="1" t="s">
        <v>503</v>
      </c>
      <c r="F230" s="1" t="s">
        <v>37</v>
      </c>
      <c r="G230" s="14">
        <v>43439</v>
      </c>
      <c r="H230" s="14" t="s">
        <v>28</v>
      </c>
      <c r="I230" s="2" t="s">
        <v>1463</v>
      </c>
      <c r="J230" s="2" t="s">
        <v>1464</v>
      </c>
      <c r="K230" s="13">
        <v>0.03125</v>
      </c>
      <c r="L230" s="13">
        <v>0.03125</v>
      </c>
      <c r="M230" s="13">
        <f>CRF_3[[#This Row],[Time Spent on Configuration]]+CRF_3[[#This Row],[Time Spent on Review/Testing]]</f>
        <v>NaN</v>
      </c>
      <c r="N230" s="1">
        <v>0</v>
      </c>
      <c r="O230" s="1" t="s">
        <v>1430</v>
      </c>
      <c r="P230" s="1" t="s">
        <v>503</v>
      </c>
      <c r="Q230" s="1" t="s">
        <v>488</v>
      </c>
      <c r="R230" s="14">
        <v>43439</v>
      </c>
      <c r="S230" s="1" t="s">
        <v>503</v>
      </c>
      <c r="U230" s="48"/>
    </row>
    <row r="231" spans="1:21" x14ac:dyDescent="0.25">
      <c r="A231" s="1" t="s">
        <v>3733</v>
      </c>
      <c r="B231" s="1">
        <v>2018</v>
      </c>
      <c r="C231" s="2" t="s">
        <v>545</v>
      </c>
      <c r="D231" s="1" t="s">
        <v>963</v>
      </c>
      <c r="E231" s="1" t="s">
        <v>503</v>
      </c>
      <c r="F231" s="1" t="s">
        <v>37</v>
      </c>
      <c r="G231" s="14">
        <v>43444</v>
      </c>
      <c r="H231" s="14" t="s">
        <v>28</v>
      </c>
      <c r="I231" s="2" t="s">
        <v>1465</v>
      </c>
      <c r="J231" s="2" t="s">
        <v>4068</v>
      </c>
      <c r="K231" s="13">
        <v>0.010416666667879326</v>
      </c>
      <c r="L231" s="13">
        <v>0.010416666667879326</v>
      </c>
      <c r="M231" s="13">
        <f>CRF_3[[#This Row],[Time Spent on Configuration]]+CRF_3[[#This Row],[Time Spent on Review/Testing]]</f>
        <v>NaN</v>
      </c>
      <c r="N231" s="1">
        <v>0</v>
      </c>
      <c r="O231" s="1" t="s">
        <v>1314</v>
      </c>
      <c r="P231" s="1" t="s">
        <v>503</v>
      </c>
      <c r="Q231" s="1" t="s">
        <v>484</v>
      </c>
      <c r="R231" s="14">
        <v>43444</v>
      </c>
      <c r="S231" s="1" t="s">
        <v>503</v>
      </c>
      <c r="U231" s="48"/>
    </row>
    <row r="232" spans="1:21" x14ac:dyDescent="0.25">
      <c r="A232" s="1" t="s">
        <v>3733</v>
      </c>
      <c r="B232" s="1">
        <v>2018</v>
      </c>
      <c r="C232" s="2" t="s">
        <v>122</v>
      </c>
      <c r="D232" s="1" t="s">
        <v>123</v>
      </c>
      <c r="E232" s="1" t="s">
        <v>503</v>
      </c>
      <c r="F232" s="1" t="s">
        <v>27</v>
      </c>
      <c r="G232" s="14">
        <v>43444</v>
      </c>
      <c r="H232" s="14" t="s">
        <v>28</v>
      </c>
      <c r="I232" s="43" t="s">
        <v>1467</v>
      </c>
      <c r="J232" s="2" t="s">
        <v>1468</v>
      </c>
      <c r="K232" s="13">
        <v>0.020833333332120674</v>
      </c>
      <c r="L232" s="13">
        <v>0.020833333332120674</v>
      </c>
      <c r="M232" s="13">
        <f>CRF_3[[#This Row],[Time Spent on Configuration]]+CRF_3[[#This Row],[Time Spent on Review/Testing]]</f>
        <v>NaN</v>
      </c>
      <c r="N232" s="1">
        <v>0</v>
      </c>
      <c r="O232" s="1" t="s">
        <v>956</v>
      </c>
      <c r="P232" s="1" t="s">
        <v>503</v>
      </c>
      <c r="Q232" s="1" t="s">
        <v>977</v>
      </c>
      <c r="R232" s="14">
        <v>43444</v>
      </c>
      <c r="S232" s="1" t="s">
        <v>503</v>
      </c>
      <c r="U232" s="48"/>
    </row>
    <row r="233" ht="45" customHeight="1" spans="1:21" x14ac:dyDescent="0.25">
      <c r="A233" s="1" t="s">
        <v>3733</v>
      </c>
      <c r="B233" s="1">
        <v>2018</v>
      </c>
      <c r="C233" s="2" t="s">
        <v>288</v>
      </c>
      <c r="D233" s="1" t="s">
        <v>25</v>
      </c>
      <c r="E233" s="1" t="s">
        <v>503</v>
      </c>
      <c r="F233" s="1" t="s">
        <v>37</v>
      </c>
      <c r="G233" s="14">
        <v>43447</v>
      </c>
      <c r="H233" s="14" t="s">
        <v>50</v>
      </c>
      <c r="I233" s="2" t="s">
        <v>4069</v>
      </c>
      <c r="J233" s="2" t="s">
        <v>1470</v>
      </c>
      <c r="K233" s="13">
        <v>0.020833333332120674</v>
      </c>
      <c r="L233" s="13">
        <v>0.020833333332120674</v>
      </c>
      <c r="M233" s="13">
        <f>CRF_3[[#This Row],[Time Spent on Configuration]]+CRF_3[[#This Row],[Time Spent on Review/Testing]]</f>
        <v>NaN</v>
      </c>
      <c r="N233" s="1">
        <v>0</v>
      </c>
      <c r="O233" s="1" t="s">
        <v>574</v>
      </c>
      <c r="P233" s="1" t="s">
        <v>503</v>
      </c>
      <c r="Q233" s="1" t="s">
        <v>977</v>
      </c>
      <c r="R233" s="14">
        <v>43447</v>
      </c>
      <c r="S233" s="1" t="s">
        <v>503</v>
      </c>
      <c r="U233" s="48"/>
    </row>
    <row r="234" spans="1:21" x14ac:dyDescent="0.25">
      <c r="A234" s="1" t="s">
        <v>3733</v>
      </c>
      <c r="B234" s="1">
        <v>2018</v>
      </c>
      <c r="C234" s="2" t="s">
        <v>199</v>
      </c>
      <c r="D234" s="1" t="s">
        <v>541</v>
      </c>
      <c r="E234" s="1" t="s">
        <v>503</v>
      </c>
      <c r="F234" s="1" t="s">
        <v>37</v>
      </c>
      <c r="G234" s="14">
        <v>43448</v>
      </c>
      <c r="H234" s="14" t="s">
        <v>28</v>
      </c>
      <c r="I234" s="2" t="s">
        <v>1471</v>
      </c>
      <c r="J234" s="2" t="s">
        <v>1472</v>
      </c>
      <c r="K234" s="13">
        <v>0.041666666667879326</v>
      </c>
      <c r="L234" s="13">
        <v>0.041666666667879326</v>
      </c>
      <c r="M234" s="13">
        <f>CRF_3[[#This Row],[Time Spent on Configuration]]+CRF_3[[#This Row],[Time Spent on Review/Testing]]</f>
        <v>NaN</v>
      </c>
      <c r="N234" s="1">
        <v>0</v>
      </c>
      <c r="O234" s="1" t="s">
        <v>574</v>
      </c>
      <c r="P234" s="1" t="s">
        <v>503</v>
      </c>
      <c r="Q234" s="1" t="s">
        <v>977</v>
      </c>
      <c r="R234" s="14">
        <v>43448</v>
      </c>
      <c r="S234" s="1" t="s">
        <v>503</v>
      </c>
      <c r="U234" s="48"/>
    </row>
    <row r="235" spans="1:21" x14ac:dyDescent="0.25">
      <c r="A235" s="1" t="s">
        <v>3733</v>
      </c>
      <c r="B235" s="1">
        <v>2018</v>
      </c>
      <c r="C235" s="2" t="s">
        <v>1473</v>
      </c>
      <c r="D235" s="1" t="s">
        <v>25</v>
      </c>
      <c r="E235" s="1" t="s">
        <v>503</v>
      </c>
      <c r="F235" s="1" t="s">
        <v>37</v>
      </c>
      <c r="G235" s="14">
        <v>43446</v>
      </c>
      <c r="H235" s="14" t="s">
        <v>28</v>
      </c>
      <c r="I235" s="2" t="s">
        <v>1474</v>
      </c>
      <c r="J235" s="2" t="s">
        <v>1475</v>
      </c>
      <c r="K235" s="13">
        <v>0.0625</v>
      </c>
      <c r="L235" s="13">
        <v>0.0625</v>
      </c>
      <c r="M235" s="13">
        <f>CRF_3[[#This Row],[Time Spent on Configuration]]+CRF_3[[#This Row],[Time Spent on Review/Testing]]</f>
        <v>NaN</v>
      </c>
      <c r="N235" s="1">
        <v>0</v>
      </c>
      <c r="O235" s="1" t="s">
        <v>956</v>
      </c>
      <c r="P235" s="1" t="s">
        <v>503</v>
      </c>
      <c r="Q235" s="1" t="s">
        <v>977</v>
      </c>
      <c r="R235" s="14">
        <v>43452</v>
      </c>
      <c r="S235" s="1" t="s">
        <v>503</v>
      </c>
      <c r="U235" s="48"/>
    </row>
    <row r="236" spans="1:21" x14ac:dyDescent="0.25">
      <c r="A236" s="1" t="s">
        <v>3733</v>
      </c>
      <c r="B236" s="1">
        <v>2018</v>
      </c>
      <c r="C236" s="2" t="s">
        <v>1473</v>
      </c>
      <c r="D236" s="1" t="s">
        <v>25</v>
      </c>
      <c r="E236" s="1" t="s">
        <v>503</v>
      </c>
      <c r="F236" s="1" t="s">
        <v>952</v>
      </c>
      <c r="G236" s="14">
        <v>43452</v>
      </c>
      <c r="H236" s="14" t="s">
        <v>50</v>
      </c>
      <c r="I236" s="2" t="s">
        <v>1476</v>
      </c>
      <c r="J236" s="2" t="s">
        <v>1477</v>
      </c>
      <c r="K236" s="13">
        <v>0.006944444445252884</v>
      </c>
      <c r="L236" s="13">
        <v>0.006944444445252884</v>
      </c>
      <c r="M236" s="13">
        <f>CRF_3[[#This Row],[Time Spent on Configuration]]+CRF_3[[#This Row],[Time Spent on Review/Testing]]</f>
        <v>NaN</v>
      </c>
      <c r="N236" s="1">
        <v>0</v>
      </c>
      <c r="O236" s="1" t="s">
        <v>956</v>
      </c>
      <c r="P236" s="1" t="s">
        <v>503</v>
      </c>
      <c r="Q236" s="1" t="s">
        <v>977</v>
      </c>
      <c r="R236" s="14">
        <v>43452</v>
      </c>
      <c r="S236" s="1" t="s">
        <v>503</v>
      </c>
      <c r="U236" s="48"/>
    </row>
    <row r="237" spans="1:21" x14ac:dyDescent="0.25">
      <c r="A237" s="1" t="s">
        <v>3733</v>
      </c>
      <c r="B237" s="1">
        <v>2018</v>
      </c>
      <c r="C237" s="2" t="s">
        <v>616</v>
      </c>
      <c r="D237" s="1" t="s">
        <v>1042</v>
      </c>
      <c r="E237" s="1" t="s">
        <v>503</v>
      </c>
      <c r="F237" s="1" t="s">
        <v>952</v>
      </c>
      <c r="G237" s="14">
        <v>43452</v>
      </c>
      <c r="H237" s="14" t="s">
        <v>953</v>
      </c>
      <c r="I237" s="2" t="s">
        <v>1478</v>
      </c>
      <c r="J237" s="2" t="s">
        <v>1479</v>
      </c>
      <c r="K237" s="13">
        <v>0.010416666667879326</v>
      </c>
      <c r="L237" s="13">
        <v>0.010416666667879326</v>
      </c>
      <c r="M237" s="13">
        <f>CRF_3[[#This Row],[Time Spent on Configuration]]+CRF_3[[#This Row],[Time Spent on Review/Testing]]</f>
        <v>NaN</v>
      </c>
      <c r="N237" s="1">
        <v>0</v>
      </c>
      <c r="O237" s="1" t="s">
        <v>956</v>
      </c>
      <c r="P237" s="1" t="s">
        <v>503</v>
      </c>
      <c r="Q237" s="1" t="s">
        <v>484</v>
      </c>
      <c r="R237" s="14">
        <v>43452</v>
      </c>
      <c r="S237" s="1" t="s">
        <v>503</v>
      </c>
      <c r="U237" s="48"/>
    </row>
    <row r="238" spans="1:21" x14ac:dyDescent="0.25">
      <c r="A238" s="1" t="s">
        <v>3733</v>
      </c>
      <c r="B238" s="1">
        <v>2018</v>
      </c>
      <c r="C238" s="2" t="s">
        <v>1047</v>
      </c>
      <c r="D238" s="1" t="s">
        <v>989</v>
      </c>
      <c r="E238" s="1" t="s">
        <v>503</v>
      </c>
      <c r="F238" s="1" t="s">
        <v>37</v>
      </c>
      <c r="G238" s="14">
        <v>43455</v>
      </c>
      <c r="H238" s="14" t="s">
        <v>28</v>
      </c>
      <c r="I238" s="2" t="s">
        <v>4070</v>
      </c>
      <c r="J238" s="2" t="s">
        <v>1481</v>
      </c>
      <c r="K238" s="13">
        <v>0.052083333332120674</v>
      </c>
      <c r="L238" s="13">
        <v>0.052083333332120674</v>
      </c>
      <c r="M238" s="13">
        <f>CRF_3[[#This Row],[Time Spent on Configuration]]+CRF_3[[#This Row],[Time Spent on Review/Testing]]</f>
        <v>NaN</v>
      </c>
      <c r="N238" s="1">
        <v>0</v>
      </c>
      <c r="O238" s="1" t="s">
        <v>574</v>
      </c>
      <c r="P238" s="1" t="s">
        <v>503</v>
      </c>
      <c r="Q238" s="1" t="s">
        <v>484</v>
      </c>
      <c r="R238" s="14">
        <v>43455</v>
      </c>
      <c r="S238" s="1" t="s">
        <v>503</v>
      </c>
      <c r="U238" s="48"/>
    </row>
    <row r="239" spans="1:21" x14ac:dyDescent="0.25">
      <c r="A239" s="1" t="s">
        <v>3733</v>
      </c>
      <c r="B239" s="1">
        <v>2018</v>
      </c>
      <c r="C239" s="2" t="s">
        <v>525</v>
      </c>
      <c r="D239" s="1" t="s">
        <v>25</v>
      </c>
      <c r="E239" s="1" t="s">
        <v>503</v>
      </c>
      <c r="F239" s="1" t="s">
        <v>37</v>
      </c>
      <c r="G239" s="14">
        <v>43455</v>
      </c>
      <c r="H239" s="14" t="s">
        <v>28</v>
      </c>
      <c r="I239" s="2" t="s">
        <v>4071</v>
      </c>
      <c r="J239" s="2" t="s">
        <v>1483</v>
      </c>
      <c r="K239" s="13">
        <v>0.07291666666787933</v>
      </c>
      <c r="L239" s="13">
        <v>0.07291666666787933</v>
      </c>
      <c r="M239" s="13">
        <f>CRF_3[[#This Row],[Time Spent on Configuration]]+CRF_3[[#This Row],[Time Spent on Review/Testing]]</f>
        <v>NaN</v>
      </c>
      <c r="N239" s="1">
        <v>0</v>
      </c>
      <c r="O239" s="1" t="s">
        <v>574</v>
      </c>
      <c r="P239" s="1" t="s">
        <v>503</v>
      </c>
      <c r="Q239" s="1" t="s">
        <v>977</v>
      </c>
      <c r="R239" s="14">
        <v>43455</v>
      </c>
      <c r="S239" s="1" t="s">
        <v>503</v>
      </c>
      <c r="U239" s="48"/>
    </row>
    <row r="240" spans="1:21" x14ac:dyDescent="0.25">
      <c r="A240" s="1" t="s">
        <v>3733</v>
      </c>
      <c r="B240" s="1">
        <v>2018</v>
      </c>
      <c r="C240" s="2" t="s">
        <v>1047</v>
      </c>
      <c r="D240" s="1" t="s">
        <v>989</v>
      </c>
      <c r="E240" s="1" t="s">
        <v>503</v>
      </c>
      <c r="F240" s="1" t="s">
        <v>37</v>
      </c>
      <c r="G240" s="14">
        <v>43458</v>
      </c>
      <c r="H240" s="14" t="s">
        <v>28</v>
      </c>
      <c r="I240" s="2" t="s">
        <v>1484</v>
      </c>
      <c r="J240" s="2" t="s">
        <v>1485</v>
      </c>
      <c r="K240" s="13">
        <v>0.020833333332120674</v>
      </c>
      <c r="L240" s="13">
        <v>0.020833333332120674</v>
      </c>
      <c r="M240" s="13">
        <f>CRF_3[[#This Row],[Time Spent on Configuration]]+CRF_3[[#This Row],[Time Spent on Review/Testing]]</f>
        <v>NaN</v>
      </c>
      <c r="N240" s="1">
        <v>0</v>
      </c>
      <c r="O240" s="1" t="s">
        <v>956</v>
      </c>
      <c r="P240" s="1" t="s">
        <v>503</v>
      </c>
      <c r="Q240" s="1" t="s">
        <v>484</v>
      </c>
      <c r="R240" s="14">
        <v>43458</v>
      </c>
      <c r="S240" s="1" t="s">
        <v>503</v>
      </c>
      <c r="U240" s="48"/>
    </row>
    <row r="241" spans="1:21" x14ac:dyDescent="0.25">
      <c r="A241" s="1" t="s">
        <v>3733</v>
      </c>
      <c r="B241" s="1">
        <v>2018</v>
      </c>
      <c r="C241" s="2" t="s">
        <v>99</v>
      </c>
      <c r="D241" s="1" t="s">
        <v>25</v>
      </c>
      <c r="E241" s="1" t="s">
        <v>503</v>
      </c>
      <c r="F241" s="1" t="s">
        <v>27</v>
      </c>
      <c r="G241" s="14">
        <v>43462</v>
      </c>
      <c r="H241" s="14" t="s">
        <v>255</v>
      </c>
      <c r="I241" s="2" t="s">
        <v>1486</v>
      </c>
      <c r="J241" s="2" t="s">
        <v>1487</v>
      </c>
      <c r="K241" s="13">
        <v>0.013888888890505768</v>
      </c>
      <c r="L241" s="13">
        <v>0.013888888890505768</v>
      </c>
      <c r="M241" s="13">
        <f>CRF_3[[#This Row],[Time Spent on Configuration]]+CRF_3[[#This Row],[Time Spent on Review/Testing]]</f>
        <v>NaN</v>
      </c>
      <c r="N241" s="1">
        <v>0</v>
      </c>
      <c r="O241" s="1" t="s">
        <v>956</v>
      </c>
      <c r="P241" s="1" t="s">
        <v>503</v>
      </c>
      <c r="Q241" s="1" t="s">
        <v>977</v>
      </c>
      <c r="R241" s="14">
        <v>43462</v>
      </c>
      <c r="S241" s="1" t="s">
        <v>503</v>
      </c>
      <c r="U241" s="48"/>
    </row>
    <row r="242" spans="1:21" x14ac:dyDescent="0.25">
      <c r="A242" s="1" t="s">
        <v>3733</v>
      </c>
      <c r="B242" s="1">
        <v>2018</v>
      </c>
      <c r="C242" s="2" t="s">
        <v>796</v>
      </c>
      <c r="D242" s="1" t="s">
        <v>285</v>
      </c>
      <c r="E242" s="1" t="s">
        <v>503</v>
      </c>
      <c r="F242" s="1" t="s">
        <v>27</v>
      </c>
      <c r="G242" s="14">
        <v>43462</v>
      </c>
      <c r="H242" s="14" t="s">
        <v>50</v>
      </c>
      <c r="I242" s="2" t="s">
        <v>1488</v>
      </c>
      <c r="J242" s="2" t="s">
        <v>1489</v>
      </c>
      <c r="K242" s="13">
        <v>0.036458333332120674</v>
      </c>
      <c r="L242" s="13">
        <v>0.036458333332120674</v>
      </c>
      <c r="M242" s="13">
        <f>CRF_3[[#This Row],[Time Spent on Configuration]]+CRF_3[[#This Row],[Time Spent on Review/Testing]]</f>
        <v>NaN</v>
      </c>
      <c r="N242" s="1">
        <v>0</v>
      </c>
      <c r="O242" s="1" t="s">
        <v>1430</v>
      </c>
      <c r="P242" s="1" t="s">
        <v>503</v>
      </c>
      <c r="Q242" s="1" t="s">
        <v>977</v>
      </c>
      <c r="R242" s="14">
        <v>43462</v>
      </c>
      <c r="S242" s="1" t="s">
        <v>503</v>
      </c>
      <c r="U242" s="48"/>
    </row>
    <row r="243" spans="1:21" x14ac:dyDescent="0.25">
      <c r="A243" s="1" t="s">
        <v>3733</v>
      </c>
      <c r="B243" s="1">
        <v>2018</v>
      </c>
      <c r="C243" s="2" t="s">
        <v>1093</v>
      </c>
      <c r="D243" s="1" t="s">
        <v>25</v>
      </c>
      <c r="E243" s="1" t="s">
        <v>503</v>
      </c>
      <c r="F243" s="1" t="s">
        <v>37</v>
      </c>
      <c r="G243" s="14">
        <v>43462</v>
      </c>
      <c r="H243" s="14" t="s">
        <v>28</v>
      </c>
      <c r="I243" s="2" t="s">
        <v>1490</v>
      </c>
      <c r="J243" s="2" t="s">
        <v>1491</v>
      </c>
      <c r="K243" s="13">
        <v>0.013888888890505768</v>
      </c>
      <c r="L243" s="13">
        <v>0.013888888890505768</v>
      </c>
      <c r="M243" s="13">
        <f>CRF_3[[#This Row],[Time Spent on Configuration]]+CRF_3[[#This Row],[Time Spent on Review/Testing]]</f>
        <v>NaN</v>
      </c>
      <c r="N243" s="1">
        <v>0</v>
      </c>
      <c r="O243" s="1" t="s">
        <v>1314</v>
      </c>
      <c r="P243" s="1" t="s">
        <v>503</v>
      </c>
      <c r="Q243" s="1" t="s">
        <v>977</v>
      </c>
      <c r="R243" s="14">
        <v>43462</v>
      </c>
      <c r="S243" s="1" t="s">
        <v>503</v>
      </c>
      <c r="U243" s="48"/>
    </row>
    <row r="244" spans="1:21" x14ac:dyDescent="0.25">
      <c r="A244" s="1" t="s">
        <v>3576</v>
      </c>
      <c r="B244" s="1">
        <v>2019</v>
      </c>
      <c r="C244" s="2" t="s">
        <v>199</v>
      </c>
      <c r="D244" s="1" t="s">
        <v>541</v>
      </c>
      <c r="E244" s="1" t="s">
        <v>503</v>
      </c>
      <c r="F244" s="1" t="s">
        <v>37</v>
      </c>
      <c r="G244" s="14">
        <v>43474</v>
      </c>
      <c r="H244" s="14" t="s">
        <v>28</v>
      </c>
      <c r="I244" s="2" t="s">
        <v>1493</v>
      </c>
      <c r="J244" s="2" t="s">
        <v>1494</v>
      </c>
      <c r="K244" s="13">
        <v>0.024305555554747116</v>
      </c>
      <c r="L244" s="13">
        <v>0.024305555554747116</v>
      </c>
      <c r="M244" s="13">
        <f>CRF_3[[#This Row],[Time Spent on Configuration]]+CRF_3[[#This Row],[Time Spent on Review/Testing]]</f>
        <v>NaN</v>
      </c>
      <c r="N244" s="1">
        <v>0</v>
      </c>
      <c r="O244" s="1" t="s">
        <v>956</v>
      </c>
      <c r="P244" s="1" t="s">
        <v>503</v>
      </c>
      <c r="Q244" s="1" t="s">
        <v>488</v>
      </c>
      <c r="R244" s="14">
        <v>43474</v>
      </c>
      <c r="S244" s="1" t="s">
        <v>503</v>
      </c>
      <c r="U244" s="48"/>
    </row>
    <row r="245" ht="30" customHeight="1" spans="1:21" x14ac:dyDescent="0.25">
      <c r="A245" s="1" t="s">
        <v>3576</v>
      </c>
      <c r="B245" s="1">
        <v>2019</v>
      </c>
      <c r="C245" s="2" t="s">
        <v>1212</v>
      </c>
      <c r="D245" s="1" t="s">
        <v>25</v>
      </c>
      <c r="E245" s="1" t="s">
        <v>503</v>
      </c>
      <c r="F245" s="1" t="s">
        <v>27</v>
      </c>
      <c r="G245" s="14">
        <v>43474</v>
      </c>
      <c r="H245" s="14" t="s">
        <v>50</v>
      </c>
      <c r="I245" s="2" t="s">
        <v>1495</v>
      </c>
      <c r="J245" s="2" t="s">
        <v>1496</v>
      </c>
      <c r="K245" s="13">
        <v>0.052083333332120674</v>
      </c>
      <c r="L245" s="13">
        <v>0.052083333332120674</v>
      </c>
      <c r="M245" s="13">
        <f>CRF_3[[#This Row],[Time Spent on Configuration]]+CRF_3[[#This Row],[Time Spent on Review/Testing]]</f>
        <v>NaN</v>
      </c>
      <c r="N245" s="1">
        <v>0</v>
      </c>
      <c r="O245" s="1" t="s">
        <v>574</v>
      </c>
      <c r="P245" s="1" t="s">
        <v>503</v>
      </c>
      <c r="Q245" s="1" t="s">
        <v>977</v>
      </c>
      <c r="R245" s="14">
        <v>43474</v>
      </c>
      <c r="S245" s="1" t="s">
        <v>503</v>
      </c>
      <c r="U245" s="48"/>
    </row>
    <row r="246" spans="1:21" x14ac:dyDescent="0.25">
      <c r="A246" s="1" t="s">
        <v>3576</v>
      </c>
      <c r="B246" s="1">
        <v>2019</v>
      </c>
      <c r="C246" s="2" t="s">
        <v>1442</v>
      </c>
      <c r="D246" s="1" t="s">
        <v>186</v>
      </c>
      <c r="E246" s="1" t="s">
        <v>503</v>
      </c>
      <c r="F246" s="1" t="s">
        <v>27</v>
      </c>
      <c r="G246" s="14">
        <v>43475</v>
      </c>
      <c r="H246" s="14" t="s">
        <v>28</v>
      </c>
      <c r="I246" s="2" t="s">
        <v>1497</v>
      </c>
      <c r="J246" s="2" t="s">
        <v>1498</v>
      </c>
      <c r="K246" s="13">
        <v>0.008680555554747116</v>
      </c>
      <c r="L246" s="13">
        <v>0.008680555554747116</v>
      </c>
      <c r="M246" s="13">
        <f>CRF_3[[#This Row],[Time Spent on Configuration]]+CRF_3[[#This Row],[Time Spent on Review/Testing]]</f>
        <v>NaN</v>
      </c>
      <c r="N246" s="1">
        <v>0</v>
      </c>
      <c r="O246" s="1" t="s">
        <v>1314</v>
      </c>
      <c r="P246" s="1" t="s">
        <v>503</v>
      </c>
      <c r="Q246" s="1" t="s">
        <v>488</v>
      </c>
      <c r="R246" s="14">
        <v>43475</v>
      </c>
      <c r="S246" s="1" t="s">
        <v>503</v>
      </c>
      <c r="U246" s="48"/>
    </row>
    <row r="247" spans="1:21" x14ac:dyDescent="0.25">
      <c r="A247" s="1" t="s">
        <v>3576</v>
      </c>
      <c r="B247" s="1">
        <v>2019</v>
      </c>
      <c r="C247" s="2" t="s">
        <v>525</v>
      </c>
      <c r="D247" s="1" t="s">
        <v>25</v>
      </c>
      <c r="E247" s="1" t="s">
        <v>503</v>
      </c>
      <c r="F247" s="1" t="s">
        <v>952</v>
      </c>
      <c r="G247" s="14">
        <v>43476</v>
      </c>
      <c r="H247" s="14" t="s">
        <v>28</v>
      </c>
      <c r="I247" s="2" t="s">
        <v>1499</v>
      </c>
      <c r="J247" s="2" t="s">
        <v>1500</v>
      </c>
      <c r="K247" s="13">
        <v>0.06874999999854481</v>
      </c>
      <c r="L247" s="13">
        <v>0.06874999999854481</v>
      </c>
      <c r="M247" s="13">
        <f>CRF_3[[#This Row],[Time Spent on Configuration]]+CRF_3[[#This Row],[Time Spent on Review/Testing]]</f>
        <v>NaN</v>
      </c>
      <c r="N247" s="1">
        <v>0</v>
      </c>
      <c r="O247" s="1" t="s">
        <v>956</v>
      </c>
      <c r="P247" s="1" t="s">
        <v>503</v>
      </c>
      <c r="Q247" s="1" t="s">
        <v>977</v>
      </c>
      <c r="R247" s="14">
        <v>43476</v>
      </c>
      <c r="S247" s="1" t="s">
        <v>503</v>
      </c>
      <c r="U247" s="48"/>
    </row>
    <row r="248" spans="1:21" x14ac:dyDescent="0.25">
      <c r="A248" s="1" t="s">
        <v>3576</v>
      </c>
      <c r="B248" s="1">
        <v>2019</v>
      </c>
      <c r="C248" s="2" t="s">
        <v>1451</v>
      </c>
      <c r="D248" s="1" t="s">
        <v>25</v>
      </c>
      <c r="E248" s="1" t="s">
        <v>503</v>
      </c>
      <c r="F248" s="1" t="s">
        <v>37</v>
      </c>
      <c r="G248" s="14">
        <v>43482</v>
      </c>
      <c r="H248" s="14" t="s">
        <v>255</v>
      </c>
      <c r="I248" s="2" t="s">
        <v>1501</v>
      </c>
      <c r="J248" s="2" t="s">
        <v>1502</v>
      </c>
      <c r="K248" s="13">
        <v>0.03298611110949423</v>
      </c>
      <c r="L248" s="13">
        <v>0.03298611110949423</v>
      </c>
      <c r="M248" s="13">
        <f>CRF_3[[#This Row],[Time Spent on Configuration]]+CRF_3[[#This Row],[Time Spent on Review/Testing]]</f>
        <v>NaN</v>
      </c>
      <c r="N248" s="1">
        <v>0</v>
      </c>
      <c r="O248" s="1" t="s">
        <v>956</v>
      </c>
      <c r="P248" s="1" t="s">
        <v>503</v>
      </c>
      <c r="Q248" s="1" t="s">
        <v>488</v>
      </c>
      <c r="R248" s="14">
        <v>43482</v>
      </c>
      <c r="S248" s="1" t="s">
        <v>503</v>
      </c>
      <c r="U248" s="48"/>
    </row>
    <row r="249" spans="1:21" x14ac:dyDescent="0.25">
      <c r="A249" s="1" t="s">
        <v>3576</v>
      </c>
      <c r="B249" s="1">
        <v>2019</v>
      </c>
      <c r="C249" s="2" t="s">
        <v>1047</v>
      </c>
      <c r="D249" s="1" t="s">
        <v>989</v>
      </c>
      <c r="E249" s="1" t="s">
        <v>503</v>
      </c>
      <c r="F249" s="1" t="s">
        <v>37</v>
      </c>
      <c r="G249" s="14">
        <v>43482</v>
      </c>
      <c r="H249" s="14" t="s">
        <v>1368</v>
      </c>
      <c r="I249" s="2" t="s">
        <v>1503</v>
      </c>
      <c r="J249" s="2" t="s">
        <v>1504</v>
      </c>
      <c r="K249" s="13">
        <v>0.3125</v>
      </c>
      <c r="L249" s="13">
        <v>0.3125</v>
      </c>
      <c r="M249" s="13">
        <f>CRF_3[[#This Row],[Time Spent on Configuration]]+CRF_3[[#This Row],[Time Spent on Review/Testing]]</f>
        <v>NaN</v>
      </c>
      <c r="N249" s="1">
        <v>0</v>
      </c>
      <c r="O249" s="1" t="s">
        <v>956</v>
      </c>
      <c r="P249" s="1" t="s">
        <v>503</v>
      </c>
      <c r="Q249" s="1" t="s">
        <v>484</v>
      </c>
      <c r="R249" s="14">
        <v>43483</v>
      </c>
      <c r="S249" s="1" t="s">
        <v>503</v>
      </c>
      <c r="U249" s="48"/>
    </row>
    <row r="250" spans="1:21" x14ac:dyDescent="0.25">
      <c r="A250" s="1" t="s">
        <v>3576</v>
      </c>
      <c r="B250" s="1">
        <v>2019</v>
      </c>
      <c r="C250" s="2" t="s">
        <v>1451</v>
      </c>
      <c r="D250" s="1" t="s">
        <v>25</v>
      </c>
      <c r="E250" s="1" t="s">
        <v>503</v>
      </c>
      <c r="F250" s="1" t="s">
        <v>37</v>
      </c>
      <c r="G250" s="14">
        <v>43483</v>
      </c>
      <c r="H250" s="14" t="s">
        <v>28</v>
      </c>
      <c r="I250" s="2" t="s">
        <v>1505</v>
      </c>
      <c r="J250" s="2" t="s">
        <v>1506</v>
      </c>
      <c r="K250" s="13">
        <v>0.25277777777955635</v>
      </c>
      <c r="L250" s="13">
        <v>0.25277777777955635</v>
      </c>
      <c r="M250" s="13">
        <f>CRF_3[[#This Row],[Time Spent on Configuration]]+CRF_3[[#This Row],[Time Spent on Review/Testing]]</f>
        <v>NaN</v>
      </c>
      <c r="N250" s="1">
        <v>0</v>
      </c>
      <c r="O250" s="1" t="s">
        <v>1430</v>
      </c>
      <c r="P250" s="1" t="s">
        <v>503</v>
      </c>
      <c r="Q250" s="1" t="s">
        <v>488</v>
      </c>
      <c r="R250" s="14">
        <v>43483</v>
      </c>
      <c r="S250" s="1" t="s">
        <v>503</v>
      </c>
      <c r="U250" s="48"/>
    </row>
    <row r="251" spans="1:21" x14ac:dyDescent="0.25">
      <c r="A251" s="1" t="s">
        <v>3576</v>
      </c>
      <c r="B251" s="1">
        <v>2019</v>
      </c>
      <c r="C251" s="2" t="s">
        <v>35</v>
      </c>
      <c r="D251" s="1" t="s">
        <v>25</v>
      </c>
      <c r="E251" s="1" t="s">
        <v>503</v>
      </c>
      <c r="F251" s="1" t="s">
        <v>37</v>
      </c>
      <c r="G251" s="14">
        <v>43483</v>
      </c>
      <c r="H251" s="14" t="s">
        <v>28</v>
      </c>
      <c r="I251" s="2" t="s">
        <v>1507</v>
      </c>
      <c r="J251" s="2" t="s">
        <v>1508</v>
      </c>
      <c r="K251" s="13">
        <v>0.02118055555547471</v>
      </c>
      <c r="L251" s="13">
        <v>0.02118055555547471</v>
      </c>
      <c r="M251" s="13">
        <f>CRF_3[[#This Row],[Time Spent on Configuration]]+CRF_3[[#This Row],[Time Spent on Review/Testing]]</f>
        <v>NaN</v>
      </c>
      <c r="N251" s="1">
        <v>0</v>
      </c>
      <c r="O251" s="1" t="s">
        <v>1430</v>
      </c>
      <c r="P251" s="1" t="s">
        <v>503</v>
      </c>
      <c r="Q251" s="1" t="s">
        <v>488</v>
      </c>
      <c r="R251" s="14">
        <v>43483</v>
      </c>
      <c r="S251" s="1" t="s">
        <v>503</v>
      </c>
      <c r="U251" s="48"/>
    </row>
    <row r="252" ht="30" customHeight="1" spans="1:21" x14ac:dyDescent="0.25">
      <c r="A252" s="1" t="s">
        <v>3576</v>
      </c>
      <c r="B252" s="1">
        <v>2019</v>
      </c>
      <c r="C252" s="2" t="s">
        <v>1212</v>
      </c>
      <c r="D252" s="1" t="s">
        <v>25</v>
      </c>
      <c r="E252" s="1" t="s">
        <v>503</v>
      </c>
      <c r="F252" s="1" t="s">
        <v>27</v>
      </c>
      <c r="G252" s="14">
        <v>43486</v>
      </c>
      <c r="H252" s="14" t="s">
        <v>28</v>
      </c>
      <c r="I252" s="2" t="s">
        <v>1509</v>
      </c>
      <c r="J252" s="2" t="s">
        <v>1510</v>
      </c>
      <c r="K252" s="13">
        <v>0.041666666667879326</v>
      </c>
      <c r="L252" s="13">
        <v>0.041666666667879326</v>
      </c>
      <c r="M252" s="13">
        <f>CRF_3[[#This Row],[Time Spent on Configuration]]+CRF_3[[#This Row],[Time Spent on Review/Testing]]</f>
        <v>NaN</v>
      </c>
      <c r="N252" s="1">
        <v>0</v>
      </c>
      <c r="O252" s="1" t="s">
        <v>956</v>
      </c>
      <c r="P252" s="1" t="s">
        <v>503</v>
      </c>
      <c r="Q252" s="1" t="s">
        <v>488</v>
      </c>
      <c r="R252" s="14">
        <v>43488</v>
      </c>
      <c r="S252" s="1" t="s">
        <v>503</v>
      </c>
      <c r="U252" s="48"/>
    </row>
    <row r="253" spans="1:21" x14ac:dyDescent="0.25">
      <c r="A253" s="1" t="s">
        <v>3576</v>
      </c>
      <c r="B253" s="1">
        <v>2019</v>
      </c>
      <c r="C253" s="2" t="s">
        <v>796</v>
      </c>
      <c r="D253" s="1" t="s">
        <v>285</v>
      </c>
      <c r="E253" s="1" t="s">
        <v>503</v>
      </c>
      <c r="F253" s="1" t="s">
        <v>27</v>
      </c>
      <c r="G253" s="14">
        <v>43489</v>
      </c>
      <c r="H253" s="14" t="s">
        <v>50</v>
      </c>
      <c r="I253" s="2" t="s">
        <v>1511</v>
      </c>
      <c r="J253" s="2" t="s">
        <v>1512</v>
      </c>
      <c r="K253" s="13">
        <v>0.020833333332120674</v>
      </c>
      <c r="L253" s="13">
        <v>0.020833333332120674</v>
      </c>
      <c r="M253" s="13">
        <f>CRF_3[[#This Row],[Time Spent on Configuration]]+CRF_3[[#This Row],[Time Spent on Review/Testing]]</f>
        <v>NaN</v>
      </c>
      <c r="N253" s="1">
        <v>0</v>
      </c>
      <c r="O253" s="1" t="s">
        <v>956</v>
      </c>
      <c r="P253" s="1" t="s">
        <v>503</v>
      </c>
      <c r="Q253" s="1" t="s">
        <v>484</v>
      </c>
      <c r="R253" s="14">
        <v>43489</v>
      </c>
      <c r="S253" s="1" t="s">
        <v>503</v>
      </c>
      <c r="U253" s="48"/>
    </row>
    <row r="254" spans="1:21" x14ac:dyDescent="0.25">
      <c r="A254" s="1" t="s">
        <v>3576</v>
      </c>
      <c r="B254" s="1">
        <v>2019</v>
      </c>
      <c r="C254" s="2" t="s">
        <v>525</v>
      </c>
      <c r="D254" s="1" t="s">
        <v>25</v>
      </c>
      <c r="E254" s="1" t="s">
        <v>503</v>
      </c>
      <c r="F254" s="1" t="s">
        <v>37</v>
      </c>
      <c r="G254" s="14">
        <v>43489</v>
      </c>
      <c r="H254" s="14" t="s">
        <v>28</v>
      </c>
      <c r="I254" s="2" t="s">
        <v>1513</v>
      </c>
      <c r="J254" s="2" t="s">
        <v>1514</v>
      </c>
      <c r="K254" s="13">
        <v>0.020833333332120674</v>
      </c>
      <c r="L254" s="13">
        <v>0.020833333332120674</v>
      </c>
      <c r="M254" s="13">
        <f>CRF_3[[#This Row],[Time Spent on Configuration]]+CRF_3[[#This Row],[Time Spent on Review/Testing]]</f>
        <v>NaN</v>
      </c>
      <c r="N254" s="1">
        <v>0</v>
      </c>
      <c r="O254" s="1" t="s">
        <v>956</v>
      </c>
      <c r="P254" s="1" t="s">
        <v>503</v>
      </c>
      <c r="Q254" s="1" t="s">
        <v>977</v>
      </c>
      <c r="R254" s="14">
        <v>43489</v>
      </c>
      <c r="S254" s="1" t="s">
        <v>503</v>
      </c>
      <c r="U254" s="48"/>
    </row>
    <row r="255" spans="1:21" x14ac:dyDescent="0.25">
      <c r="A255" s="1" t="s">
        <v>3576</v>
      </c>
      <c r="B255" s="1">
        <v>2019</v>
      </c>
      <c r="C255" s="2" t="s">
        <v>122</v>
      </c>
      <c r="D255" s="1" t="s">
        <v>123</v>
      </c>
      <c r="E255" s="1" t="s">
        <v>503</v>
      </c>
      <c r="F255" s="1" t="s">
        <v>27</v>
      </c>
      <c r="G255" s="14">
        <v>43489</v>
      </c>
      <c r="H255" s="14" t="s">
        <v>28</v>
      </c>
      <c r="I255" s="2" t="s">
        <v>1325</v>
      </c>
      <c r="J255" s="2" t="s">
        <v>1515</v>
      </c>
      <c r="K255" s="13">
        <v>0.015625</v>
      </c>
      <c r="L255" s="13">
        <v>0.015625</v>
      </c>
      <c r="M255" s="13">
        <f>CRF_3[[#This Row],[Time Spent on Configuration]]+CRF_3[[#This Row],[Time Spent on Review/Testing]]</f>
        <v>NaN</v>
      </c>
      <c r="N255" s="1">
        <v>0</v>
      </c>
      <c r="O255" s="1" t="s">
        <v>956</v>
      </c>
      <c r="P255" s="1" t="s">
        <v>503</v>
      </c>
      <c r="Q255" s="1" t="s">
        <v>977</v>
      </c>
      <c r="R255" s="14">
        <v>43489</v>
      </c>
      <c r="S255" s="1" t="s">
        <v>503</v>
      </c>
      <c r="U255" s="48"/>
    </row>
    <row r="256" spans="1:21" x14ac:dyDescent="0.25">
      <c r="A256" s="1" t="s">
        <v>3576</v>
      </c>
      <c r="B256" s="1">
        <v>2019</v>
      </c>
      <c r="C256" s="2" t="s">
        <v>1093</v>
      </c>
      <c r="D256" s="1" t="s">
        <v>25</v>
      </c>
      <c r="E256" s="1" t="s">
        <v>503</v>
      </c>
      <c r="F256" s="1" t="s">
        <v>37</v>
      </c>
      <c r="G256" s="14">
        <v>43491</v>
      </c>
      <c r="H256" s="14" t="s">
        <v>953</v>
      </c>
      <c r="I256" s="2" t="s">
        <v>1516</v>
      </c>
      <c r="J256" s="2" t="s">
        <v>1517</v>
      </c>
      <c r="K256" s="13">
        <v>0.0017361111094942316</v>
      </c>
      <c r="L256" s="13">
        <v>0.0017361111094942316</v>
      </c>
      <c r="M256" s="13">
        <f>CRF_3[[#This Row],[Time Spent on Configuration]]+CRF_3[[#This Row],[Time Spent on Review/Testing]]</f>
        <v>NaN</v>
      </c>
      <c r="N256" s="1">
        <v>0</v>
      </c>
      <c r="O256" s="1" t="s">
        <v>347</v>
      </c>
      <c r="P256" s="1" t="s">
        <v>503</v>
      </c>
      <c r="Q256" s="1" t="s">
        <v>977</v>
      </c>
      <c r="R256" s="14">
        <v>43491</v>
      </c>
      <c r="S256" s="1" t="s">
        <v>503</v>
      </c>
      <c r="U256" s="48"/>
    </row>
    <row r="257" spans="1:21" x14ac:dyDescent="0.25">
      <c r="A257" s="1" t="s">
        <v>3576</v>
      </c>
      <c r="B257" s="1">
        <v>2019</v>
      </c>
      <c r="C257" s="2" t="s">
        <v>525</v>
      </c>
      <c r="D257" s="1" t="s">
        <v>25</v>
      </c>
      <c r="E257" s="1" t="s">
        <v>503</v>
      </c>
      <c r="F257" s="1" t="s">
        <v>37</v>
      </c>
      <c r="G257" s="14">
        <v>43495</v>
      </c>
      <c r="H257" s="14" t="s">
        <v>953</v>
      </c>
      <c r="I257" s="2" t="s">
        <v>1518</v>
      </c>
      <c r="J257" s="2" t="s">
        <v>1519</v>
      </c>
      <c r="K257" s="13">
        <v>0.006944444445252884</v>
      </c>
      <c r="L257" s="13">
        <v>0.006944444445252884</v>
      </c>
      <c r="M257" s="13">
        <f>CRF_3[[#This Row],[Time Spent on Configuration]]+CRF_3[[#This Row],[Time Spent on Review/Testing]]</f>
        <v>NaN</v>
      </c>
      <c r="N257" s="1">
        <v>0</v>
      </c>
      <c r="O257" s="1" t="s">
        <v>1314</v>
      </c>
      <c r="P257" s="1" t="s">
        <v>503</v>
      </c>
      <c r="Q257" s="1" t="s">
        <v>977</v>
      </c>
      <c r="R257" s="14">
        <v>43495</v>
      </c>
      <c r="S257" s="1" t="s">
        <v>503</v>
      </c>
      <c r="U257" s="48"/>
    </row>
    <row r="258" spans="1:21" x14ac:dyDescent="0.25">
      <c r="A258" s="1" t="s">
        <v>3576</v>
      </c>
      <c r="B258" s="1">
        <v>2019</v>
      </c>
      <c r="C258" s="2" t="s">
        <v>1047</v>
      </c>
      <c r="D258" s="1" t="s">
        <v>989</v>
      </c>
      <c r="E258" s="1" t="s">
        <v>503</v>
      </c>
      <c r="F258" s="1" t="s">
        <v>37</v>
      </c>
      <c r="G258" s="14">
        <v>43495</v>
      </c>
      <c r="H258" s="14" t="s">
        <v>28</v>
      </c>
      <c r="I258" s="2" t="s">
        <v>1520</v>
      </c>
      <c r="J258" s="2" t="s">
        <v>1521</v>
      </c>
      <c r="K258" s="13">
        <v>0.020833333332120674</v>
      </c>
      <c r="L258" s="13">
        <v>0.020833333332120674</v>
      </c>
      <c r="M258" s="13">
        <f>CRF_3[[#This Row],[Time Spent on Configuration]]+CRF_3[[#This Row],[Time Spent on Review/Testing]]</f>
        <v>NaN</v>
      </c>
      <c r="N258" s="1">
        <v>0</v>
      </c>
      <c r="O258" s="1" t="s">
        <v>956</v>
      </c>
      <c r="P258" s="1" t="s">
        <v>503</v>
      </c>
      <c r="Q258" s="1" t="s">
        <v>484</v>
      </c>
      <c r="R258" s="14">
        <v>43495</v>
      </c>
      <c r="S258" s="1" t="s">
        <v>503</v>
      </c>
      <c r="U258" s="48"/>
    </row>
    <row r="259" spans="1:21" x14ac:dyDescent="0.25">
      <c r="A259" s="1" t="s">
        <v>3576</v>
      </c>
      <c r="B259" s="1">
        <v>2019</v>
      </c>
      <c r="C259" s="2" t="s">
        <v>796</v>
      </c>
      <c r="D259" s="1" t="s">
        <v>285</v>
      </c>
      <c r="E259" s="1" t="s">
        <v>503</v>
      </c>
      <c r="F259" s="1" t="s">
        <v>37</v>
      </c>
      <c r="G259" s="14">
        <v>43496</v>
      </c>
      <c r="H259" s="14" t="s">
        <v>953</v>
      </c>
      <c r="I259" s="2" t="s">
        <v>1522</v>
      </c>
      <c r="J259" s="2" t="s">
        <v>1523</v>
      </c>
      <c r="K259" s="13">
        <v>0.015625</v>
      </c>
      <c r="L259" s="13">
        <v>0.015625</v>
      </c>
      <c r="M259" s="13">
        <f>CRF_3[[#This Row],[Time Spent on Configuration]]+CRF_3[[#This Row],[Time Spent on Review/Testing]]</f>
        <v>NaN</v>
      </c>
      <c r="N259" s="1">
        <v>0</v>
      </c>
      <c r="O259" s="1" t="s">
        <v>1314</v>
      </c>
      <c r="P259" s="1" t="s">
        <v>503</v>
      </c>
      <c r="Q259" s="1" t="s">
        <v>977</v>
      </c>
      <c r="R259" s="14">
        <v>43496</v>
      </c>
      <c r="S259" s="1" t="s">
        <v>503</v>
      </c>
      <c r="U259" s="48"/>
    </row>
    <row r="260" spans="1:21" x14ac:dyDescent="0.25">
      <c r="A260" s="1" t="s">
        <v>3576</v>
      </c>
      <c r="B260" s="1">
        <v>2019</v>
      </c>
      <c r="C260" s="2" t="s">
        <v>1473</v>
      </c>
      <c r="D260" s="1" t="s">
        <v>25</v>
      </c>
      <c r="E260" s="1" t="s">
        <v>503</v>
      </c>
      <c r="F260" s="1" t="s">
        <v>37</v>
      </c>
      <c r="G260" s="14">
        <v>43496</v>
      </c>
      <c r="H260" s="14" t="s">
        <v>255</v>
      </c>
      <c r="I260" s="2" t="s">
        <v>1524</v>
      </c>
      <c r="J260" s="2" t="s">
        <v>1525</v>
      </c>
      <c r="K260" s="13">
        <v>0.03125</v>
      </c>
      <c r="L260" s="13">
        <v>0.03125</v>
      </c>
      <c r="M260" s="13">
        <f>CRF_3[[#This Row],[Time Spent on Configuration]]+CRF_3[[#This Row],[Time Spent on Review/Testing]]</f>
        <v>NaN</v>
      </c>
      <c r="N260" s="1">
        <v>0</v>
      </c>
      <c r="O260" s="1" t="s">
        <v>1314</v>
      </c>
      <c r="P260" s="1" t="s">
        <v>503</v>
      </c>
      <c r="Q260" s="1" t="s">
        <v>977</v>
      </c>
      <c r="R260" s="14">
        <v>43496</v>
      </c>
      <c r="S260" s="1" t="s">
        <v>503</v>
      </c>
      <c r="U260" s="48"/>
    </row>
    <row r="261" spans="1:21" x14ac:dyDescent="0.25">
      <c r="A261" s="1" t="s">
        <v>3594</v>
      </c>
      <c r="B261" s="1">
        <v>2019</v>
      </c>
      <c r="C261" s="2" t="s">
        <v>1047</v>
      </c>
      <c r="D261" s="1" t="s">
        <v>989</v>
      </c>
      <c r="E261" s="1" t="s">
        <v>503</v>
      </c>
      <c r="F261" s="1" t="s">
        <v>37</v>
      </c>
      <c r="G261" s="14">
        <v>43502</v>
      </c>
      <c r="H261" s="14" t="s">
        <v>28</v>
      </c>
      <c r="I261" s="2" t="s">
        <v>1527</v>
      </c>
      <c r="J261" s="2" t="s">
        <v>1528</v>
      </c>
      <c r="K261" s="13">
        <v>0.005208333332120674</v>
      </c>
      <c r="L261" s="13">
        <v>0.005208333332120674</v>
      </c>
      <c r="M261" s="13">
        <f>CRF_3[[#This Row],[Time Spent on Configuration]]+CRF_3[[#This Row],[Time Spent on Review/Testing]]</f>
        <v>NaN</v>
      </c>
      <c r="N261" s="1">
        <v>0</v>
      </c>
      <c r="O261" s="1" t="s">
        <v>1529</v>
      </c>
      <c r="P261" s="1" t="s">
        <v>503</v>
      </c>
      <c r="Q261" s="1" t="s">
        <v>484</v>
      </c>
      <c r="R261" s="14">
        <v>43503</v>
      </c>
      <c r="S261" s="1" t="s">
        <v>503</v>
      </c>
      <c r="U261" s="48"/>
    </row>
    <row r="262" spans="1:21" x14ac:dyDescent="0.25">
      <c r="A262" s="1" t="s">
        <v>3594</v>
      </c>
      <c r="B262" s="1">
        <v>2019</v>
      </c>
      <c r="C262" s="2" t="s">
        <v>122</v>
      </c>
      <c r="D262" s="1" t="s">
        <v>123</v>
      </c>
      <c r="E262" s="1" t="s">
        <v>503</v>
      </c>
      <c r="F262" s="1" t="s">
        <v>27</v>
      </c>
      <c r="G262" s="14">
        <v>43504</v>
      </c>
      <c r="H262" s="14" t="s">
        <v>28</v>
      </c>
      <c r="I262" s="2" t="s">
        <v>1530</v>
      </c>
      <c r="J262" s="2" t="s">
        <v>1531</v>
      </c>
      <c r="K262" s="13">
        <v>0.020833333332120674</v>
      </c>
      <c r="L262" s="13">
        <v>0.020833333332120674</v>
      </c>
      <c r="M262" s="13">
        <f>CRF_3[[#This Row],[Time Spent on Configuration]]+CRF_3[[#This Row],[Time Spent on Review/Testing]]</f>
        <v>NaN</v>
      </c>
      <c r="N262" s="1">
        <v>0</v>
      </c>
      <c r="O262" s="1" t="s">
        <v>574</v>
      </c>
      <c r="P262" s="1" t="s">
        <v>503</v>
      </c>
      <c r="Q262" s="1" t="s">
        <v>977</v>
      </c>
      <c r="R262" s="14">
        <v>43504</v>
      </c>
      <c r="S262" s="1" t="s">
        <v>503</v>
      </c>
      <c r="U262" s="48"/>
    </row>
    <row r="263" spans="1:21" x14ac:dyDescent="0.25">
      <c r="A263" s="1" t="s">
        <v>3594</v>
      </c>
      <c r="B263" s="1">
        <v>2019</v>
      </c>
      <c r="C263" s="2" t="s">
        <v>1532</v>
      </c>
      <c r="D263" s="1" t="s">
        <v>1533</v>
      </c>
      <c r="E263" s="1" t="s">
        <v>503</v>
      </c>
      <c r="F263" s="1" t="s">
        <v>37</v>
      </c>
      <c r="G263" s="14">
        <v>43504</v>
      </c>
      <c r="H263" s="14" t="s">
        <v>28</v>
      </c>
      <c r="I263" s="2" t="s">
        <v>1513</v>
      </c>
      <c r="J263" s="2" t="s">
        <v>1534</v>
      </c>
      <c r="K263" s="13">
        <v>0.010416666667879326</v>
      </c>
      <c r="L263" s="13">
        <v>0.010416666667879326</v>
      </c>
      <c r="M263" s="13">
        <f>CRF_3[[#This Row],[Time Spent on Configuration]]+CRF_3[[#This Row],[Time Spent on Review/Testing]]</f>
        <v>NaN</v>
      </c>
      <c r="N263" s="1">
        <v>0</v>
      </c>
      <c r="O263" s="1" t="s">
        <v>347</v>
      </c>
      <c r="P263" s="1" t="s">
        <v>503</v>
      </c>
      <c r="Q263" s="1" t="s">
        <v>977</v>
      </c>
      <c r="R263" s="14">
        <v>43504</v>
      </c>
      <c r="S263" s="1" t="s">
        <v>503</v>
      </c>
      <c r="U263" s="48"/>
    </row>
    <row r="264" ht="30" customHeight="1" spans="1:21" x14ac:dyDescent="0.25">
      <c r="A264" s="1" t="s">
        <v>3594</v>
      </c>
      <c r="B264" s="1">
        <v>2019</v>
      </c>
      <c r="C264" s="2" t="s">
        <v>1012</v>
      </c>
      <c r="D264" s="1" t="s">
        <v>25</v>
      </c>
      <c r="E264" s="1" t="s">
        <v>503</v>
      </c>
      <c r="F264" s="1" t="s">
        <v>27</v>
      </c>
      <c r="G264" s="14">
        <v>43504</v>
      </c>
      <c r="H264" s="14" t="s">
        <v>28</v>
      </c>
      <c r="I264" s="2" t="s">
        <v>1513</v>
      </c>
      <c r="J264" s="2" t="s">
        <v>1534</v>
      </c>
      <c r="K264" s="13">
        <v>0.010416666667879326</v>
      </c>
      <c r="L264" s="13">
        <v>0.010416666667879326</v>
      </c>
      <c r="M264" s="13">
        <f>CRF_3[[#This Row],[Time Spent on Configuration]]+CRF_3[[#This Row],[Time Spent on Review/Testing]]</f>
        <v>NaN</v>
      </c>
      <c r="N264" s="1">
        <v>0</v>
      </c>
      <c r="O264" s="1" t="s">
        <v>956</v>
      </c>
      <c r="P264" s="1" t="s">
        <v>503</v>
      </c>
      <c r="Q264" s="1" t="s">
        <v>977</v>
      </c>
      <c r="R264" s="14">
        <v>43504</v>
      </c>
      <c r="S264" s="1" t="s">
        <v>503</v>
      </c>
      <c r="U264" s="48"/>
    </row>
    <row r="265" spans="1:21" x14ac:dyDescent="0.25">
      <c r="A265" s="1" t="s">
        <v>3594</v>
      </c>
      <c r="B265" s="1">
        <v>2019</v>
      </c>
      <c r="C265" s="2" t="s">
        <v>1358</v>
      </c>
      <c r="D265" s="1" t="s">
        <v>1359</v>
      </c>
      <c r="E265" s="1" t="s">
        <v>503</v>
      </c>
      <c r="F265" s="1" t="s">
        <v>27</v>
      </c>
      <c r="G265" s="14">
        <v>43504</v>
      </c>
      <c r="H265" s="14" t="s">
        <v>28</v>
      </c>
      <c r="I265" s="2" t="s">
        <v>1513</v>
      </c>
      <c r="J265" s="2" t="s">
        <v>1534</v>
      </c>
      <c r="K265" s="13">
        <v>0.010416666667879326</v>
      </c>
      <c r="L265" s="13">
        <v>0.010416666667879326</v>
      </c>
      <c r="M265" s="13">
        <f>CRF_3[[#This Row],[Time Spent on Configuration]]+CRF_3[[#This Row],[Time Spent on Review/Testing]]</f>
        <v>NaN</v>
      </c>
      <c r="N265" s="1">
        <v>0</v>
      </c>
      <c r="O265" s="1" t="s">
        <v>956</v>
      </c>
      <c r="P265" s="1" t="s">
        <v>503</v>
      </c>
      <c r="Q265" s="1" t="s">
        <v>977</v>
      </c>
      <c r="R265" s="14">
        <v>43504</v>
      </c>
      <c r="S265" s="1" t="s">
        <v>503</v>
      </c>
      <c r="U265" s="48"/>
    </row>
    <row r="266" spans="1:21" x14ac:dyDescent="0.25">
      <c r="A266" s="1" t="s">
        <v>3594</v>
      </c>
      <c r="B266" s="1">
        <v>2019</v>
      </c>
      <c r="C266" s="2" t="s">
        <v>99</v>
      </c>
      <c r="D266" s="1" t="s">
        <v>25</v>
      </c>
      <c r="E266" s="1" t="s">
        <v>503</v>
      </c>
      <c r="F266" s="1" t="s">
        <v>37</v>
      </c>
      <c r="G266" s="14">
        <v>43504</v>
      </c>
      <c r="H266" s="14" t="s">
        <v>28</v>
      </c>
      <c r="I266" s="2" t="s">
        <v>1513</v>
      </c>
      <c r="J266" s="2" t="s">
        <v>1534</v>
      </c>
      <c r="K266" s="13">
        <v>0.010416666667879326</v>
      </c>
      <c r="L266" s="13">
        <v>0.010416666667879326</v>
      </c>
      <c r="M266" s="13">
        <f>CRF_3[[#This Row],[Time Spent on Configuration]]+CRF_3[[#This Row],[Time Spent on Review/Testing]]</f>
        <v>NaN</v>
      </c>
      <c r="N266" s="1">
        <v>0</v>
      </c>
      <c r="O266" s="1" t="s">
        <v>956</v>
      </c>
      <c r="P266" s="1" t="s">
        <v>503</v>
      </c>
      <c r="Q266" s="1" t="s">
        <v>977</v>
      </c>
      <c r="R266" s="14">
        <v>43504</v>
      </c>
      <c r="S266" s="1" t="s">
        <v>503</v>
      </c>
      <c r="U266" s="48"/>
    </row>
    <row r="267" ht="30" customHeight="1" spans="1:21" x14ac:dyDescent="0.25">
      <c r="A267" s="1" t="s">
        <v>3594</v>
      </c>
      <c r="B267" s="1">
        <v>2019</v>
      </c>
      <c r="C267" s="2" t="s">
        <v>1012</v>
      </c>
      <c r="D267" s="1" t="s">
        <v>25</v>
      </c>
      <c r="E267" s="1" t="s">
        <v>503</v>
      </c>
      <c r="F267" s="1" t="s">
        <v>37</v>
      </c>
      <c r="G267" s="14">
        <v>43514</v>
      </c>
      <c r="H267" s="14" t="s">
        <v>28</v>
      </c>
      <c r="I267" s="2" t="s">
        <v>1513</v>
      </c>
      <c r="J267" s="2" t="s">
        <v>1535</v>
      </c>
      <c r="K267" s="13">
        <v>0.020833333332120674</v>
      </c>
      <c r="L267" s="13">
        <v>0.020833333332120674</v>
      </c>
      <c r="M267" s="13">
        <f>CRF_3[[#This Row],[Time Spent on Configuration]]+CRF_3[[#This Row],[Time Spent on Review/Testing]]</f>
        <v>NaN</v>
      </c>
      <c r="N267" s="1">
        <v>0</v>
      </c>
      <c r="O267" s="1" t="s">
        <v>1314</v>
      </c>
      <c r="P267" s="1" t="s">
        <v>503</v>
      </c>
      <c r="Q267" s="1" t="s">
        <v>977</v>
      </c>
      <c r="R267" s="14">
        <v>43514</v>
      </c>
      <c r="S267" s="1" t="s">
        <v>503</v>
      </c>
      <c r="U267" s="48"/>
    </row>
    <row r="268" spans="1:21" x14ac:dyDescent="0.25">
      <c r="A268" s="1" t="s">
        <v>3594</v>
      </c>
      <c r="B268" s="1">
        <v>2019</v>
      </c>
      <c r="C268" s="2" t="s">
        <v>118</v>
      </c>
      <c r="D268" s="1" t="s">
        <v>25</v>
      </c>
      <c r="E268" s="1" t="s">
        <v>503</v>
      </c>
      <c r="F268" s="1" t="s">
        <v>37</v>
      </c>
      <c r="G268" s="14">
        <v>43521</v>
      </c>
      <c r="H268" s="14" t="s">
        <v>953</v>
      </c>
      <c r="I268" s="2" t="s">
        <v>1536</v>
      </c>
      <c r="J268" s="2" t="s">
        <v>1537</v>
      </c>
      <c r="K268" s="13">
        <v>0.008680555554747116</v>
      </c>
      <c r="L268" s="13">
        <v>0.008680555554747116</v>
      </c>
      <c r="M268" s="13">
        <f>CRF_3[[#This Row],[Time Spent on Configuration]]+CRF_3[[#This Row],[Time Spent on Review/Testing]]</f>
        <v>NaN</v>
      </c>
      <c r="N268" s="1">
        <v>0</v>
      </c>
      <c r="O268" s="1" t="s">
        <v>1314</v>
      </c>
      <c r="P268" s="1" t="s">
        <v>503</v>
      </c>
      <c r="Q268" s="1" t="s">
        <v>977</v>
      </c>
      <c r="R268" s="14">
        <v>43521</v>
      </c>
      <c r="S268" s="1" t="s">
        <v>503</v>
      </c>
      <c r="U268" s="48"/>
    </row>
    <row r="269" spans="1:21" x14ac:dyDescent="0.25">
      <c r="A269" s="1" t="s">
        <v>3594</v>
      </c>
      <c r="B269" s="1">
        <v>2019</v>
      </c>
      <c r="C269" s="2" t="s">
        <v>1473</v>
      </c>
      <c r="D269" s="1" t="s">
        <v>25</v>
      </c>
      <c r="E269" s="1" t="s">
        <v>503</v>
      </c>
      <c r="F269" s="1" t="s">
        <v>37</v>
      </c>
      <c r="G269" s="14">
        <v>43522</v>
      </c>
      <c r="H269" s="14" t="s">
        <v>38</v>
      </c>
      <c r="I269" s="2" t="s">
        <v>1538</v>
      </c>
      <c r="J269" s="2" t="s">
        <v>1539</v>
      </c>
      <c r="K269" s="13">
        <v>0.08333333333212067</v>
      </c>
      <c r="L269" s="13">
        <v>0.08333333333212067</v>
      </c>
      <c r="M269" s="13">
        <f>CRF_3[[#This Row],[Time Spent on Configuration]]+CRF_3[[#This Row],[Time Spent on Review/Testing]]</f>
        <v>NaN</v>
      </c>
      <c r="N269" s="1">
        <v>0</v>
      </c>
      <c r="O269" s="1" t="s">
        <v>574</v>
      </c>
      <c r="P269" s="1" t="s">
        <v>503</v>
      </c>
      <c r="Q269" s="1" t="s">
        <v>977</v>
      </c>
      <c r="R269" s="14">
        <v>43523</v>
      </c>
      <c r="S269" s="1" t="s">
        <v>503</v>
      </c>
      <c r="U269" s="48"/>
    </row>
    <row r="270" spans="1:21" x14ac:dyDescent="0.25">
      <c r="A270" s="1" t="s">
        <v>3594</v>
      </c>
      <c r="B270" s="1">
        <v>2019</v>
      </c>
      <c r="C270" s="2" t="s">
        <v>35</v>
      </c>
      <c r="D270" s="1" t="s">
        <v>25</v>
      </c>
      <c r="E270" s="1" t="s">
        <v>503</v>
      </c>
      <c r="F270" s="1" t="s">
        <v>37</v>
      </c>
      <c r="G270" s="14">
        <v>43522</v>
      </c>
      <c r="H270" s="14" t="s">
        <v>28</v>
      </c>
      <c r="I270" s="2" t="s">
        <v>1540</v>
      </c>
      <c r="J270" s="2" t="s">
        <v>1541</v>
      </c>
      <c r="K270" s="13">
        <v>0.041666666667879326</v>
      </c>
      <c r="L270" s="13">
        <v>0.041666666667879326</v>
      </c>
      <c r="M270" s="13">
        <f>CRF_3[[#This Row],[Time Spent on Configuration]]+CRF_3[[#This Row],[Time Spent on Review/Testing]]</f>
        <v>NaN</v>
      </c>
      <c r="N270" s="1">
        <v>0</v>
      </c>
      <c r="O270" s="1" t="s">
        <v>956</v>
      </c>
      <c r="P270" s="1" t="s">
        <v>503</v>
      </c>
      <c r="Q270" s="1" t="s">
        <v>488</v>
      </c>
      <c r="R270" s="14">
        <v>43522</v>
      </c>
      <c r="S270" s="1" t="s">
        <v>503</v>
      </c>
      <c r="U270" s="48"/>
    </row>
    <row r="271" ht="30" customHeight="1" spans="1:21" x14ac:dyDescent="0.25">
      <c r="A271" s="1" t="s">
        <v>3594</v>
      </c>
      <c r="B271" s="1">
        <v>2019</v>
      </c>
      <c r="C271" s="2" t="s">
        <v>1169</v>
      </c>
      <c r="D271" s="1" t="s">
        <v>989</v>
      </c>
      <c r="E271" s="1" t="s">
        <v>503</v>
      </c>
      <c r="F271" s="1" t="s">
        <v>27</v>
      </c>
      <c r="G271" s="14">
        <v>43522</v>
      </c>
      <c r="H271" s="14" t="s">
        <v>28</v>
      </c>
      <c r="I271" s="2" t="s">
        <v>1542</v>
      </c>
      <c r="J271" s="2" t="s">
        <v>1543</v>
      </c>
      <c r="K271" s="13">
        <v>0.08333333333212067</v>
      </c>
      <c r="L271" s="13">
        <v>0.08333333333212067</v>
      </c>
      <c r="M271" s="13">
        <f>CRF_3[[#This Row],[Time Spent on Configuration]]+CRF_3[[#This Row],[Time Spent on Review/Testing]]</f>
        <v>NaN</v>
      </c>
      <c r="N271" s="1">
        <v>0</v>
      </c>
      <c r="O271" s="1" t="s">
        <v>1430</v>
      </c>
      <c r="P271" s="1" t="s">
        <v>503</v>
      </c>
      <c r="Q271" s="1" t="s">
        <v>484</v>
      </c>
      <c r="R271" s="14">
        <v>43522</v>
      </c>
      <c r="S271" s="1" t="s">
        <v>503</v>
      </c>
      <c r="U271" s="48"/>
    </row>
    <row r="272" spans="1:21" x14ac:dyDescent="0.25">
      <c r="A272" s="1" t="s">
        <v>3613</v>
      </c>
      <c r="B272" s="1">
        <v>2019</v>
      </c>
      <c r="C272" s="2" t="s">
        <v>99</v>
      </c>
      <c r="D272" s="1" t="s">
        <v>25</v>
      </c>
      <c r="E272" s="1" t="s">
        <v>503</v>
      </c>
      <c r="F272" s="1" t="s">
        <v>27</v>
      </c>
      <c r="G272" s="14">
        <v>43536</v>
      </c>
      <c r="H272" s="14" t="s">
        <v>28</v>
      </c>
      <c r="I272" s="2" t="s">
        <v>1545</v>
      </c>
      <c r="J272" s="2" t="s">
        <v>1546</v>
      </c>
      <c r="K272" s="13">
        <v>0.08333333333212067</v>
      </c>
      <c r="L272" s="13">
        <v>0.08333333333212067</v>
      </c>
      <c r="M272" s="13">
        <f>CRF_3[[#This Row],[Time Spent on Configuration]]+CRF_3[[#This Row],[Time Spent on Review/Testing]]</f>
        <v>NaN</v>
      </c>
      <c r="N272" s="1">
        <v>0</v>
      </c>
      <c r="O272" s="1" t="s">
        <v>574</v>
      </c>
      <c r="P272" s="1" t="s">
        <v>503</v>
      </c>
      <c r="Q272" s="1" t="s">
        <v>977</v>
      </c>
      <c r="R272" s="14">
        <v>43536</v>
      </c>
      <c r="S272" s="1" t="s">
        <v>503</v>
      </c>
      <c r="U272" s="48"/>
    </row>
    <row r="273" spans="1:21" x14ac:dyDescent="0.25">
      <c r="A273" s="1" t="s">
        <v>3613</v>
      </c>
      <c r="B273" s="1">
        <v>2019</v>
      </c>
      <c r="C273" s="2" t="s">
        <v>1235</v>
      </c>
      <c r="D273" s="1" t="s">
        <v>1236</v>
      </c>
      <c r="E273" s="1" t="s">
        <v>503</v>
      </c>
      <c r="F273" s="1" t="s">
        <v>37</v>
      </c>
      <c r="G273" s="14">
        <v>43539</v>
      </c>
      <c r="H273" s="14" t="s">
        <v>28</v>
      </c>
      <c r="I273" s="2" t="s">
        <v>1547</v>
      </c>
      <c r="J273" s="2" t="s">
        <v>1548</v>
      </c>
      <c r="K273" s="13">
        <v>0.057291666667879326</v>
      </c>
      <c r="L273" s="13">
        <v>0.057291666667879326</v>
      </c>
      <c r="M273" s="13">
        <f>CRF_3[[#This Row],[Time Spent on Configuration]]+CRF_3[[#This Row],[Time Spent on Review/Testing]]</f>
        <v>NaN</v>
      </c>
      <c r="N273" s="1">
        <v>0</v>
      </c>
      <c r="O273" s="1" t="s">
        <v>1314</v>
      </c>
      <c r="P273" s="1" t="s">
        <v>503</v>
      </c>
      <c r="Q273" s="1" t="s">
        <v>484</v>
      </c>
      <c r="R273" s="14">
        <v>43539</v>
      </c>
      <c r="S273" s="1" t="s">
        <v>503</v>
      </c>
      <c r="U273" s="48"/>
    </row>
    <row r="274" ht="30" customHeight="1" spans="1:21" x14ac:dyDescent="0.25">
      <c r="A274" s="1" t="s">
        <v>3613</v>
      </c>
      <c r="B274" s="1">
        <v>2019</v>
      </c>
      <c r="C274" s="2" t="s">
        <v>1169</v>
      </c>
      <c r="D274" s="1" t="s">
        <v>989</v>
      </c>
      <c r="E274" s="1" t="s">
        <v>503</v>
      </c>
      <c r="F274" s="1" t="s">
        <v>27</v>
      </c>
      <c r="G274" s="14">
        <v>43544</v>
      </c>
      <c r="H274" s="14" t="s">
        <v>28</v>
      </c>
      <c r="I274" s="2" t="s">
        <v>1542</v>
      </c>
      <c r="J274" s="2" t="s">
        <v>1549</v>
      </c>
      <c r="K274" s="13">
        <v>0.20833333333212067</v>
      </c>
      <c r="L274" s="13">
        <v>0.20833333333212067</v>
      </c>
      <c r="M274" s="13">
        <f>CRF_3[[#This Row],[Time Spent on Configuration]]+CRF_3[[#This Row],[Time Spent on Review/Testing]]</f>
        <v>NaN</v>
      </c>
      <c r="N274" s="1">
        <v>0</v>
      </c>
      <c r="O274" s="1" t="s">
        <v>574</v>
      </c>
      <c r="P274" s="1" t="s">
        <v>503</v>
      </c>
      <c r="Q274" s="1" t="s">
        <v>484</v>
      </c>
      <c r="R274" s="14">
        <v>43545</v>
      </c>
      <c r="S274" s="1">
        <v>5</v>
      </c>
      <c r="U274" s="48"/>
    </row>
    <row r="275" spans="1:21" x14ac:dyDescent="0.25">
      <c r="A275" s="1" t="s">
        <v>3613</v>
      </c>
      <c r="B275" s="1">
        <v>2019</v>
      </c>
      <c r="C275" s="2" t="s">
        <v>978</v>
      </c>
      <c r="D275" s="1" t="s">
        <v>44</v>
      </c>
      <c r="E275" s="1" t="s">
        <v>503</v>
      </c>
      <c r="F275" s="1" t="s">
        <v>37</v>
      </c>
      <c r="G275" s="14">
        <v>43545</v>
      </c>
      <c r="H275" s="14" t="s">
        <v>50</v>
      </c>
      <c r="I275" s="2" t="s">
        <v>1550</v>
      </c>
      <c r="J275" s="2" t="s">
        <v>4072</v>
      </c>
      <c r="K275" s="13">
        <v>0.036458333332120674</v>
      </c>
      <c r="L275" s="13">
        <v>0.036458333332120674</v>
      </c>
      <c r="M275" s="13">
        <f>CRF_3[[#This Row],[Time Spent on Configuration]]+CRF_3[[#This Row],[Time Spent on Review/Testing]]</f>
        <v>NaN</v>
      </c>
      <c r="N275" s="1">
        <v>0</v>
      </c>
      <c r="O275" s="1" t="s">
        <v>574</v>
      </c>
      <c r="P275" s="1" t="s">
        <v>503</v>
      </c>
      <c r="Q275" s="1" t="s">
        <v>484</v>
      </c>
      <c r="R275" s="14">
        <v>43545</v>
      </c>
      <c r="S275" s="1">
        <v>4</v>
      </c>
      <c r="U275" s="48"/>
    </row>
    <row r="276" ht="30" customHeight="1" spans="1:21" x14ac:dyDescent="0.25">
      <c r="A276" s="1" t="s">
        <v>3613</v>
      </c>
      <c r="B276" s="1">
        <v>2019</v>
      </c>
      <c r="C276" s="2" t="s">
        <v>1087</v>
      </c>
      <c r="D276" s="1" t="s">
        <v>186</v>
      </c>
      <c r="E276" s="1" t="s">
        <v>503</v>
      </c>
      <c r="F276" s="1" t="s">
        <v>37</v>
      </c>
      <c r="G276" s="14">
        <v>43547</v>
      </c>
      <c r="H276" s="14" t="s">
        <v>28</v>
      </c>
      <c r="I276" s="2" t="s">
        <v>1552</v>
      </c>
      <c r="J276" s="2" t="s">
        <v>1553</v>
      </c>
      <c r="K276" s="13">
        <v>0.08333333333212067</v>
      </c>
      <c r="L276" s="13">
        <v>0.08333333333212067</v>
      </c>
      <c r="M276" s="13">
        <f>CRF_3[[#This Row],[Time Spent on Configuration]]+CRF_3[[#This Row],[Time Spent on Review/Testing]]</f>
        <v>NaN</v>
      </c>
      <c r="N276" s="1">
        <v>0</v>
      </c>
      <c r="O276" s="1" t="s">
        <v>574</v>
      </c>
      <c r="P276" s="1" t="s">
        <v>503</v>
      </c>
      <c r="Q276" s="1" t="s">
        <v>488</v>
      </c>
      <c r="R276" s="14">
        <v>43549</v>
      </c>
      <c r="S276" s="1">
        <v>5</v>
      </c>
      <c r="U276" s="48"/>
    </row>
    <row r="277" ht="75" customHeight="1" spans="1:21" x14ac:dyDescent="0.25">
      <c r="A277" s="1" t="s">
        <v>3613</v>
      </c>
      <c r="B277" s="1">
        <v>2019</v>
      </c>
      <c r="C277" s="2" t="s">
        <v>1451</v>
      </c>
      <c r="D277" s="1" t="s">
        <v>25</v>
      </c>
      <c r="E277" s="1" t="s">
        <v>503</v>
      </c>
      <c r="F277" s="1" t="s">
        <v>37</v>
      </c>
      <c r="G277" s="14">
        <v>43552</v>
      </c>
      <c r="H277" s="14" t="s">
        <v>28</v>
      </c>
      <c r="I277" s="2" t="s">
        <v>1554</v>
      </c>
      <c r="J277" s="2" t="s">
        <v>4073</v>
      </c>
      <c r="K277" s="13">
        <v>0.0625</v>
      </c>
      <c r="L277" s="13">
        <v>0.0625</v>
      </c>
      <c r="M277" s="13">
        <f>CRF_3[[#This Row],[Time Spent on Configuration]]+CRF_3[[#This Row],[Time Spent on Review/Testing]]</f>
        <v>NaN</v>
      </c>
      <c r="N277" s="1">
        <v>0</v>
      </c>
      <c r="O277" s="1" t="s">
        <v>347</v>
      </c>
      <c r="P277" s="1" t="s">
        <v>503</v>
      </c>
      <c r="Q277" s="1" t="s">
        <v>977</v>
      </c>
      <c r="R277" s="14">
        <v>43552</v>
      </c>
      <c r="S277" s="1">
        <v>4</v>
      </c>
      <c r="U277" s="48"/>
    </row>
    <row r="278" ht="30" customHeight="1" spans="1:21" x14ac:dyDescent="0.25">
      <c r="A278" s="1" t="s">
        <v>3613</v>
      </c>
      <c r="B278" s="1">
        <v>2019</v>
      </c>
      <c r="C278" s="2" t="s">
        <v>525</v>
      </c>
      <c r="D278" s="1" t="s">
        <v>25</v>
      </c>
      <c r="E278" s="1" t="s">
        <v>503</v>
      </c>
      <c r="F278" s="1" t="s">
        <v>37</v>
      </c>
      <c r="G278" s="14">
        <v>43553</v>
      </c>
      <c r="H278" s="14" t="s">
        <v>28</v>
      </c>
      <c r="I278" s="2" t="s">
        <v>1556</v>
      </c>
      <c r="J278" s="2" t="s">
        <v>4074</v>
      </c>
      <c r="K278" s="13">
        <v>0.10416666666787933</v>
      </c>
      <c r="L278" s="13">
        <v>0.10416666666787933</v>
      </c>
      <c r="M278" s="13">
        <f>CRF_3[[#This Row],[Time Spent on Configuration]]+CRF_3[[#This Row],[Time Spent on Review/Testing]]</f>
        <v>NaN</v>
      </c>
      <c r="N278" s="1">
        <v>0</v>
      </c>
      <c r="O278" s="1" t="s">
        <v>483</v>
      </c>
      <c r="P278" s="1" t="s">
        <v>503</v>
      </c>
      <c r="Q278" s="1" t="s">
        <v>977</v>
      </c>
      <c r="R278" s="14">
        <v>43553</v>
      </c>
      <c r="S278" s="1">
        <v>3</v>
      </c>
      <c r="U278" s="48"/>
    </row>
    <row r="279" spans="1:21" x14ac:dyDescent="0.25">
      <c r="A279" s="1" t="s">
        <v>3624</v>
      </c>
      <c r="B279" s="1">
        <v>2019</v>
      </c>
      <c r="C279" s="2" t="s">
        <v>99</v>
      </c>
      <c r="D279" s="1" t="s">
        <v>25</v>
      </c>
      <c r="E279" s="1" t="s">
        <v>503</v>
      </c>
      <c r="F279" s="1" t="s">
        <v>37</v>
      </c>
      <c r="G279" s="14">
        <v>43557</v>
      </c>
      <c r="H279" s="14" t="s">
        <v>28</v>
      </c>
      <c r="I279" s="2" t="s">
        <v>1559</v>
      </c>
      <c r="J279" s="2" t="s">
        <v>1560</v>
      </c>
      <c r="K279" s="13">
        <v>0.109375</v>
      </c>
      <c r="L279" s="13">
        <v>0.109375</v>
      </c>
      <c r="M279" s="13">
        <f>CRF_3[[#This Row],[Time Spent on Configuration]]+CRF_3[[#This Row],[Time Spent on Review/Testing]]</f>
        <v>NaN</v>
      </c>
      <c r="N279" s="1">
        <v>0</v>
      </c>
      <c r="O279" s="1" t="s">
        <v>483</v>
      </c>
      <c r="P279" s="1" t="s">
        <v>503</v>
      </c>
      <c r="Q279" s="1" t="s">
        <v>977</v>
      </c>
      <c r="R279" s="14">
        <v>43557</v>
      </c>
      <c r="S279" s="1">
        <v>4</v>
      </c>
      <c r="U279" s="48"/>
    </row>
    <row r="280" ht="30" customHeight="1" spans="1:21" x14ac:dyDescent="0.25">
      <c r="A280" s="1" t="s">
        <v>3624</v>
      </c>
      <c r="B280" s="1">
        <v>2019</v>
      </c>
      <c r="C280" s="2" t="s">
        <v>1087</v>
      </c>
      <c r="D280" s="1" t="s">
        <v>186</v>
      </c>
      <c r="E280" s="1" t="s">
        <v>503</v>
      </c>
      <c r="F280" s="1" t="s">
        <v>952</v>
      </c>
      <c r="G280" s="14">
        <v>43558</v>
      </c>
      <c r="H280" s="14" t="s">
        <v>28</v>
      </c>
      <c r="I280" s="2" t="s">
        <v>1552</v>
      </c>
      <c r="J280" s="2" t="s">
        <v>1561</v>
      </c>
      <c r="K280" s="13">
        <v>0.10590277777737356</v>
      </c>
      <c r="L280" s="13">
        <v>0.10590277777737356</v>
      </c>
      <c r="M280" s="13">
        <f>CRF_3[[#This Row],[Time Spent on Configuration]]+CRF_3[[#This Row],[Time Spent on Review/Testing]]</f>
        <v>NaN</v>
      </c>
      <c r="N280" s="1">
        <v>0</v>
      </c>
      <c r="O280" s="1" t="s">
        <v>483</v>
      </c>
      <c r="P280" s="1" t="s">
        <v>503</v>
      </c>
      <c r="Q280" s="1" t="s">
        <v>488</v>
      </c>
      <c r="R280" s="14">
        <v>43558</v>
      </c>
      <c r="S280" s="1">
        <v>5</v>
      </c>
      <c r="U280" s="48"/>
    </row>
    <row r="281" ht="75" customHeight="1" spans="1:21" x14ac:dyDescent="0.25">
      <c r="A281" s="1" t="s">
        <v>3624</v>
      </c>
      <c r="B281" s="1">
        <v>2019</v>
      </c>
      <c r="C281" s="2" t="s">
        <v>199</v>
      </c>
      <c r="D281" s="1" t="s">
        <v>541</v>
      </c>
      <c r="E281" s="1" t="s">
        <v>503</v>
      </c>
      <c r="F281" s="1" t="s">
        <v>952</v>
      </c>
      <c r="G281" s="14">
        <v>43559</v>
      </c>
      <c r="H281" s="14" t="s">
        <v>670</v>
      </c>
      <c r="I281" s="2" t="s">
        <v>1562</v>
      </c>
      <c r="J281" s="2" t="s">
        <v>4075</v>
      </c>
      <c r="K281" s="13">
        <v>0.08333333333212067</v>
      </c>
      <c r="L281" s="13">
        <v>0.08333333333212067</v>
      </c>
      <c r="M281" s="13">
        <f>CRF_3[[#This Row],[Time Spent on Configuration]]+CRF_3[[#This Row],[Time Spent on Review/Testing]]</f>
        <v>NaN</v>
      </c>
      <c r="N281" s="1">
        <v>0</v>
      </c>
      <c r="O281" s="1" t="s">
        <v>347</v>
      </c>
      <c r="P281" s="1" t="s">
        <v>503</v>
      </c>
      <c r="Q281" s="1" t="s">
        <v>484</v>
      </c>
      <c r="R281" s="14">
        <v>43559</v>
      </c>
      <c r="S281" s="1">
        <v>5</v>
      </c>
      <c r="U281" s="48"/>
    </row>
    <row r="282" ht="30" customHeight="1" spans="1:21" x14ac:dyDescent="0.25">
      <c r="A282" s="1" t="s">
        <v>3624</v>
      </c>
      <c r="B282" s="1">
        <v>2019</v>
      </c>
      <c r="C282" s="2" t="s">
        <v>1212</v>
      </c>
      <c r="D282" s="1" t="s">
        <v>25</v>
      </c>
      <c r="E282" s="1" t="s">
        <v>503</v>
      </c>
      <c r="F282" s="1" t="s">
        <v>27</v>
      </c>
      <c r="G282" s="14">
        <v>43567</v>
      </c>
      <c r="H282" s="14" t="s">
        <v>1073</v>
      </c>
      <c r="I282" s="2" t="s">
        <v>1564</v>
      </c>
      <c r="J282" s="2" t="s">
        <v>1565</v>
      </c>
      <c r="K282" s="13">
        <v>0.008680555554747116</v>
      </c>
      <c r="L282" s="13">
        <v>0.008680555554747116</v>
      </c>
      <c r="M282" s="13">
        <f>CRF_3[[#This Row],[Time Spent on Configuration]]+CRF_3[[#This Row],[Time Spent on Review/Testing]]</f>
        <v>NaN</v>
      </c>
      <c r="N282" s="1">
        <v>0</v>
      </c>
      <c r="O282" s="1" t="s">
        <v>1314</v>
      </c>
      <c r="P282" s="1" t="s">
        <v>503</v>
      </c>
      <c r="Q282" s="1" t="s">
        <v>488</v>
      </c>
      <c r="R282" s="14">
        <v>43567</v>
      </c>
      <c r="S282" s="1">
        <v>5</v>
      </c>
      <c r="U282" s="48"/>
    </row>
    <row r="283" spans="1:21" x14ac:dyDescent="0.25">
      <c r="A283" s="1" t="s">
        <v>3624</v>
      </c>
      <c r="B283" s="1">
        <v>2019</v>
      </c>
      <c r="C283" s="2" t="s">
        <v>525</v>
      </c>
      <c r="D283" s="1" t="s">
        <v>25</v>
      </c>
      <c r="E283" s="1" t="s">
        <v>503</v>
      </c>
      <c r="F283" s="1" t="s">
        <v>37</v>
      </c>
      <c r="G283" s="14">
        <v>43567</v>
      </c>
      <c r="H283" s="14" t="s">
        <v>96</v>
      </c>
      <c r="I283" s="2" t="s">
        <v>1566</v>
      </c>
      <c r="J283" s="2" t="s">
        <v>1567</v>
      </c>
      <c r="K283" s="13">
        <v>0.006944444445252884</v>
      </c>
      <c r="L283" s="13">
        <v>0.006944444445252884</v>
      </c>
      <c r="M283" s="13">
        <f>CRF_3[[#This Row],[Time Spent on Configuration]]+CRF_3[[#This Row],[Time Spent on Review/Testing]]</f>
        <v>NaN</v>
      </c>
      <c r="N283" s="1">
        <v>0</v>
      </c>
      <c r="O283" s="1" t="s">
        <v>574</v>
      </c>
      <c r="P283" s="1" t="s">
        <v>503</v>
      </c>
      <c r="Q283" s="1" t="s">
        <v>484</v>
      </c>
      <c r="R283" s="14">
        <v>43567</v>
      </c>
      <c r="S283" s="1">
        <v>5</v>
      </c>
      <c r="U283" s="48"/>
    </row>
    <row r="284" ht="30" customHeight="1" spans="1:21" x14ac:dyDescent="0.25">
      <c r="A284" s="1" t="s">
        <v>3624</v>
      </c>
      <c r="B284" s="1">
        <v>2019</v>
      </c>
      <c r="C284" s="2" t="s">
        <v>489</v>
      </c>
      <c r="D284" s="1" t="s">
        <v>1258</v>
      </c>
      <c r="E284" s="1" t="s">
        <v>503</v>
      </c>
      <c r="F284" s="1" t="s">
        <v>37</v>
      </c>
      <c r="G284" s="14">
        <v>43567</v>
      </c>
      <c r="H284" s="14" t="s">
        <v>28</v>
      </c>
      <c r="I284" s="2" t="s">
        <v>1568</v>
      </c>
      <c r="J284" s="2" t="s">
        <v>4076</v>
      </c>
      <c r="K284" s="13">
        <v>0.08506944444525288</v>
      </c>
      <c r="L284" s="13">
        <v>0.08506944444525288</v>
      </c>
      <c r="M284" s="13">
        <f>CRF_3[[#This Row],[Time Spent on Configuration]]+CRF_3[[#This Row],[Time Spent on Review/Testing]]</f>
        <v>NaN</v>
      </c>
      <c r="N284" s="1">
        <v>0</v>
      </c>
      <c r="O284" s="1" t="s">
        <v>4077</v>
      </c>
      <c r="P284" s="1" t="s">
        <v>503</v>
      </c>
      <c r="Q284" s="1" t="s">
        <v>488</v>
      </c>
      <c r="R284" s="14">
        <v>43567</v>
      </c>
      <c r="S284" s="1">
        <v>5</v>
      </c>
      <c r="U284" s="48"/>
    </row>
    <row r="285" spans="1:21" x14ac:dyDescent="0.25">
      <c r="A285" s="1" t="s">
        <v>3624</v>
      </c>
      <c r="B285" s="1">
        <v>2019</v>
      </c>
      <c r="C285" s="2" t="s">
        <v>1473</v>
      </c>
      <c r="D285" s="1" t="s">
        <v>25</v>
      </c>
      <c r="E285" s="1" t="s">
        <v>503</v>
      </c>
      <c r="F285" s="1" t="s">
        <v>952</v>
      </c>
      <c r="G285" s="14">
        <v>43570</v>
      </c>
      <c r="H285" s="14" t="s">
        <v>50</v>
      </c>
      <c r="I285" s="2" t="s">
        <v>1571</v>
      </c>
      <c r="J285" s="2" t="s">
        <v>1572</v>
      </c>
      <c r="K285" s="13">
        <v>0.006944444445252884</v>
      </c>
      <c r="L285" s="13">
        <v>0.006944444445252884</v>
      </c>
      <c r="M285" s="13">
        <f>CRF_3[[#This Row],[Time Spent on Configuration]]+CRF_3[[#This Row],[Time Spent on Review/Testing]]</f>
        <v>NaN</v>
      </c>
      <c r="N285" s="1">
        <v>0</v>
      </c>
      <c r="O285" s="1" t="s">
        <v>31</v>
      </c>
      <c r="P285" s="1" t="s">
        <v>503</v>
      </c>
      <c r="Q285" s="1" t="s">
        <v>977</v>
      </c>
      <c r="R285" s="14">
        <v>43570</v>
      </c>
      <c r="S285" s="1">
        <v>5</v>
      </c>
      <c r="U285" s="48"/>
    </row>
    <row r="286" spans="1:21" x14ac:dyDescent="0.25">
      <c r="A286" s="1" t="s">
        <v>3624</v>
      </c>
      <c r="B286" s="1">
        <v>2019</v>
      </c>
      <c r="C286" s="2" t="s">
        <v>1451</v>
      </c>
      <c r="D286" s="1" t="s">
        <v>25</v>
      </c>
      <c r="E286" s="1" t="s">
        <v>503</v>
      </c>
      <c r="F286" s="1" t="s">
        <v>37</v>
      </c>
      <c r="G286" s="14">
        <v>43578</v>
      </c>
      <c r="H286" s="14" t="s">
        <v>255</v>
      </c>
      <c r="I286" s="2" t="s">
        <v>1573</v>
      </c>
      <c r="J286" s="2" t="s">
        <v>4078</v>
      </c>
      <c r="K286" s="13">
        <v>0.041666666667879326</v>
      </c>
      <c r="L286" s="13">
        <v>0.041666666667879326</v>
      </c>
      <c r="M286" s="13">
        <f>CRF_3[[#This Row],[Time Spent on Configuration]]+CRF_3[[#This Row],[Time Spent on Review/Testing]]</f>
        <v>NaN</v>
      </c>
      <c r="N286" s="1">
        <v>0</v>
      </c>
      <c r="O286" s="1" t="s">
        <v>483</v>
      </c>
      <c r="P286" s="1" t="s">
        <v>503</v>
      </c>
      <c r="Q286" s="1" t="s">
        <v>484</v>
      </c>
      <c r="R286" s="14">
        <v>43578</v>
      </c>
      <c r="S286" s="1">
        <v>5</v>
      </c>
      <c r="U286" s="48"/>
    </row>
    <row r="287" ht="60" customHeight="1" spans="1:21" x14ac:dyDescent="0.25">
      <c r="A287" s="1" t="s">
        <v>3624</v>
      </c>
      <c r="B287" s="1">
        <v>2019</v>
      </c>
      <c r="C287" s="2" t="s">
        <v>199</v>
      </c>
      <c r="D287" s="1" t="s">
        <v>541</v>
      </c>
      <c r="E287" s="1" t="s">
        <v>503</v>
      </c>
      <c r="F287" s="1" t="s">
        <v>37</v>
      </c>
      <c r="G287" s="14">
        <v>43579</v>
      </c>
      <c r="H287" s="14" t="s">
        <v>28</v>
      </c>
      <c r="I287" s="2" t="s">
        <v>4079</v>
      </c>
      <c r="J287" s="2" t="s">
        <v>4080</v>
      </c>
      <c r="K287" s="13">
        <v>0.020833333332120674</v>
      </c>
      <c r="L287" s="13">
        <v>0.020833333332120674</v>
      </c>
      <c r="M287" s="13">
        <f>CRF_3[[#This Row],[Time Spent on Configuration]]+CRF_3[[#This Row],[Time Spent on Review/Testing]]</f>
        <v>NaN</v>
      </c>
      <c r="N287" s="1">
        <v>0</v>
      </c>
      <c r="O287" s="1" t="s">
        <v>347</v>
      </c>
      <c r="P287" s="1" t="s">
        <v>503</v>
      </c>
      <c r="Q287" s="1" t="s">
        <v>488</v>
      </c>
      <c r="R287" s="14">
        <v>43579</v>
      </c>
      <c r="S287" s="1">
        <v>5</v>
      </c>
      <c r="U287" s="48"/>
    </row>
    <row r="288" spans="1:21" x14ac:dyDescent="0.25">
      <c r="A288" s="1" t="s">
        <v>3624</v>
      </c>
      <c r="B288" s="1">
        <v>2019</v>
      </c>
      <c r="C288" s="2" t="s">
        <v>641</v>
      </c>
      <c r="D288" s="1" t="s">
        <v>261</v>
      </c>
      <c r="E288" s="1" t="s">
        <v>503</v>
      </c>
      <c r="F288" s="1" t="s">
        <v>37</v>
      </c>
      <c r="G288" s="14">
        <v>43581</v>
      </c>
      <c r="H288" s="14" t="s">
        <v>28</v>
      </c>
      <c r="I288" s="2" t="s">
        <v>1577</v>
      </c>
      <c r="J288" s="2" t="s">
        <v>1578</v>
      </c>
      <c r="K288" s="13">
        <v>0.020833333332120674</v>
      </c>
      <c r="L288" s="13">
        <v>0.020833333332120674</v>
      </c>
      <c r="M288" s="13">
        <f>CRF_3[[#This Row],[Time Spent on Configuration]]+CRF_3[[#This Row],[Time Spent on Review/Testing]]</f>
        <v>NaN</v>
      </c>
      <c r="N288" s="1">
        <v>0</v>
      </c>
      <c r="O288" s="1" t="s">
        <v>574</v>
      </c>
      <c r="P288" s="1" t="s">
        <v>503</v>
      </c>
      <c r="Q288" s="1" t="s">
        <v>977</v>
      </c>
      <c r="R288" s="14">
        <v>43581</v>
      </c>
      <c r="S288" s="1">
        <v>5</v>
      </c>
      <c r="U288" s="48"/>
    </row>
    <row r="289" ht="30" customHeight="1" spans="1:21" x14ac:dyDescent="0.25">
      <c r="A289" s="1" t="s">
        <v>3624</v>
      </c>
      <c r="B289" s="1">
        <v>2019</v>
      </c>
      <c r="C289" s="2" t="s">
        <v>288</v>
      </c>
      <c r="D289" s="1" t="s">
        <v>261</v>
      </c>
      <c r="E289" s="1" t="s">
        <v>503</v>
      </c>
      <c r="F289" s="1" t="s">
        <v>952</v>
      </c>
      <c r="G289" s="14">
        <v>43585</v>
      </c>
      <c r="H289" s="14" t="s">
        <v>50</v>
      </c>
      <c r="I289" s="2" t="s">
        <v>1571</v>
      </c>
      <c r="J289" s="2" t="s">
        <v>4081</v>
      </c>
      <c r="K289" s="13">
        <v>0.020833333332120674</v>
      </c>
      <c r="L289" s="13">
        <v>0.020833333332120674</v>
      </c>
      <c r="M289" s="13">
        <f>CRF_3[[#This Row],[Time Spent on Configuration]]+CRF_3[[#This Row],[Time Spent on Review/Testing]]</f>
        <v>NaN</v>
      </c>
      <c r="N289" s="1">
        <v>0</v>
      </c>
      <c r="O289" s="1" t="s">
        <v>574</v>
      </c>
      <c r="P289" s="1" t="s">
        <v>503</v>
      </c>
      <c r="Q289" s="1" t="s">
        <v>977</v>
      </c>
      <c r="R289" s="14">
        <v>43585</v>
      </c>
      <c r="S289" s="1">
        <v>5</v>
      </c>
      <c r="U289" s="48"/>
    </row>
    <row r="290" spans="1:21" x14ac:dyDescent="0.25">
      <c r="A290" s="1" t="s">
        <v>3624</v>
      </c>
      <c r="B290" s="1">
        <v>2019</v>
      </c>
      <c r="C290" s="2" t="s">
        <v>286</v>
      </c>
      <c r="D290" s="1" t="s">
        <v>974</v>
      </c>
      <c r="E290" s="1" t="s">
        <v>503</v>
      </c>
      <c r="F290" s="1" t="s">
        <v>27</v>
      </c>
      <c r="G290" s="14">
        <v>43581</v>
      </c>
      <c r="H290" s="14" t="s">
        <v>28</v>
      </c>
      <c r="I290" s="2" t="s">
        <v>4082</v>
      </c>
      <c r="J290" s="2" t="s">
        <v>4083</v>
      </c>
      <c r="K290" s="13">
        <v>0.041666666667879326</v>
      </c>
      <c r="L290" s="13">
        <v>0.041666666667879326</v>
      </c>
      <c r="M290" s="13">
        <f>CRF_3[[#This Row],[Time Spent on Configuration]]+CRF_3[[#This Row],[Time Spent on Review/Testing]]</f>
        <v>NaN</v>
      </c>
      <c r="N290" s="1">
        <v>0</v>
      </c>
      <c r="O290" s="1" t="s">
        <v>31</v>
      </c>
      <c r="P290" s="1" t="s">
        <v>503</v>
      </c>
      <c r="Q290" s="1" t="s">
        <v>484</v>
      </c>
      <c r="R290" s="14">
        <v>43581</v>
      </c>
      <c r="S290" s="1">
        <v>5</v>
      </c>
      <c r="U290" s="48"/>
    </row>
    <row r="291" spans="1:21" x14ac:dyDescent="0.25">
      <c r="A291" s="1" t="s">
        <v>3646</v>
      </c>
      <c r="B291" s="1">
        <v>2019</v>
      </c>
      <c r="C291" s="2" t="s">
        <v>199</v>
      </c>
      <c r="D291" s="1" t="s">
        <v>541</v>
      </c>
      <c r="E291" s="1" t="s">
        <v>503</v>
      </c>
      <c r="F291" s="1" t="s">
        <v>37</v>
      </c>
      <c r="G291" s="14">
        <v>43588</v>
      </c>
      <c r="H291" s="14" t="s">
        <v>28</v>
      </c>
      <c r="I291" s="2" t="s">
        <v>1583</v>
      </c>
      <c r="J291" s="2" t="s">
        <v>1584</v>
      </c>
      <c r="K291" s="13">
        <v>0.008680555554747116</v>
      </c>
      <c r="L291" s="13">
        <v>0.008680555554747116</v>
      </c>
      <c r="M291" s="13">
        <f>CRF_3[[#This Row],[Time Spent on Configuration]]+CRF_3[[#This Row],[Time Spent on Review/Testing]]</f>
        <v>NaN</v>
      </c>
      <c r="N291" s="1">
        <v>0</v>
      </c>
      <c r="O291" s="1" t="s">
        <v>1314</v>
      </c>
      <c r="P291" s="1" t="s">
        <v>503</v>
      </c>
      <c r="Q291" s="1" t="s">
        <v>488</v>
      </c>
      <c r="R291" s="14">
        <v>43588</v>
      </c>
      <c r="S291" s="1">
        <v>5</v>
      </c>
      <c r="U291" s="48"/>
    </row>
    <row r="292" ht="30" customHeight="1" spans="1:21" x14ac:dyDescent="0.25">
      <c r="A292" s="1" t="s">
        <v>3646</v>
      </c>
      <c r="B292" s="1">
        <v>2019</v>
      </c>
      <c r="C292" s="2" t="s">
        <v>1012</v>
      </c>
      <c r="D292" s="1" t="s">
        <v>25</v>
      </c>
      <c r="E292" s="1" t="s">
        <v>503</v>
      </c>
      <c r="F292" s="1" t="s">
        <v>27</v>
      </c>
      <c r="G292" s="14">
        <v>43589</v>
      </c>
      <c r="H292" s="14" t="s">
        <v>953</v>
      </c>
      <c r="I292" s="2" t="s">
        <v>1585</v>
      </c>
      <c r="J292" s="2" t="s">
        <v>1586</v>
      </c>
      <c r="K292" s="13">
        <v>0.010416666667879326</v>
      </c>
      <c r="L292" s="13">
        <v>0.010416666667879326</v>
      </c>
      <c r="M292" s="13">
        <f>CRF_3[[#This Row],[Time Spent on Configuration]]+CRF_3[[#This Row],[Time Spent on Review/Testing]]</f>
        <v>NaN</v>
      </c>
      <c r="N292" s="1">
        <v>0</v>
      </c>
      <c r="O292" s="1" t="s">
        <v>347</v>
      </c>
      <c r="P292" s="1" t="s">
        <v>503</v>
      </c>
      <c r="Q292" s="1" t="s">
        <v>117</v>
      </c>
      <c r="R292" s="14">
        <v>43589</v>
      </c>
      <c r="S292" s="1">
        <v>5</v>
      </c>
      <c r="U292" s="48"/>
    </row>
    <row r="293" ht="30" customHeight="1" spans="1:21" x14ac:dyDescent="0.25">
      <c r="A293" s="1" t="s">
        <v>3646</v>
      </c>
      <c r="B293" s="1">
        <v>2019</v>
      </c>
      <c r="C293" s="2" t="s">
        <v>1018</v>
      </c>
      <c r="D293" s="1" t="s">
        <v>1019</v>
      </c>
      <c r="E293" s="1" t="s">
        <v>503</v>
      </c>
      <c r="F293" s="1" t="s">
        <v>27</v>
      </c>
      <c r="G293" s="14">
        <v>43595</v>
      </c>
      <c r="H293" s="14" t="s">
        <v>28</v>
      </c>
      <c r="I293" s="2" t="s">
        <v>1587</v>
      </c>
      <c r="J293" s="2" t="s">
        <v>1588</v>
      </c>
      <c r="K293" s="13">
        <v>0.06770833333212067</v>
      </c>
      <c r="L293" s="13">
        <v>0.06770833333212067</v>
      </c>
      <c r="M293" s="13">
        <f>CRF_3[[#This Row],[Time Spent on Configuration]]+CRF_3[[#This Row],[Time Spent on Review/Testing]]</f>
        <v>NaN</v>
      </c>
      <c r="N293" s="1">
        <v>0</v>
      </c>
      <c r="O293" s="1" t="s">
        <v>574</v>
      </c>
      <c r="P293" s="1" t="s">
        <v>503</v>
      </c>
      <c r="Q293" s="1" t="s">
        <v>977</v>
      </c>
      <c r="R293" s="14">
        <v>43595</v>
      </c>
      <c r="S293" s="1">
        <v>5</v>
      </c>
      <c r="U293" s="48"/>
    </row>
    <row r="294" spans="1:21" x14ac:dyDescent="0.25">
      <c r="A294" s="1" t="s">
        <v>3646</v>
      </c>
      <c r="B294" s="1">
        <v>2019</v>
      </c>
      <c r="C294" s="2" t="s">
        <v>99</v>
      </c>
      <c r="D294" s="1" t="s">
        <v>25</v>
      </c>
      <c r="E294" s="1" t="s">
        <v>503</v>
      </c>
      <c r="F294" s="1" t="s">
        <v>27</v>
      </c>
      <c r="G294" s="14">
        <v>43600</v>
      </c>
      <c r="H294" s="14" t="s">
        <v>28</v>
      </c>
      <c r="I294" s="2" t="s">
        <v>1589</v>
      </c>
      <c r="J294" s="2" t="s">
        <v>4084</v>
      </c>
      <c r="K294" s="13">
        <v>0.06944444444525288</v>
      </c>
      <c r="L294" s="13">
        <v>0.06944444444525288</v>
      </c>
      <c r="M294" s="13">
        <f>CRF_3[[#This Row],[Time Spent on Configuration]]+CRF_3[[#This Row],[Time Spent on Review/Testing]]</f>
        <v>NaN</v>
      </c>
      <c r="N294" s="1">
        <v>0</v>
      </c>
      <c r="O294" s="1" t="s">
        <v>574</v>
      </c>
      <c r="P294" s="1" t="s">
        <v>503</v>
      </c>
      <c r="Q294" s="1" t="s">
        <v>977</v>
      </c>
      <c r="R294" s="14">
        <v>43600</v>
      </c>
      <c r="S294" s="1">
        <v>4</v>
      </c>
      <c r="U294" s="48"/>
    </row>
    <row r="295" spans="1:21" x14ac:dyDescent="0.25">
      <c r="A295" s="1" t="s">
        <v>3646</v>
      </c>
      <c r="B295" s="1">
        <v>2019</v>
      </c>
      <c r="C295" s="2" t="s">
        <v>286</v>
      </c>
      <c r="D295" s="1" t="s">
        <v>974</v>
      </c>
      <c r="E295" s="1" t="s">
        <v>503</v>
      </c>
      <c r="F295" s="1" t="s">
        <v>37</v>
      </c>
      <c r="G295" s="14">
        <v>43601</v>
      </c>
      <c r="H295" s="14" t="s">
        <v>1073</v>
      </c>
      <c r="I295" s="2" t="s">
        <v>1591</v>
      </c>
      <c r="J295" s="2" t="s">
        <v>4085</v>
      </c>
      <c r="K295" s="13">
        <v>0.005208333332120674</v>
      </c>
      <c r="L295" s="13">
        <v>0.005208333332120674</v>
      </c>
      <c r="M295" s="13">
        <f>CRF_3[[#This Row],[Time Spent on Configuration]]+CRF_3[[#This Row],[Time Spent on Review/Testing]]</f>
        <v>NaN</v>
      </c>
      <c r="N295" s="1">
        <v>0</v>
      </c>
      <c r="O295" s="1" t="s">
        <v>347</v>
      </c>
      <c r="P295" s="1" t="s">
        <v>503</v>
      </c>
      <c r="Q295" s="1" t="s">
        <v>484</v>
      </c>
      <c r="R295" s="14">
        <v>43601</v>
      </c>
      <c r="S295" s="1">
        <v>5</v>
      </c>
      <c r="U295" s="48"/>
    </row>
    <row r="296" spans="1:21" x14ac:dyDescent="0.25">
      <c r="A296" s="1" t="s">
        <v>3646</v>
      </c>
      <c r="B296" s="1">
        <v>2019</v>
      </c>
      <c r="C296" s="2" t="s">
        <v>99</v>
      </c>
      <c r="D296" s="1" t="s">
        <v>25</v>
      </c>
      <c r="E296" s="1" t="s">
        <v>503</v>
      </c>
      <c r="F296" s="1" t="s">
        <v>27</v>
      </c>
      <c r="G296" s="14">
        <v>43601</v>
      </c>
      <c r="H296" s="14" t="s">
        <v>28</v>
      </c>
      <c r="I296" s="2" t="s">
        <v>1589</v>
      </c>
      <c r="J296" s="2" t="s">
        <v>4086</v>
      </c>
      <c r="K296" s="13">
        <v>0.052083333332120674</v>
      </c>
      <c r="L296" s="13">
        <v>0.052083333332120674</v>
      </c>
      <c r="M296" s="13">
        <f>CRF_3[[#This Row],[Time Spent on Configuration]]+CRF_3[[#This Row],[Time Spent on Review/Testing]]</f>
        <v>NaN</v>
      </c>
      <c r="N296" s="1">
        <v>0</v>
      </c>
      <c r="O296" s="1" t="s">
        <v>574</v>
      </c>
      <c r="P296" s="1" t="s">
        <v>503</v>
      </c>
      <c r="Q296" s="1" t="s">
        <v>977</v>
      </c>
      <c r="R296" s="14">
        <v>43600</v>
      </c>
      <c r="S296" s="1">
        <v>4</v>
      </c>
      <c r="U296" s="48"/>
    </row>
    <row r="297" spans="1:21" x14ac:dyDescent="0.25">
      <c r="A297" s="1" t="s">
        <v>3646</v>
      </c>
      <c r="B297" s="1">
        <v>2019</v>
      </c>
      <c r="C297" s="2" t="s">
        <v>1451</v>
      </c>
      <c r="D297" s="1" t="s">
        <v>25</v>
      </c>
      <c r="E297" s="1" t="s">
        <v>503</v>
      </c>
      <c r="F297" s="1" t="s">
        <v>27</v>
      </c>
      <c r="G297" s="14">
        <v>43609</v>
      </c>
      <c r="H297" s="14" t="s">
        <v>28</v>
      </c>
      <c r="I297" s="2" t="s">
        <v>1594</v>
      </c>
      <c r="J297" s="2" t="s">
        <v>4087</v>
      </c>
      <c r="K297" s="13">
        <v>0.027777777777373558</v>
      </c>
      <c r="L297" s="13">
        <v>0.027777777777373558</v>
      </c>
      <c r="M297" s="13">
        <f>CRF_3[[#This Row],[Time Spent on Configuration]]+CRF_3[[#This Row],[Time Spent on Review/Testing]]</f>
        <v>NaN</v>
      </c>
      <c r="N297" s="1">
        <v>0</v>
      </c>
      <c r="O297" s="1" t="s">
        <v>574</v>
      </c>
      <c r="P297" s="1" t="s">
        <v>503</v>
      </c>
      <c r="Q297" s="1" t="s">
        <v>484</v>
      </c>
      <c r="R297" s="14">
        <v>43609</v>
      </c>
      <c r="S297" s="1">
        <v>5</v>
      </c>
      <c r="U297" s="48"/>
    </row>
    <row r="298" ht="30" customHeight="1" spans="1:21" x14ac:dyDescent="0.25">
      <c r="A298" s="1" t="s">
        <v>3646</v>
      </c>
      <c r="B298" s="1">
        <v>2019</v>
      </c>
      <c r="C298" s="2" t="s">
        <v>1012</v>
      </c>
      <c r="D298" s="1" t="s">
        <v>25</v>
      </c>
      <c r="E298" s="1" t="s">
        <v>503</v>
      </c>
      <c r="F298" s="1" t="s">
        <v>27</v>
      </c>
      <c r="G298" s="14">
        <v>43609</v>
      </c>
      <c r="H298" s="14" t="s">
        <v>28</v>
      </c>
      <c r="I298" s="2" t="s">
        <v>4088</v>
      </c>
      <c r="J298" s="2" t="s">
        <v>4088</v>
      </c>
      <c r="K298" s="13">
        <v>0.005208333332120674</v>
      </c>
      <c r="L298" s="13">
        <v>0.005208333332120674</v>
      </c>
      <c r="M298" s="13">
        <f>CRF_3[[#This Row],[Time Spent on Configuration]]+CRF_3[[#This Row],[Time Spent on Review/Testing]]</f>
        <v>NaN</v>
      </c>
      <c r="N298" s="1">
        <v>0</v>
      </c>
      <c r="O298" s="1" t="s">
        <v>347</v>
      </c>
      <c r="P298" s="1" t="s">
        <v>503</v>
      </c>
      <c r="Q298" s="1" t="s">
        <v>484</v>
      </c>
      <c r="R298" s="14">
        <v>43609</v>
      </c>
      <c r="S298" s="1">
        <v>5</v>
      </c>
      <c r="U298" s="48"/>
    </row>
    <row r="299" spans="1:21" x14ac:dyDescent="0.25">
      <c r="A299" s="1" t="s">
        <v>3646</v>
      </c>
      <c r="B299" s="1">
        <v>2019</v>
      </c>
      <c r="C299" s="2" t="s">
        <v>1002</v>
      </c>
      <c r="D299" s="1" t="s">
        <v>1003</v>
      </c>
      <c r="E299" s="1" t="s">
        <v>503</v>
      </c>
      <c r="F299" s="1" t="s">
        <v>37</v>
      </c>
      <c r="G299" s="14">
        <v>43616</v>
      </c>
      <c r="H299" s="14" t="s">
        <v>28</v>
      </c>
      <c r="I299" s="2" t="s">
        <v>1597</v>
      </c>
      <c r="J299" s="2" t="s">
        <v>1598</v>
      </c>
      <c r="K299" s="13">
        <v>0.010416666667879326</v>
      </c>
      <c r="L299" s="13">
        <v>0.010416666667879326</v>
      </c>
      <c r="M299" s="13">
        <f>CRF_3[[#This Row],[Time Spent on Configuration]]+CRF_3[[#This Row],[Time Spent on Review/Testing]]</f>
        <v>NaN</v>
      </c>
      <c r="N299" s="1">
        <v>0</v>
      </c>
      <c r="O299" s="1" t="s">
        <v>31</v>
      </c>
      <c r="P299" s="1" t="s">
        <v>503</v>
      </c>
      <c r="Q299" s="1" t="s">
        <v>977</v>
      </c>
      <c r="R299" s="14">
        <v>43616</v>
      </c>
      <c r="S299" s="1">
        <v>5</v>
      </c>
      <c r="U299" s="48"/>
    </row>
    <row r="300" ht="30" customHeight="1" spans="1:21" x14ac:dyDescent="0.25">
      <c r="A300" s="1" t="s">
        <v>3663</v>
      </c>
      <c r="B300" s="1">
        <v>2019</v>
      </c>
      <c r="C300" s="2" t="s">
        <v>1087</v>
      </c>
      <c r="D300" s="1" t="s">
        <v>186</v>
      </c>
      <c r="E300" s="1" t="s">
        <v>503</v>
      </c>
      <c r="F300" s="1" t="s">
        <v>37</v>
      </c>
      <c r="G300" s="14">
        <v>43617</v>
      </c>
      <c r="H300" s="14" t="s">
        <v>670</v>
      </c>
      <c r="I300" s="2" t="s">
        <v>1600</v>
      </c>
      <c r="J300" s="2" t="s">
        <v>1601</v>
      </c>
      <c r="K300" s="13">
        <v>0.020833333332120674</v>
      </c>
      <c r="L300" s="13">
        <v>0.020833333332120674</v>
      </c>
      <c r="M300" s="13">
        <f>CRF_3[[#This Row],[Time Spent on Configuration]]+CRF_3[[#This Row],[Time Spent on Review/Testing]]</f>
        <v>NaN</v>
      </c>
      <c r="N300" s="1">
        <v>0</v>
      </c>
      <c r="O300" s="1" t="s">
        <v>574</v>
      </c>
      <c r="P300" s="1" t="s">
        <v>503</v>
      </c>
      <c r="Q300" s="1" t="s">
        <v>977</v>
      </c>
      <c r="R300" s="14">
        <v>43617</v>
      </c>
      <c r="S300" s="1">
        <v>5</v>
      </c>
      <c r="U300" s="48"/>
    </row>
    <row r="301" spans="1:21" x14ac:dyDescent="0.25">
      <c r="A301" s="1" t="s">
        <v>3663</v>
      </c>
      <c r="B301" s="1">
        <v>2019</v>
      </c>
      <c r="C301" s="2" t="s">
        <v>616</v>
      </c>
      <c r="D301" s="1" t="s">
        <v>1042</v>
      </c>
      <c r="E301" s="1" t="s">
        <v>503</v>
      </c>
      <c r="F301" s="1" t="s">
        <v>37</v>
      </c>
      <c r="G301" s="14">
        <v>43619</v>
      </c>
      <c r="H301" s="14" t="s">
        <v>670</v>
      </c>
      <c r="I301" s="2" t="s">
        <v>1600</v>
      </c>
      <c r="J301" s="2" t="s">
        <v>4089</v>
      </c>
      <c r="K301" s="13">
        <v>0.020833333332120674</v>
      </c>
      <c r="L301" s="13">
        <v>0.020833333332120674</v>
      </c>
      <c r="M301" s="13">
        <f>CRF_3[[#This Row],[Time Spent on Configuration]]+CRF_3[[#This Row],[Time Spent on Review/Testing]]</f>
        <v>NaN</v>
      </c>
      <c r="N301" s="1">
        <v>0</v>
      </c>
      <c r="O301" s="1" t="s">
        <v>347</v>
      </c>
      <c r="P301" s="1" t="s">
        <v>503</v>
      </c>
      <c r="Q301" s="1" t="s">
        <v>484</v>
      </c>
      <c r="R301" s="14">
        <v>43619</v>
      </c>
      <c r="S301" s="1">
        <v>5</v>
      </c>
      <c r="U301" s="48"/>
    </row>
    <row r="302" ht="30" customHeight="1" spans="1:21" x14ac:dyDescent="0.25">
      <c r="A302" s="1" t="s">
        <v>3663</v>
      </c>
      <c r="B302" s="1">
        <v>2019</v>
      </c>
      <c r="C302" s="2" t="s">
        <v>1603</v>
      </c>
      <c r="D302" s="1" t="s">
        <v>186</v>
      </c>
      <c r="E302" s="1" t="s">
        <v>503</v>
      </c>
      <c r="F302" s="1" t="s">
        <v>37</v>
      </c>
      <c r="G302" s="14">
        <v>43628</v>
      </c>
      <c r="H302" s="14" t="s">
        <v>28</v>
      </c>
      <c r="I302" s="2" t="s">
        <v>1604</v>
      </c>
      <c r="J302" s="2" t="s">
        <v>1605</v>
      </c>
      <c r="K302" s="13">
        <v>0.006944444445252884</v>
      </c>
      <c r="L302" s="13">
        <v>0.006944444445252884</v>
      </c>
      <c r="M302" s="13">
        <f>CRF_3[[#This Row],[Time Spent on Configuration]]+CRF_3[[#This Row],[Time Spent on Review/Testing]]</f>
        <v>NaN</v>
      </c>
      <c r="N302" s="1">
        <v>0</v>
      </c>
      <c r="O302" s="1" t="s">
        <v>483</v>
      </c>
      <c r="P302" s="1" t="s">
        <v>503</v>
      </c>
      <c r="Q302" s="1" t="s">
        <v>488</v>
      </c>
      <c r="R302" s="14">
        <v>43628</v>
      </c>
      <c r="S302" s="1">
        <v>5</v>
      </c>
      <c r="U302" s="48"/>
    </row>
    <row r="303" spans="1:21" x14ac:dyDescent="0.25">
      <c r="A303" s="1" t="s">
        <v>3663</v>
      </c>
      <c r="B303" s="1">
        <v>2019</v>
      </c>
      <c r="C303" s="2" t="s">
        <v>1018</v>
      </c>
      <c r="D303" s="1" t="s">
        <v>951</v>
      </c>
      <c r="E303" s="1" t="s">
        <v>503</v>
      </c>
      <c r="F303" s="1" t="s">
        <v>27</v>
      </c>
      <c r="G303" s="14">
        <v>43628</v>
      </c>
      <c r="H303" s="14" t="s">
        <v>28</v>
      </c>
      <c r="I303" s="2" t="s">
        <v>1606</v>
      </c>
      <c r="J303" s="2" t="s">
        <v>4090</v>
      </c>
      <c r="K303" s="13">
        <v>0.041666666667879326</v>
      </c>
      <c r="L303" s="13">
        <v>0.041666666667879326</v>
      </c>
      <c r="M303" s="13">
        <f>CRF_3[[#This Row],[Time Spent on Configuration]]+CRF_3[[#This Row],[Time Spent on Review/Testing]]</f>
        <v>NaN</v>
      </c>
      <c r="N303" s="1">
        <v>0</v>
      </c>
      <c r="O303" s="1" t="s">
        <v>574</v>
      </c>
      <c r="P303" s="1" t="s">
        <v>503</v>
      </c>
      <c r="Q303" s="1" t="s">
        <v>977</v>
      </c>
      <c r="R303" s="14">
        <v>43629</v>
      </c>
      <c r="S303" s="1">
        <v>5</v>
      </c>
      <c r="U303" s="48"/>
    </row>
    <row r="304" ht="45" customHeight="1" spans="1:21" x14ac:dyDescent="0.25">
      <c r="A304" s="1" t="s">
        <v>3663</v>
      </c>
      <c r="B304" s="1">
        <v>2019</v>
      </c>
      <c r="C304" s="2" t="s">
        <v>99</v>
      </c>
      <c r="D304" s="1" t="s">
        <v>25</v>
      </c>
      <c r="E304" s="1" t="s">
        <v>503</v>
      </c>
      <c r="F304" s="1" t="s">
        <v>27</v>
      </c>
      <c r="G304" s="14">
        <v>43637</v>
      </c>
      <c r="H304" s="14" t="s">
        <v>28</v>
      </c>
      <c r="I304" s="2" t="s">
        <v>1608</v>
      </c>
      <c r="J304" s="2" t="s">
        <v>4091</v>
      </c>
      <c r="K304" s="13">
        <v>0.09722222222262644</v>
      </c>
      <c r="L304" s="13">
        <v>0.09722222222262644</v>
      </c>
      <c r="M304" s="13">
        <f>CRF_3[[#This Row],[Time Spent on Configuration]]+CRF_3[[#This Row],[Time Spent on Review/Testing]]</f>
        <v>NaN</v>
      </c>
      <c r="N304" s="1">
        <v>0</v>
      </c>
      <c r="O304" s="1" t="s">
        <v>53</v>
      </c>
      <c r="P304" s="1" t="s">
        <v>503</v>
      </c>
      <c r="Q304" s="1" t="s">
        <v>977</v>
      </c>
      <c r="R304" s="14">
        <v>43637</v>
      </c>
      <c r="S304" s="1">
        <v>5</v>
      </c>
      <c r="U304" s="48"/>
    </row>
    <row r="305" ht="60" customHeight="1" spans="1:21" x14ac:dyDescent="0.25">
      <c r="A305" s="1" t="s">
        <v>3663</v>
      </c>
      <c r="B305" s="1">
        <v>2019</v>
      </c>
      <c r="C305" s="2" t="s">
        <v>1451</v>
      </c>
      <c r="D305" s="1" t="s">
        <v>25</v>
      </c>
      <c r="E305" s="1" t="s">
        <v>503</v>
      </c>
      <c r="F305" s="1" t="s">
        <v>27</v>
      </c>
      <c r="G305" s="14">
        <v>43636</v>
      </c>
      <c r="H305" s="14" t="s">
        <v>28</v>
      </c>
      <c r="I305" s="2" t="s">
        <v>1610</v>
      </c>
      <c r="J305" s="2" t="s">
        <v>4092</v>
      </c>
      <c r="K305" s="13">
        <v>0.020833333332120674</v>
      </c>
      <c r="L305" s="13">
        <v>0.020833333332120674</v>
      </c>
      <c r="M305" s="13">
        <f>CRF_3[[#This Row],[Time Spent on Configuration]]+CRF_3[[#This Row],[Time Spent on Review/Testing]]</f>
        <v>NaN</v>
      </c>
      <c r="N305" s="1">
        <v>0</v>
      </c>
      <c r="O305" s="1" t="s">
        <v>53</v>
      </c>
      <c r="P305" s="1" t="s">
        <v>503</v>
      </c>
      <c r="Q305" s="1" t="s">
        <v>977</v>
      </c>
      <c r="R305" s="14">
        <v>43636</v>
      </c>
      <c r="S305" s="1">
        <v>5</v>
      </c>
      <c r="U305" s="48"/>
    </row>
    <row r="306" ht="75" customHeight="1" spans="1:21" x14ac:dyDescent="0.25">
      <c r="A306" s="1" t="s">
        <v>3663</v>
      </c>
      <c r="B306" s="1">
        <v>2019</v>
      </c>
      <c r="C306" s="2" t="s">
        <v>1002</v>
      </c>
      <c r="D306" s="1" t="s">
        <v>1003</v>
      </c>
      <c r="E306" s="1">
        <v>181352</v>
      </c>
      <c r="F306" s="1" t="s">
        <v>27</v>
      </c>
      <c r="G306" s="14">
        <v>43645</v>
      </c>
      <c r="H306" s="14" t="s">
        <v>28</v>
      </c>
      <c r="I306" s="2" t="s">
        <v>1613</v>
      </c>
      <c r="J306" s="2" t="s">
        <v>4093</v>
      </c>
      <c r="K306" s="13">
        <v>0.052083333332120674</v>
      </c>
      <c r="L306" s="13">
        <v>0.052083333332120674</v>
      </c>
      <c r="M306" s="13">
        <f>CRF_3[[#This Row],[Time Spent on Configuration]]+CRF_3[[#This Row],[Time Spent on Review/Testing]]</f>
        <v>NaN</v>
      </c>
      <c r="N306" s="1">
        <v>0</v>
      </c>
      <c r="O306" s="1" t="s">
        <v>53</v>
      </c>
      <c r="P306" s="1" t="s">
        <v>503</v>
      </c>
      <c r="Q306" s="1" t="s">
        <v>484</v>
      </c>
      <c r="R306" s="14">
        <v>43645</v>
      </c>
      <c r="S306" s="1">
        <v>5</v>
      </c>
      <c r="U306" s="48"/>
    </row>
    <row r="307" spans="1:21" x14ac:dyDescent="0.25">
      <c r="A307" s="1" t="s">
        <v>3663</v>
      </c>
      <c r="B307" s="1">
        <v>2019</v>
      </c>
      <c r="C307" s="2" t="s">
        <v>1093</v>
      </c>
      <c r="D307" s="1" t="s">
        <v>25</v>
      </c>
      <c r="E307" s="1">
        <v>181373</v>
      </c>
      <c r="F307" s="1" t="s">
        <v>27</v>
      </c>
      <c r="G307" s="14">
        <v>43644</v>
      </c>
      <c r="H307" s="14" t="s">
        <v>255</v>
      </c>
      <c r="I307" s="2" t="s">
        <v>1616</v>
      </c>
      <c r="J307" s="2" t="s">
        <v>1617</v>
      </c>
      <c r="K307" s="13">
        <v>0.03125</v>
      </c>
      <c r="L307" s="13">
        <v>0.03125</v>
      </c>
      <c r="M307" s="13">
        <f>CRF_3[[#This Row],[Time Spent on Configuration]]+CRF_3[[#This Row],[Time Spent on Review/Testing]]</f>
        <v>NaN</v>
      </c>
      <c r="N307" s="1">
        <v>0</v>
      </c>
      <c r="O307" s="1" t="s">
        <v>574</v>
      </c>
      <c r="P307" s="1" t="s">
        <v>503</v>
      </c>
      <c r="Q307" s="1" t="s">
        <v>488</v>
      </c>
      <c r="R307" s="14">
        <v>43644</v>
      </c>
      <c r="S307" s="1">
        <v>5</v>
      </c>
      <c r="U307" s="48"/>
    </row>
    <row r="308" ht="30" customHeight="1" spans="1:21" x14ac:dyDescent="0.25">
      <c r="A308" s="1" t="s">
        <v>3676</v>
      </c>
      <c r="B308" s="1">
        <v>2019</v>
      </c>
      <c r="C308" s="2" t="s">
        <v>1212</v>
      </c>
      <c r="D308" s="1" t="s">
        <v>25</v>
      </c>
      <c r="E308" s="1">
        <v>180619</v>
      </c>
      <c r="F308" s="1" t="s">
        <v>27</v>
      </c>
      <c r="G308" s="14">
        <v>43648</v>
      </c>
      <c r="H308" s="14" t="s">
        <v>28</v>
      </c>
      <c r="I308" s="2" t="s">
        <v>1620</v>
      </c>
      <c r="J308" s="2" t="s">
        <v>4094</v>
      </c>
      <c r="K308" s="13">
        <v>0.052083333332120674</v>
      </c>
      <c r="L308" s="13">
        <v>0.052083333332120674</v>
      </c>
      <c r="M308" s="13">
        <f>CRF_3[[#This Row],[Time Spent on Configuration]]+CRF_3[[#This Row],[Time Spent on Review/Testing]]</f>
        <v>NaN</v>
      </c>
      <c r="N308" s="1">
        <v>0</v>
      </c>
      <c r="O308" s="1" t="s">
        <v>53</v>
      </c>
      <c r="P308" s="1" t="s">
        <v>483</v>
      </c>
      <c r="Q308" s="1" t="s">
        <v>484</v>
      </c>
      <c r="R308" s="14">
        <v>43648</v>
      </c>
      <c r="S308" s="1">
        <v>5</v>
      </c>
      <c r="U308" s="48"/>
    </row>
    <row r="309" ht="30" customHeight="1" spans="1:21" x14ac:dyDescent="0.25">
      <c r="A309" s="1" t="s">
        <v>3676</v>
      </c>
      <c r="B309" s="1">
        <v>2019</v>
      </c>
      <c r="C309" s="2" t="s">
        <v>1451</v>
      </c>
      <c r="D309" s="1" t="s">
        <v>25</v>
      </c>
      <c r="E309" s="1">
        <v>179522</v>
      </c>
      <c r="F309" s="1" t="s">
        <v>27</v>
      </c>
      <c r="G309" s="14">
        <v>43645</v>
      </c>
      <c r="H309" s="14" t="s">
        <v>133</v>
      </c>
      <c r="I309" s="2" t="s">
        <v>1623</v>
      </c>
      <c r="J309" s="2" t="s">
        <v>1624</v>
      </c>
      <c r="K309" s="13">
        <v>0.041666666667879326</v>
      </c>
      <c r="L309" s="13">
        <v>0.041666666667879326</v>
      </c>
      <c r="M309" s="13">
        <f>CRF_3[[#This Row],[Time Spent on Configuration]]+CRF_3[[#This Row],[Time Spent on Review/Testing]]</f>
        <v>NaN</v>
      </c>
      <c r="N309" s="1">
        <v>0</v>
      </c>
      <c r="O309" s="1" t="s">
        <v>574</v>
      </c>
      <c r="P309" s="1" t="s">
        <v>483</v>
      </c>
      <c r="Q309" s="1" t="s">
        <v>484</v>
      </c>
      <c r="R309" s="14">
        <v>43647</v>
      </c>
      <c r="S309" s="1">
        <v>5</v>
      </c>
      <c r="U309" s="48"/>
    </row>
    <row r="310" ht="30" customHeight="1" spans="1:21" x14ac:dyDescent="0.25">
      <c r="A310" s="1" t="s">
        <v>3676</v>
      </c>
      <c r="B310" s="1">
        <v>2019</v>
      </c>
      <c r="C310" s="2" t="s">
        <v>1087</v>
      </c>
      <c r="D310" s="1" t="s">
        <v>186</v>
      </c>
      <c r="E310" s="1">
        <v>181961</v>
      </c>
      <c r="F310" s="1" t="s">
        <v>27</v>
      </c>
      <c r="G310" s="14">
        <v>43649</v>
      </c>
      <c r="H310" s="14" t="s">
        <v>50</v>
      </c>
      <c r="I310" s="2" t="s">
        <v>1626</v>
      </c>
      <c r="J310" s="2" t="s">
        <v>4095</v>
      </c>
      <c r="K310" s="12">
        <v>0.041666666667879326</v>
      </c>
      <c r="L310" s="12">
        <v>0.041666666667879326</v>
      </c>
      <c r="M310" s="13">
        <f>CRF_3[[#This Row],[Time Spent on Configuration]]+CRF_3[[#This Row],[Time Spent on Review/Testing]]</f>
        <v>NaN</v>
      </c>
      <c r="N310" s="1">
        <v>0</v>
      </c>
      <c r="O310" s="1" t="s">
        <v>31</v>
      </c>
      <c r="P310" s="1" t="s">
        <v>483</v>
      </c>
      <c r="Q310" s="1" t="s">
        <v>488</v>
      </c>
      <c r="R310" s="14">
        <v>43649</v>
      </c>
      <c r="S310" s="1">
        <v>5</v>
      </c>
      <c r="U310" s="48"/>
    </row>
    <row r="311" ht="30" customHeight="1" spans="1:21" x14ac:dyDescent="0.25">
      <c r="A311" s="1" t="s">
        <v>3676</v>
      </c>
      <c r="B311" s="1">
        <v>2019</v>
      </c>
      <c r="C311" s="2" t="s">
        <v>199</v>
      </c>
      <c r="D311" s="1" t="s">
        <v>541</v>
      </c>
      <c r="E311" s="1">
        <v>181065</v>
      </c>
      <c r="F311" s="1" t="s">
        <v>27</v>
      </c>
      <c r="G311" s="14">
        <v>43649</v>
      </c>
      <c r="H311" s="14" t="s">
        <v>28</v>
      </c>
      <c r="I311" s="2" t="s">
        <v>4096</v>
      </c>
      <c r="J311" s="52" t="s">
        <v>1630</v>
      </c>
      <c r="K311" s="12">
        <v>0.07291666666787933</v>
      </c>
      <c r="L311" s="12"/>
      <c r="M311" s="13">
        <f>CRF_3[[#This Row],[Time Spent on Configuration]]+CRF_3[[#This Row],[Time Spent on Review/Testing]]</f>
        <v>NaN</v>
      </c>
      <c r="N311" s="1">
        <v>0</v>
      </c>
      <c r="O311" s="1" t="s">
        <v>53</v>
      </c>
      <c r="P311" s="1" t="s">
        <v>483</v>
      </c>
      <c r="Q311" s="1" t="s">
        <v>488</v>
      </c>
      <c r="R311" s="14">
        <v>43649</v>
      </c>
      <c r="S311" s="1">
        <v>5</v>
      </c>
      <c r="U311" s="48"/>
    </row>
    <row r="312" ht="30" customHeight="1" spans="1:21" x14ac:dyDescent="0.25">
      <c r="A312" s="1" t="s">
        <v>3676</v>
      </c>
      <c r="B312" s="1">
        <v>2019</v>
      </c>
      <c r="C312" s="2" t="s">
        <v>1204</v>
      </c>
      <c r="D312" s="1" t="s">
        <v>1631</v>
      </c>
      <c r="E312" s="1">
        <v>180862</v>
      </c>
      <c r="F312" s="1" t="s">
        <v>37</v>
      </c>
      <c r="G312" s="14">
        <v>43649</v>
      </c>
      <c r="H312" s="14" t="s">
        <v>255</v>
      </c>
      <c r="I312" s="2" t="s">
        <v>1633</v>
      </c>
      <c r="J312" s="2" t="s">
        <v>4097</v>
      </c>
      <c r="K312" s="12">
        <v>0.125</v>
      </c>
      <c r="L312" s="12">
        <v>0</v>
      </c>
      <c r="M312" s="13">
        <f>CRF_3[[#This Row],[Time Spent on Configuration]]+CRF_3[[#This Row],[Time Spent on Review/Testing]]</f>
        <v>NaN</v>
      </c>
      <c r="N312" s="1">
        <v>0</v>
      </c>
      <c r="O312" s="1" t="s">
        <v>347</v>
      </c>
      <c r="P312" s="1" t="s">
        <v>347</v>
      </c>
      <c r="Q312" s="1" t="s">
        <v>117</v>
      </c>
      <c r="R312" s="14">
        <v>43649</v>
      </c>
      <c r="S312" s="1">
        <v>4</v>
      </c>
      <c r="U312" s="48"/>
    </row>
    <row r="313" ht="30" customHeight="1" spans="1:21" x14ac:dyDescent="0.25">
      <c r="A313" s="1" t="s">
        <v>3676</v>
      </c>
      <c r="B313" s="1">
        <v>2019</v>
      </c>
      <c r="C313" s="2" t="s">
        <v>1635</v>
      </c>
      <c r="D313" s="1" t="s">
        <v>186</v>
      </c>
      <c r="E313" s="1">
        <v>180752</v>
      </c>
      <c r="F313" s="1" t="s">
        <v>37</v>
      </c>
      <c r="G313" s="14">
        <v>43649</v>
      </c>
      <c r="H313" s="14" t="s">
        <v>38</v>
      </c>
      <c r="I313" s="2" t="s">
        <v>1637</v>
      </c>
      <c r="J313" s="2" t="s">
        <v>1638</v>
      </c>
      <c r="K313" s="12">
        <v>0.041666666667879326</v>
      </c>
      <c r="L313" s="12">
        <v>0.04513888889050577</v>
      </c>
      <c r="M313" s="13">
        <f>CRF_3[[#This Row],[Time Spent on Configuration]]+CRF_3[[#This Row],[Time Spent on Review/Testing]]</f>
        <v>NaN</v>
      </c>
      <c r="O313" s="1" t="s">
        <v>574</v>
      </c>
      <c r="P313" s="1" t="s">
        <v>483</v>
      </c>
      <c r="Q313" s="1" t="s">
        <v>488</v>
      </c>
      <c r="R313" s="14">
        <v>43649</v>
      </c>
      <c r="S313" s="1">
        <v>5</v>
      </c>
      <c r="U313" s="48"/>
    </row>
    <row r="314" ht="30" customHeight="1" spans="1:21" x14ac:dyDescent="0.25">
      <c r="A314" s="1" t="s">
        <v>3676</v>
      </c>
      <c r="B314" s="1">
        <v>2019</v>
      </c>
      <c r="C314" s="2" t="s">
        <v>1603</v>
      </c>
      <c r="D314" s="1" t="s">
        <v>186</v>
      </c>
      <c r="E314" s="1">
        <v>181915</v>
      </c>
      <c r="F314" s="1" t="s">
        <v>37</v>
      </c>
      <c r="G314" s="14">
        <v>43649</v>
      </c>
      <c r="H314" s="14" t="s">
        <v>28</v>
      </c>
      <c r="I314" s="2" t="s">
        <v>1552</v>
      </c>
      <c r="J314" s="2" t="s">
        <v>1640</v>
      </c>
      <c r="K314" s="12">
        <v>0.0625</v>
      </c>
      <c r="L314" s="12">
        <v>0.0625</v>
      </c>
      <c r="M314" s="13">
        <f>CRF_3[[#This Row],[Time Spent on Configuration]]+CRF_3[[#This Row],[Time Spent on Review/Testing]]</f>
        <v>NaN</v>
      </c>
      <c r="O314" s="1" t="s">
        <v>574</v>
      </c>
      <c r="P314" s="1" t="s">
        <v>483</v>
      </c>
      <c r="Q314" s="1" t="s">
        <v>488</v>
      </c>
      <c r="R314" s="14">
        <v>43649</v>
      </c>
      <c r="S314" s="1">
        <v>5</v>
      </c>
      <c r="U314" s="48"/>
    </row>
    <row r="315" ht="30" customHeight="1" spans="1:21" x14ac:dyDescent="0.25">
      <c r="A315" s="1" t="s">
        <v>3676</v>
      </c>
      <c r="B315" s="1">
        <v>2019</v>
      </c>
      <c r="C315" s="2" t="s">
        <v>1087</v>
      </c>
      <c r="D315" s="1" t="s">
        <v>186</v>
      </c>
      <c r="E315" s="1">
        <v>181593</v>
      </c>
      <c r="F315" s="1" t="s">
        <v>37</v>
      </c>
      <c r="G315" s="14">
        <v>43658</v>
      </c>
      <c r="H315" s="14" t="s">
        <v>28</v>
      </c>
      <c r="I315" s="2" t="s">
        <v>1552</v>
      </c>
      <c r="J315" s="2" t="s">
        <v>1642</v>
      </c>
      <c r="K315" s="12">
        <v>0.09375</v>
      </c>
      <c r="L315" s="12">
        <v>0.0625</v>
      </c>
      <c r="M315" s="13">
        <f>CRF_3[[#This Row],[Time Spent on Configuration]]+CRF_3[[#This Row],[Time Spent on Review/Testing]]</f>
        <v>NaN</v>
      </c>
      <c r="N315" s="1">
        <v>0</v>
      </c>
      <c r="O315" s="1" t="s">
        <v>31</v>
      </c>
      <c r="P315" s="1" t="s">
        <v>483</v>
      </c>
      <c r="Q315" s="1" t="s">
        <v>488</v>
      </c>
      <c r="R315" s="14">
        <v>43658</v>
      </c>
      <c r="S315" s="1">
        <v>5</v>
      </c>
      <c r="U315" s="48"/>
    </row>
    <row r="316" ht="75" customHeight="1" spans="1:21" x14ac:dyDescent="0.25">
      <c r="A316" s="1" t="s">
        <v>3676</v>
      </c>
      <c r="B316" s="1">
        <v>2019</v>
      </c>
      <c r="C316" s="2" t="s">
        <v>35</v>
      </c>
      <c r="D316" s="1" t="s">
        <v>25</v>
      </c>
      <c r="E316" s="1">
        <v>181692</v>
      </c>
      <c r="F316" s="1" t="s">
        <v>37</v>
      </c>
      <c r="G316" s="14">
        <v>43664</v>
      </c>
      <c r="H316" s="14" t="s">
        <v>28</v>
      </c>
      <c r="I316" s="2" t="s">
        <v>1552</v>
      </c>
      <c r="J316" s="2" t="s">
        <v>4098</v>
      </c>
      <c r="K316" s="12">
        <v>0.08333333333212067</v>
      </c>
      <c r="L316" s="12">
        <v>0.09722222222262644</v>
      </c>
      <c r="M316" s="13">
        <f>CRF_3[[#This Row],[Time Spent on Configuration]]+CRF_3[[#This Row],[Time Spent on Review/Testing]]</f>
        <v>NaN</v>
      </c>
      <c r="N316" s="1">
        <v>0</v>
      </c>
      <c r="O316" s="1" t="s">
        <v>574</v>
      </c>
      <c r="P316" s="1" t="s">
        <v>483</v>
      </c>
      <c r="Q316" s="1" t="s">
        <v>488</v>
      </c>
      <c r="R316" s="14">
        <v>43664</v>
      </c>
      <c r="S316" s="1">
        <v>5</v>
      </c>
      <c r="U316" s="48"/>
    </row>
    <row r="317" spans="1:21" x14ac:dyDescent="0.25">
      <c r="A317" s="1" t="s">
        <v>3676</v>
      </c>
      <c r="B317" s="1">
        <v>2019</v>
      </c>
      <c r="C317" s="2" t="s">
        <v>35</v>
      </c>
      <c r="D317" s="1" t="s">
        <v>25</v>
      </c>
      <c r="E317" s="1">
        <v>183472</v>
      </c>
      <c r="F317" s="1" t="s">
        <v>37</v>
      </c>
      <c r="G317" s="14">
        <v>43664</v>
      </c>
      <c r="H317" s="14" t="s">
        <v>28</v>
      </c>
      <c r="I317" s="2" t="s">
        <v>1646</v>
      </c>
      <c r="J317" s="2" t="s">
        <v>1647</v>
      </c>
      <c r="K317" s="12">
        <v>0.006944444445252884</v>
      </c>
      <c r="L317" s="12">
        <v>0</v>
      </c>
      <c r="M317" s="13">
        <f>CRF_3[[#This Row],[Time Spent on Configuration]]+CRF_3[[#This Row],[Time Spent on Review/Testing]]</f>
        <v>NaN</v>
      </c>
      <c r="N317" s="1">
        <v>0</v>
      </c>
      <c r="O317" s="1" t="s">
        <v>574</v>
      </c>
      <c r="P317" s="1" t="s">
        <v>483</v>
      </c>
      <c r="Q317" s="1" t="s">
        <v>488</v>
      </c>
      <c r="R317" s="14">
        <v>43668</v>
      </c>
      <c r="S317" s="1">
        <v>5</v>
      </c>
      <c r="U317" s="48"/>
    </row>
    <row r="318" spans="1:21" x14ac:dyDescent="0.25">
      <c r="A318" s="1" t="s">
        <v>3676</v>
      </c>
      <c r="B318" s="1">
        <v>2019</v>
      </c>
      <c r="C318" s="2" t="s">
        <v>35</v>
      </c>
      <c r="D318" s="1" t="s">
        <v>25</v>
      </c>
      <c r="E318" s="1">
        <v>183967</v>
      </c>
      <c r="F318" s="1" t="s">
        <v>37</v>
      </c>
      <c r="G318" s="14">
        <v>43670</v>
      </c>
      <c r="H318" s="14" t="s">
        <v>28</v>
      </c>
      <c r="I318" s="2" t="s">
        <v>1649</v>
      </c>
      <c r="J318" s="2" t="s">
        <v>1650</v>
      </c>
      <c r="K318" s="12">
        <v>0.020833333332120674</v>
      </c>
      <c r="L318" s="12">
        <v>0</v>
      </c>
      <c r="M318" s="13">
        <f>CRF_3[[#This Row],[Time Spent on Configuration]]+CRF_3[[#This Row],[Time Spent on Review/Testing]]</f>
        <v>NaN</v>
      </c>
      <c r="N318" s="1">
        <v>0</v>
      </c>
      <c r="O318" s="1" t="s">
        <v>53</v>
      </c>
      <c r="P318" s="1" t="s">
        <v>503</v>
      </c>
      <c r="Q318" s="1" t="s">
        <v>488</v>
      </c>
      <c r="R318" s="14">
        <v>43670</v>
      </c>
      <c r="S318" s="1">
        <v>5</v>
      </c>
      <c r="U318" s="48"/>
    </row>
    <row r="319" ht="30" customHeight="1" spans="1:21" x14ac:dyDescent="0.25">
      <c r="A319" s="1" t="s">
        <v>3676</v>
      </c>
      <c r="B319" s="1">
        <v>2019</v>
      </c>
      <c r="C319" s="2" t="s">
        <v>1093</v>
      </c>
      <c r="D319" s="1" t="s">
        <v>1651</v>
      </c>
      <c r="E319" s="1">
        <v>184093</v>
      </c>
      <c r="F319" s="1" t="s">
        <v>37</v>
      </c>
      <c r="G319" s="14">
        <v>43670</v>
      </c>
      <c r="H319" s="14" t="s">
        <v>28</v>
      </c>
      <c r="I319" s="2" t="s">
        <v>1653</v>
      </c>
      <c r="J319" s="2" t="s">
        <v>1653</v>
      </c>
      <c r="K319" s="12">
        <v>0.013888888890505768</v>
      </c>
      <c r="L319" s="12">
        <v>0</v>
      </c>
      <c r="M319" s="13">
        <f>CRF_3[[#This Row],[Time Spent on Configuration]]+CRF_3[[#This Row],[Time Spent on Review/Testing]]</f>
        <v>NaN</v>
      </c>
      <c r="N319" s="1">
        <v>0</v>
      </c>
      <c r="O319" s="1" t="s">
        <v>53</v>
      </c>
      <c r="P319" s="1" t="s">
        <v>503</v>
      </c>
      <c r="Q319" s="1" t="s">
        <v>488</v>
      </c>
      <c r="R319" s="14">
        <v>43670</v>
      </c>
      <c r="S319" s="1">
        <v>5</v>
      </c>
      <c r="U319" s="48"/>
    </row>
    <row r="320" ht="30" customHeight="1" spans="1:21" x14ac:dyDescent="0.25">
      <c r="A320" s="1" t="s">
        <v>3676</v>
      </c>
      <c r="B320" s="1">
        <v>2019</v>
      </c>
      <c r="C320" s="2" t="s">
        <v>1087</v>
      </c>
      <c r="D320" s="1" t="s">
        <v>186</v>
      </c>
      <c r="E320" s="1" t="s">
        <v>503</v>
      </c>
      <c r="F320" s="1" t="s">
        <v>37</v>
      </c>
      <c r="G320" s="14">
        <v>43672</v>
      </c>
      <c r="H320" s="14" t="s">
        <v>28</v>
      </c>
      <c r="I320" s="2" t="s">
        <v>1552</v>
      </c>
      <c r="J320" s="2" t="s">
        <v>1654</v>
      </c>
      <c r="K320" s="12">
        <v>0.125</v>
      </c>
      <c r="L320" s="12">
        <v>0.06944444444525288</v>
      </c>
      <c r="M320" s="13">
        <f>CRF_3[[#This Row],[Time Spent on Configuration]]+CRF_3[[#This Row],[Time Spent on Review/Testing]]</f>
        <v>NaN</v>
      </c>
      <c r="N320" s="1">
        <v>0</v>
      </c>
      <c r="O320" s="1" t="s">
        <v>53</v>
      </c>
      <c r="P320" s="1" t="s">
        <v>483</v>
      </c>
      <c r="Q320" s="1" t="s">
        <v>488</v>
      </c>
      <c r="R320" s="14">
        <v>43672</v>
      </c>
      <c r="S320" s="1">
        <v>5</v>
      </c>
      <c r="U320" s="48"/>
    </row>
    <row r="321" spans="1:21" x14ac:dyDescent="0.25">
      <c r="A321" s="1" t="s">
        <v>3690</v>
      </c>
      <c r="B321" s="1">
        <v>2019</v>
      </c>
      <c r="C321" s="2" t="s">
        <v>118</v>
      </c>
      <c r="D321" s="1" t="s">
        <v>25</v>
      </c>
      <c r="E321" s="1">
        <v>185319</v>
      </c>
      <c r="F321" s="1" t="s">
        <v>37</v>
      </c>
      <c r="G321" s="14">
        <v>43684</v>
      </c>
      <c r="H321" s="14" t="s">
        <v>28</v>
      </c>
      <c r="I321" s="2" t="s">
        <v>1657</v>
      </c>
      <c r="J321" s="2" t="s">
        <v>1658</v>
      </c>
      <c r="K321" s="12">
        <v>0.020833333332120674</v>
      </c>
      <c r="L321" s="12">
        <v>0</v>
      </c>
      <c r="M321" s="13">
        <f>CRF_3[[#This Row],[Time Spent on Configuration]]+CRF_3[[#This Row],[Time Spent on Review/Testing]]</f>
        <v>NaN</v>
      </c>
      <c r="N321" s="1">
        <v>0</v>
      </c>
      <c r="O321" s="1" t="s">
        <v>574</v>
      </c>
      <c r="P321" s="1" t="s">
        <v>483</v>
      </c>
      <c r="Q321" s="1" t="s">
        <v>488</v>
      </c>
      <c r="R321" s="14">
        <v>43684</v>
      </c>
      <c r="S321" s="1">
        <v>3</v>
      </c>
      <c r="U321" s="48"/>
    </row>
    <row r="322" spans="1:21" x14ac:dyDescent="0.25">
      <c r="A322" s="1" t="s">
        <v>3690</v>
      </c>
      <c r="B322" s="1">
        <v>2019</v>
      </c>
      <c r="C322" s="2" t="s">
        <v>1038</v>
      </c>
      <c r="D322" s="1" t="s">
        <v>1659</v>
      </c>
      <c r="E322" s="1">
        <v>185311</v>
      </c>
      <c r="F322" s="1" t="s">
        <v>37</v>
      </c>
      <c r="G322" s="14">
        <v>43684</v>
      </c>
      <c r="H322" s="14" t="s">
        <v>28</v>
      </c>
      <c r="I322" s="2" t="s">
        <v>1661</v>
      </c>
      <c r="J322" s="2" t="s">
        <v>1662</v>
      </c>
      <c r="K322" s="12">
        <v>0.020833333332120674</v>
      </c>
      <c r="L322" s="12">
        <v>0</v>
      </c>
      <c r="M322" s="13">
        <f>CRF_3[[#This Row],[Time Spent on Configuration]]+CRF_3[[#This Row],[Time Spent on Review/Testing]]</f>
        <v>NaN</v>
      </c>
      <c r="N322" s="1">
        <v>0</v>
      </c>
      <c r="O322" s="1" t="s">
        <v>53</v>
      </c>
      <c r="P322" s="1" t="s">
        <v>503</v>
      </c>
      <c r="Q322" s="1" t="s">
        <v>488</v>
      </c>
      <c r="R322" s="14">
        <v>43684</v>
      </c>
      <c r="S322" s="1">
        <v>5</v>
      </c>
      <c r="U322" s="48"/>
    </row>
    <row r="323" ht="30" customHeight="1" spans="1:21" x14ac:dyDescent="0.25">
      <c r="A323" s="1" t="s">
        <v>3690</v>
      </c>
      <c r="B323" s="1">
        <v>2019</v>
      </c>
      <c r="C323" s="2" t="s">
        <v>1047</v>
      </c>
      <c r="D323" s="1" t="s">
        <v>989</v>
      </c>
      <c r="E323" s="1">
        <v>184172</v>
      </c>
      <c r="F323" s="1" t="s">
        <v>37</v>
      </c>
      <c r="G323" s="14">
        <v>43684</v>
      </c>
      <c r="H323" s="14" t="s">
        <v>28</v>
      </c>
      <c r="I323" s="2" t="s">
        <v>4099</v>
      </c>
      <c r="J323" s="2" t="s">
        <v>1665</v>
      </c>
      <c r="K323" s="12">
        <v>0.020833333332120674</v>
      </c>
      <c r="L323" s="12">
        <v>0</v>
      </c>
      <c r="M323" s="13">
        <f>CRF_3[[#This Row],[Time Spent on Configuration]]+CRF_3[[#This Row],[Time Spent on Review/Testing]]</f>
        <v>NaN</v>
      </c>
      <c r="N323" s="1">
        <v>0</v>
      </c>
      <c r="O323" s="1" t="s">
        <v>53</v>
      </c>
      <c r="P323" s="1" t="s">
        <v>503</v>
      </c>
      <c r="Q323" s="1" t="s">
        <v>484</v>
      </c>
      <c r="R323" s="14">
        <v>43684</v>
      </c>
      <c r="S323" s="1">
        <v>5</v>
      </c>
      <c r="U323" s="48"/>
    </row>
    <row r="324" ht="30" customHeight="1" spans="1:21" x14ac:dyDescent="0.25">
      <c r="A324" s="1" t="s">
        <v>3690</v>
      </c>
      <c r="B324" s="1">
        <v>2019</v>
      </c>
      <c r="C324" s="2" t="s">
        <v>796</v>
      </c>
      <c r="D324" s="1" t="s">
        <v>285</v>
      </c>
      <c r="E324" s="1" t="s">
        <v>1666</v>
      </c>
      <c r="F324" s="1" t="s">
        <v>27</v>
      </c>
      <c r="G324" s="14">
        <v>43697</v>
      </c>
      <c r="H324" s="14" t="s">
        <v>28</v>
      </c>
      <c r="I324" s="2" t="s">
        <v>1667</v>
      </c>
      <c r="J324" s="2" t="s">
        <v>1668</v>
      </c>
      <c r="K324" s="12">
        <v>0.020833333332120674</v>
      </c>
      <c r="L324" s="12">
        <v>0.013888888890505768</v>
      </c>
      <c r="M324" s="13">
        <f>CRF_3[[#This Row],[Time Spent on Configuration]]+CRF_3[[#This Row],[Time Spent on Review/Testing]]</f>
        <v>NaN</v>
      </c>
      <c r="N324" s="1">
        <v>0</v>
      </c>
      <c r="O324" s="1" t="s">
        <v>53</v>
      </c>
      <c r="P324" s="1" t="s">
        <v>503</v>
      </c>
      <c r="Q324" s="1" t="s">
        <v>484</v>
      </c>
      <c r="R324" s="14">
        <v>43697</v>
      </c>
      <c r="S324" s="1">
        <v>5</v>
      </c>
      <c r="U324" s="48"/>
    </row>
    <row r="325" spans="1:21" x14ac:dyDescent="0.25">
      <c r="A325" s="1" t="s">
        <v>3690</v>
      </c>
      <c r="B325" s="1">
        <v>2019</v>
      </c>
      <c r="C325" s="2" t="s">
        <v>286</v>
      </c>
      <c r="D325" s="1" t="s">
        <v>974</v>
      </c>
      <c r="E325" s="1">
        <v>186069</v>
      </c>
      <c r="F325" s="1" t="s">
        <v>27</v>
      </c>
      <c r="G325" s="14">
        <v>43697</v>
      </c>
      <c r="H325" s="14" t="s">
        <v>28</v>
      </c>
      <c r="I325" s="2" t="s">
        <v>1670</v>
      </c>
      <c r="J325" s="2" t="s">
        <v>1671</v>
      </c>
      <c r="K325" s="12">
        <v>0.020833333332120674</v>
      </c>
      <c r="L325" s="12">
        <v>0.03125</v>
      </c>
      <c r="M325" s="13">
        <f>CRF_3[[#This Row],[Time Spent on Configuration]]+CRF_3[[#This Row],[Time Spent on Review/Testing]]</f>
        <v>NaN</v>
      </c>
      <c r="N325" s="1">
        <v>0</v>
      </c>
      <c r="O325" s="1" t="s">
        <v>53</v>
      </c>
      <c r="P325" s="1" t="s">
        <v>483</v>
      </c>
      <c r="Q325" s="1" t="s">
        <v>484</v>
      </c>
      <c r="R325" s="14">
        <v>43697</v>
      </c>
      <c r="S325" s="1">
        <v>5</v>
      </c>
      <c r="U325" s="48"/>
    </row>
    <row r="326" ht="30" customHeight="1" spans="1:21" x14ac:dyDescent="0.25">
      <c r="A326" s="1" t="s">
        <v>3690</v>
      </c>
      <c r="B326" s="1">
        <v>2019</v>
      </c>
      <c r="C326" s="2" t="s">
        <v>35</v>
      </c>
      <c r="D326" s="1" t="s">
        <v>25</v>
      </c>
      <c r="E326" s="1">
        <v>186015</v>
      </c>
      <c r="F326" s="1" t="s">
        <v>27</v>
      </c>
      <c r="G326" s="14">
        <v>43697</v>
      </c>
      <c r="H326" s="14" t="s">
        <v>28</v>
      </c>
      <c r="I326" s="2" t="s">
        <v>1673</v>
      </c>
      <c r="J326" s="2" t="s">
        <v>1673</v>
      </c>
      <c r="K326" s="12">
        <v>0.10416666666787933</v>
      </c>
      <c r="L326" s="12">
        <v>0.07291666666787933</v>
      </c>
      <c r="M326" s="13">
        <f>CRF_3[[#This Row],[Time Spent on Configuration]]+CRF_3[[#This Row],[Time Spent on Review/Testing]]</f>
        <v>NaN</v>
      </c>
      <c r="N326" s="1">
        <v>0</v>
      </c>
      <c r="O326" s="1" t="s">
        <v>53</v>
      </c>
      <c r="P326" s="1" t="s">
        <v>483</v>
      </c>
      <c r="Q326" s="1" t="s">
        <v>488</v>
      </c>
      <c r="R326" s="14">
        <v>43697</v>
      </c>
      <c r="S326" s="1">
        <v>5</v>
      </c>
      <c r="U326" s="48"/>
    </row>
    <row r="327" ht="30" customHeight="1" spans="1:21" x14ac:dyDescent="0.25">
      <c r="A327" s="1" t="s">
        <v>3690</v>
      </c>
      <c r="B327" s="1">
        <v>2019</v>
      </c>
      <c r="C327" s="2" t="s">
        <v>1212</v>
      </c>
      <c r="D327" s="1" t="s">
        <v>25</v>
      </c>
      <c r="E327" s="1">
        <v>183501</v>
      </c>
      <c r="F327" s="1" t="s">
        <v>27</v>
      </c>
      <c r="G327" s="14">
        <v>43697</v>
      </c>
      <c r="H327" s="14" t="s">
        <v>28</v>
      </c>
      <c r="I327" s="2" t="s">
        <v>1675</v>
      </c>
      <c r="J327" s="2" t="s">
        <v>1676</v>
      </c>
      <c r="K327" s="12">
        <v>0.020833333332120674</v>
      </c>
      <c r="L327" s="12">
        <v>0</v>
      </c>
      <c r="M327" s="13">
        <f>CRF_3[[#This Row],[Time Spent on Configuration]]+CRF_3[[#This Row],[Time Spent on Review/Testing]]</f>
        <v>NaN</v>
      </c>
      <c r="N327" s="1">
        <v>0</v>
      </c>
      <c r="O327" s="1" t="s">
        <v>53</v>
      </c>
      <c r="P327" s="1" t="s">
        <v>483</v>
      </c>
      <c r="Q327" s="1" t="s">
        <v>484</v>
      </c>
      <c r="R327" s="14">
        <v>43697</v>
      </c>
      <c r="S327" s="1">
        <v>5</v>
      </c>
      <c r="U327" s="48"/>
    </row>
    <row r="328" ht="45" customHeight="1" spans="1:21" x14ac:dyDescent="0.25">
      <c r="A328" s="1" t="s">
        <v>3690</v>
      </c>
      <c r="B328" s="1">
        <v>2019</v>
      </c>
      <c r="C328" s="2" t="s">
        <v>99</v>
      </c>
      <c r="D328" s="1" t="s">
        <v>25</v>
      </c>
      <c r="E328" s="1">
        <v>183262</v>
      </c>
      <c r="F328" s="1" t="s">
        <v>37</v>
      </c>
      <c r="G328" s="14">
        <v>43699</v>
      </c>
      <c r="H328" s="14" t="s">
        <v>28</v>
      </c>
      <c r="I328" s="2" t="s">
        <v>1608</v>
      </c>
      <c r="J328" s="2" t="s">
        <v>4100</v>
      </c>
      <c r="K328" s="12">
        <v>0.0625</v>
      </c>
      <c r="L328" s="12">
        <v>0.0625</v>
      </c>
      <c r="M328" s="13">
        <f>CRF_3[[#This Row],[Time Spent on Configuration]]+CRF_3[[#This Row],[Time Spent on Review/Testing]]</f>
        <v>NaN</v>
      </c>
      <c r="O328" s="1" t="s">
        <v>574</v>
      </c>
      <c r="P328" s="1" t="s">
        <v>483</v>
      </c>
      <c r="Q328" s="1" t="s">
        <v>484</v>
      </c>
      <c r="R328" s="14">
        <v>43699</v>
      </c>
      <c r="S328" s="1">
        <v>5</v>
      </c>
      <c r="U328" s="48"/>
    </row>
    <row r="329" spans="1:21" x14ac:dyDescent="0.25">
      <c r="A329" s="1" t="s">
        <v>3690</v>
      </c>
      <c r="B329" s="1">
        <v>2019</v>
      </c>
      <c r="C329" s="2" t="s">
        <v>641</v>
      </c>
      <c r="D329" s="1" t="s">
        <v>261</v>
      </c>
      <c r="E329" s="1">
        <v>186421</v>
      </c>
      <c r="F329" s="1" t="s">
        <v>37</v>
      </c>
      <c r="G329" s="14">
        <v>43700</v>
      </c>
      <c r="H329" s="14" t="s">
        <v>255</v>
      </c>
      <c r="I329" s="2" t="s">
        <v>1680</v>
      </c>
      <c r="J329" s="2" t="s">
        <v>1681</v>
      </c>
      <c r="K329" s="12">
        <v>0.020833333332120674</v>
      </c>
      <c r="L329" s="12">
        <v>0.020833333332120674</v>
      </c>
      <c r="M329" s="13">
        <f>CRF_3[[#This Row],[Time Spent on Configuration]]+CRF_3[[#This Row],[Time Spent on Review/Testing]]</f>
        <v>NaN</v>
      </c>
      <c r="N329" s="1">
        <v>0</v>
      </c>
      <c r="O329" s="1" t="s">
        <v>31</v>
      </c>
      <c r="P329" s="1" t="s">
        <v>483</v>
      </c>
      <c r="Q329" s="1" t="s">
        <v>488</v>
      </c>
      <c r="R329" s="14">
        <v>43700</v>
      </c>
      <c r="S329" s="1">
        <v>4</v>
      </c>
      <c r="U329" s="48"/>
    </row>
    <row r="330" ht="30" customHeight="1" spans="1:21" x14ac:dyDescent="0.25">
      <c r="A330" s="1" t="s">
        <v>3690</v>
      </c>
      <c r="B330" s="1">
        <v>2019</v>
      </c>
      <c r="C330" s="2" t="s">
        <v>1682</v>
      </c>
      <c r="D330" s="1" t="s">
        <v>123</v>
      </c>
      <c r="E330" s="1">
        <v>186983</v>
      </c>
      <c r="F330" s="1" t="s">
        <v>27</v>
      </c>
      <c r="G330" s="14">
        <v>43701</v>
      </c>
      <c r="H330" s="14" t="s">
        <v>255</v>
      </c>
      <c r="I330" s="2" t="s">
        <v>1684</v>
      </c>
      <c r="J330" s="2" t="s">
        <v>4101</v>
      </c>
      <c r="K330" s="12">
        <v>0.010416666667879326</v>
      </c>
      <c r="L330" s="12">
        <v>0.03125</v>
      </c>
      <c r="M330" s="13">
        <f>CRF_3[[#This Row],[Time Spent on Configuration]]+CRF_3[[#This Row],[Time Spent on Review/Testing]]</f>
        <v>NaN</v>
      </c>
      <c r="N330" s="1">
        <v>0</v>
      </c>
      <c r="O330" s="1" t="s">
        <v>31</v>
      </c>
      <c r="P330" s="1" t="s">
        <v>1686</v>
      </c>
      <c r="Q330" s="1" t="s">
        <v>488</v>
      </c>
      <c r="R330" s="14">
        <v>43703</v>
      </c>
      <c r="S330" s="1">
        <v>5</v>
      </c>
      <c r="U330" s="48"/>
    </row>
    <row r="331" ht="120" customHeight="1" spans="1:21" x14ac:dyDescent="0.25">
      <c r="A331" s="1" t="s">
        <v>3699</v>
      </c>
      <c r="B331" s="1">
        <v>2019</v>
      </c>
      <c r="C331" s="2" t="s">
        <v>113</v>
      </c>
      <c r="D331" s="1" t="s">
        <v>25</v>
      </c>
      <c r="E331" s="1">
        <v>185201</v>
      </c>
      <c r="F331" s="1" t="s">
        <v>27</v>
      </c>
      <c r="G331" s="14">
        <v>43711</v>
      </c>
      <c r="H331" s="14" t="s">
        <v>50</v>
      </c>
      <c r="I331" s="2" t="s">
        <v>4102</v>
      </c>
      <c r="J331" s="2" t="s">
        <v>4103</v>
      </c>
      <c r="K331" s="12">
        <v>0.13541666666787933</v>
      </c>
      <c r="L331" s="12">
        <v>0.1875</v>
      </c>
      <c r="M331" s="13">
        <f>CRF_3[[#This Row],[Time Spent on Configuration]]+CRF_3[[#This Row],[Time Spent on Review/Testing]]</f>
        <v>NaN</v>
      </c>
      <c r="N331" s="1">
        <v>0</v>
      </c>
      <c r="O331" s="1" t="s">
        <v>53</v>
      </c>
      <c r="P331" s="1" t="s">
        <v>1686</v>
      </c>
      <c r="Q331" s="1" t="s">
        <v>488</v>
      </c>
      <c r="R331" s="14">
        <v>43712</v>
      </c>
      <c r="S331" s="1">
        <v>5</v>
      </c>
      <c r="U331" s="48"/>
    </row>
    <row r="332" ht="30" customHeight="1" spans="1:21" x14ac:dyDescent="0.25">
      <c r="A332" s="1" t="s">
        <v>3699</v>
      </c>
      <c r="B332" s="1">
        <v>2019</v>
      </c>
      <c r="C332" s="2" t="s">
        <v>35</v>
      </c>
      <c r="D332" s="1" t="s">
        <v>25</v>
      </c>
      <c r="E332" s="1">
        <v>187906</v>
      </c>
      <c r="F332" s="1" t="s">
        <v>27</v>
      </c>
      <c r="G332" s="14">
        <v>43712</v>
      </c>
      <c r="H332" s="14" t="s">
        <v>28</v>
      </c>
      <c r="I332" s="2" t="s">
        <v>1692</v>
      </c>
      <c r="J332" s="2" t="s">
        <v>1693</v>
      </c>
      <c r="K332" s="12">
        <v>0.020833333332120674</v>
      </c>
      <c r="L332" s="12">
        <v>0.03125</v>
      </c>
      <c r="M332" s="13">
        <f>CRF_3[[#This Row],[Time Spent on Configuration]]+CRF_3[[#This Row],[Time Spent on Review/Testing]]</f>
        <v>NaN</v>
      </c>
      <c r="N332" s="1">
        <v>0</v>
      </c>
      <c r="P332" s="1" t="s">
        <v>1686</v>
      </c>
      <c r="Q332" s="1" t="s">
        <v>1694</v>
      </c>
      <c r="R332" s="14">
        <v>43712</v>
      </c>
      <c r="U332" s="48"/>
    </row>
    <row r="333" ht="45" customHeight="1" spans="1:21" x14ac:dyDescent="0.25">
      <c r="A333" s="1" t="s">
        <v>3699</v>
      </c>
      <c r="B333" s="1">
        <v>2019</v>
      </c>
      <c r="C333" s="2" t="s">
        <v>35</v>
      </c>
      <c r="D333" s="1" t="s">
        <v>25</v>
      </c>
      <c r="E333" s="1">
        <v>188006</v>
      </c>
      <c r="F333" s="1" t="s">
        <v>37</v>
      </c>
      <c r="G333" s="14">
        <v>43712</v>
      </c>
      <c r="H333" s="14" t="s">
        <v>96</v>
      </c>
      <c r="I333" s="2" t="s">
        <v>1696</v>
      </c>
      <c r="J333" s="2" t="s">
        <v>1697</v>
      </c>
      <c r="K333" s="12">
        <v>0.020833333332120674</v>
      </c>
      <c r="L333" s="12">
        <v>0.020833333332120674</v>
      </c>
      <c r="M333" s="13">
        <f>CRF_3[[#This Row],[Time Spent on Configuration]]+CRF_3[[#This Row],[Time Spent on Review/Testing]]</f>
        <v>NaN</v>
      </c>
      <c r="O333" s="1" t="s">
        <v>31</v>
      </c>
      <c r="P333" s="1" t="s">
        <v>483</v>
      </c>
      <c r="Q333" s="1" t="s">
        <v>488</v>
      </c>
      <c r="R333" s="14">
        <v>43712</v>
      </c>
      <c r="S333" s="1">
        <v>5</v>
      </c>
      <c r="U333" s="48"/>
    </row>
    <row r="334" spans="1:21" x14ac:dyDescent="0.25">
      <c r="A334" s="1" t="s">
        <v>3699</v>
      </c>
      <c r="B334" s="1">
        <v>2019</v>
      </c>
      <c r="C334" s="2" t="s">
        <v>286</v>
      </c>
      <c r="D334" s="1" t="s">
        <v>974</v>
      </c>
      <c r="E334" s="1">
        <v>186031</v>
      </c>
      <c r="F334" s="1" t="s">
        <v>37</v>
      </c>
      <c r="G334" s="14">
        <v>43712</v>
      </c>
      <c r="H334" s="14" t="s">
        <v>38</v>
      </c>
      <c r="I334" s="2" t="s">
        <v>1699</v>
      </c>
      <c r="J334" s="2" t="s">
        <v>1699</v>
      </c>
      <c r="K334" s="12">
        <v>0.0625</v>
      </c>
      <c r="L334" s="12">
        <v>0.041666666667879326</v>
      </c>
      <c r="M334" s="13">
        <f>CRF_3[[#This Row],[Time Spent on Configuration]]+CRF_3[[#This Row],[Time Spent on Review/Testing]]</f>
        <v>NaN</v>
      </c>
      <c r="N334" s="1">
        <v>0</v>
      </c>
      <c r="O334" s="1" t="s">
        <v>574</v>
      </c>
      <c r="P334" s="1" t="s">
        <v>483</v>
      </c>
      <c r="Q334" s="1" t="s">
        <v>488</v>
      </c>
      <c r="R334" s="14">
        <v>43712</v>
      </c>
      <c r="S334" s="1">
        <v>5</v>
      </c>
      <c r="U334" s="48"/>
    </row>
    <row r="335" spans="1:21" x14ac:dyDescent="0.25">
      <c r="A335" s="1" t="s">
        <v>3699</v>
      </c>
      <c r="B335" s="1">
        <v>2019</v>
      </c>
      <c r="C335" s="2" t="s">
        <v>35</v>
      </c>
      <c r="D335" s="1" t="s">
        <v>25</v>
      </c>
      <c r="E335" s="1">
        <v>188006</v>
      </c>
      <c r="F335" s="1" t="s">
        <v>37</v>
      </c>
      <c r="G335" s="14">
        <v>43713</v>
      </c>
      <c r="H335" s="14" t="s">
        <v>96</v>
      </c>
      <c r="I335" s="2" t="s">
        <v>1700</v>
      </c>
      <c r="J335" s="2" t="s">
        <v>1701</v>
      </c>
      <c r="K335" s="12">
        <v>0.027777777777373558</v>
      </c>
      <c r="L335" s="12">
        <v>0</v>
      </c>
      <c r="M335" s="13">
        <f>CRF_3[[#This Row],[Time Spent on Configuration]]+CRF_3[[#This Row],[Time Spent on Review/Testing]]</f>
        <v>NaN</v>
      </c>
      <c r="O335" s="1" t="s">
        <v>31</v>
      </c>
      <c r="P335" s="1" t="s">
        <v>503</v>
      </c>
      <c r="Q335" s="1" t="s">
        <v>488</v>
      </c>
      <c r="R335" s="14">
        <v>43712</v>
      </c>
      <c r="S335" s="1">
        <v>5</v>
      </c>
      <c r="U335" s="48"/>
    </row>
    <row r="336" ht="75" customHeight="1" spans="1:21" x14ac:dyDescent="0.25">
      <c r="A336" s="1" t="s">
        <v>3699</v>
      </c>
      <c r="B336" s="1">
        <v>2019</v>
      </c>
      <c r="C336" s="2" t="s">
        <v>1002</v>
      </c>
      <c r="D336" s="1" t="s">
        <v>1003</v>
      </c>
      <c r="E336" s="1">
        <v>188145</v>
      </c>
      <c r="F336" s="1" t="s">
        <v>37</v>
      </c>
      <c r="G336" s="14">
        <v>43714</v>
      </c>
      <c r="H336" s="14" t="s">
        <v>28</v>
      </c>
      <c r="I336" s="2" t="s">
        <v>4104</v>
      </c>
      <c r="J336" s="2" t="s">
        <v>4105</v>
      </c>
      <c r="K336" s="12">
        <v>0.22916666666787933</v>
      </c>
      <c r="L336" s="12">
        <v>0.22916666666787933</v>
      </c>
      <c r="M336" s="13">
        <f>CRF_3[[#This Row],[Time Spent on Configuration]]+CRF_3[[#This Row],[Time Spent on Review/Testing]]</f>
        <v>NaN</v>
      </c>
      <c r="N336" s="1">
        <v>0</v>
      </c>
      <c r="O336" s="1" t="s">
        <v>53</v>
      </c>
      <c r="P336" s="1" t="s">
        <v>347</v>
      </c>
      <c r="Q336" s="1" t="s">
        <v>484</v>
      </c>
      <c r="R336" s="14"/>
      <c r="S336" s="1">
        <v>3</v>
      </c>
      <c r="T336" s="1" t="s">
        <v>1705</v>
      </c>
      <c r="U336" s="48"/>
    </row>
    <row r="337" spans="1:21" x14ac:dyDescent="0.25">
      <c r="A337" s="1" t="s">
        <v>3699</v>
      </c>
      <c r="B337" s="1">
        <v>2019</v>
      </c>
      <c r="C337" s="2" t="s">
        <v>146</v>
      </c>
      <c r="D337" s="1" t="s">
        <v>186</v>
      </c>
      <c r="E337" s="1">
        <v>188954</v>
      </c>
      <c r="F337" s="1" t="s">
        <v>37</v>
      </c>
      <c r="G337" s="14">
        <v>43721</v>
      </c>
      <c r="H337" s="14" t="s">
        <v>28</v>
      </c>
      <c r="I337" s="2" t="s">
        <v>1707</v>
      </c>
      <c r="J337" s="2" t="s">
        <v>1707</v>
      </c>
      <c r="K337" s="12">
        <v>0.013888888890505768</v>
      </c>
      <c r="L337" s="12">
        <v>30</v>
      </c>
      <c r="M337" s="13">
        <f>CRF_3[[#This Row],[Time Spent on Configuration]]+CRF_3[[#This Row],[Time Spent on Review/Testing]]</f>
        <v>NaN</v>
      </c>
      <c r="N337" s="1">
        <v>0</v>
      </c>
      <c r="O337" s="1" t="s">
        <v>53</v>
      </c>
      <c r="P337" s="1" t="s">
        <v>483</v>
      </c>
      <c r="Q337" s="1" t="s">
        <v>488</v>
      </c>
      <c r="R337" s="14">
        <v>43721</v>
      </c>
      <c r="S337" s="1">
        <v>5</v>
      </c>
      <c r="U337" s="48"/>
    </row>
    <row r="338" spans="1:21" x14ac:dyDescent="0.25">
      <c r="A338" s="1" t="s">
        <v>3699</v>
      </c>
      <c r="B338" s="1">
        <v>2019</v>
      </c>
      <c r="C338" s="2" t="s">
        <v>99</v>
      </c>
      <c r="D338" s="1" t="s">
        <v>25</v>
      </c>
      <c r="E338" s="1">
        <v>188783</v>
      </c>
      <c r="F338" s="1" t="s">
        <v>37</v>
      </c>
      <c r="G338" s="14">
        <v>43721</v>
      </c>
      <c r="H338" s="14" t="s">
        <v>28</v>
      </c>
      <c r="I338" s="2" t="s">
        <v>1709</v>
      </c>
      <c r="J338" s="2" t="s">
        <v>1710</v>
      </c>
      <c r="K338" s="12">
        <v>0.0625</v>
      </c>
      <c r="L338" s="12">
        <v>0.0625</v>
      </c>
      <c r="M338" s="13">
        <f>CRF_3[[#This Row],[Time Spent on Configuration]]+CRF_3[[#This Row],[Time Spent on Review/Testing]]</f>
        <v>NaN</v>
      </c>
      <c r="O338" s="1" t="s">
        <v>574</v>
      </c>
      <c r="P338" s="1" t="s">
        <v>483</v>
      </c>
      <c r="Q338" s="1" t="s">
        <v>484</v>
      </c>
      <c r="R338" s="14">
        <v>43721</v>
      </c>
      <c r="U338" s="48"/>
    </row>
    <row r="339" ht="30" customHeight="1" spans="1:21" x14ac:dyDescent="0.25">
      <c r="A339" s="1" t="s">
        <v>3699</v>
      </c>
      <c r="B339" s="1">
        <v>2019</v>
      </c>
      <c r="C339" s="2" t="s">
        <v>35</v>
      </c>
      <c r="D339" s="1" t="s">
        <v>25</v>
      </c>
      <c r="E339" s="1">
        <v>189291</v>
      </c>
      <c r="F339" s="1" t="s">
        <v>27</v>
      </c>
      <c r="G339" s="14">
        <v>43727</v>
      </c>
      <c r="H339" s="14" t="s">
        <v>28</v>
      </c>
      <c r="I339" s="2" t="s">
        <v>1712</v>
      </c>
      <c r="J339" s="2" t="s">
        <v>1712</v>
      </c>
      <c r="K339" s="12">
        <v>0.10416666666787933</v>
      </c>
      <c r="L339" s="12">
        <v>0.0625</v>
      </c>
      <c r="M339" s="13">
        <f>CRF_3[[#This Row],[Time Spent on Configuration]]+CRF_3[[#This Row],[Time Spent on Review/Testing]]</f>
        <v>NaN</v>
      </c>
      <c r="O339" s="1" t="s">
        <v>574</v>
      </c>
      <c r="P339" s="1" t="s">
        <v>483</v>
      </c>
      <c r="Q339" s="1" t="s">
        <v>488</v>
      </c>
      <c r="R339" s="14">
        <v>43727</v>
      </c>
      <c r="S339" s="1">
        <v>5</v>
      </c>
      <c r="U339" s="48"/>
    </row>
    <row r="340" spans="1:21" x14ac:dyDescent="0.25">
      <c r="A340" s="1" t="s">
        <v>3699</v>
      </c>
      <c r="B340" s="1">
        <v>2019</v>
      </c>
      <c r="C340" s="2" t="s">
        <v>1451</v>
      </c>
      <c r="D340" s="1" t="s">
        <v>287</v>
      </c>
      <c r="E340" s="1">
        <v>189634</v>
      </c>
      <c r="F340" s="1" t="s">
        <v>27</v>
      </c>
      <c r="G340" s="14">
        <v>43728</v>
      </c>
      <c r="H340" s="14" t="s">
        <v>28</v>
      </c>
      <c r="I340" s="2" t="s">
        <v>1714</v>
      </c>
      <c r="J340" s="2" t="s">
        <v>4106</v>
      </c>
      <c r="K340" s="12">
        <v>0.041666666667879326</v>
      </c>
      <c r="L340" s="12">
        <v>0</v>
      </c>
      <c r="M340" s="13">
        <f>CRF_3[[#This Row],[Time Spent on Configuration]]+CRF_3[[#This Row],[Time Spent on Review/Testing]]</f>
        <v>NaN</v>
      </c>
      <c r="O340" s="1" t="s">
        <v>53</v>
      </c>
      <c r="P340" s="1" t="s">
        <v>483</v>
      </c>
      <c r="Q340" s="1" t="s">
        <v>484</v>
      </c>
      <c r="R340" s="14">
        <v>43728</v>
      </c>
      <c r="S340" s="1">
        <v>5</v>
      </c>
      <c r="U340" s="48"/>
    </row>
    <row r="341" ht="45" customHeight="1" spans="1:21" x14ac:dyDescent="0.25">
      <c r="A341" s="1" t="s">
        <v>3699</v>
      </c>
      <c r="B341" s="1">
        <v>2019</v>
      </c>
      <c r="C341" s="2" t="s">
        <v>199</v>
      </c>
      <c r="D341" s="1" t="s">
        <v>541</v>
      </c>
      <c r="E341" s="1">
        <v>190110</v>
      </c>
      <c r="F341" s="1" t="s">
        <v>27</v>
      </c>
      <c r="G341" s="14">
        <v>43733</v>
      </c>
      <c r="H341" s="14" t="s">
        <v>28</v>
      </c>
      <c r="I341" s="2" t="s">
        <v>4107</v>
      </c>
      <c r="J341" s="2" t="s">
        <v>1718</v>
      </c>
      <c r="K341" s="12">
        <v>0.020833333332120674</v>
      </c>
      <c r="L341" s="12">
        <v>0</v>
      </c>
      <c r="M341" s="13">
        <f>CRF_3[[#This Row],[Time Spent on Configuration]]+CRF_3[[#This Row],[Time Spent on Review/Testing]]</f>
        <v>NaN</v>
      </c>
      <c r="O341" s="1" t="s">
        <v>53</v>
      </c>
      <c r="P341" s="1" t="s">
        <v>483</v>
      </c>
      <c r="Q341" s="1" t="s">
        <v>484</v>
      </c>
      <c r="R341" s="14">
        <v>43733</v>
      </c>
      <c r="S341" s="1">
        <v>5</v>
      </c>
      <c r="U341" s="48"/>
    </row>
    <row r="342" spans="1:21" x14ac:dyDescent="0.25">
      <c r="A342" s="1" t="s">
        <v>3699</v>
      </c>
      <c r="B342" s="1">
        <v>2019</v>
      </c>
      <c r="C342" s="2" t="s">
        <v>1451</v>
      </c>
      <c r="D342" s="1" t="s">
        <v>287</v>
      </c>
      <c r="E342" s="1">
        <v>190027</v>
      </c>
      <c r="F342" s="1" t="s">
        <v>27</v>
      </c>
      <c r="G342" s="14">
        <v>43735</v>
      </c>
      <c r="H342" s="14" t="s">
        <v>670</v>
      </c>
      <c r="I342" s="2" t="s">
        <v>4108</v>
      </c>
      <c r="J342" s="17" t="s">
        <v>4109</v>
      </c>
      <c r="K342" s="12">
        <v>0.08333333333212067</v>
      </c>
      <c r="L342" s="12">
        <v>0.041666666667879326</v>
      </c>
      <c r="M342" s="13">
        <f>CRF_3[[#This Row],[Time Spent on Configuration]]+CRF_3[[#This Row],[Time Spent on Review/Testing]]</f>
        <v>NaN</v>
      </c>
      <c r="N342" s="1">
        <v>0</v>
      </c>
      <c r="O342" s="1" t="s">
        <v>574</v>
      </c>
      <c r="P342" s="1" t="s">
        <v>1722</v>
      </c>
      <c r="Q342" s="1" t="s">
        <v>484</v>
      </c>
      <c r="R342" s="14">
        <v>43735</v>
      </c>
      <c r="S342" s="1">
        <v>5</v>
      </c>
      <c r="U342" s="48"/>
    </row>
    <row r="343" spans="1:21" x14ac:dyDescent="0.25">
      <c r="A343" s="1" t="s">
        <v>3708</v>
      </c>
      <c r="B343" s="1">
        <v>2019</v>
      </c>
      <c r="C343" s="2" t="s">
        <v>796</v>
      </c>
      <c r="D343" s="1" t="s">
        <v>285</v>
      </c>
      <c r="E343" s="1">
        <v>190304</v>
      </c>
      <c r="F343" s="1" t="s">
        <v>27</v>
      </c>
      <c r="G343" s="14">
        <v>43741</v>
      </c>
      <c r="H343" s="14" t="s">
        <v>28</v>
      </c>
      <c r="I343" s="2" t="s">
        <v>1725</v>
      </c>
      <c r="J343" s="2" t="s">
        <v>4110</v>
      </c>
      <c r="K343" s="12">
        <v>0.020833333332120674</v>
      </c>
      <c r="L343" s="12">
        <v>0.020833333332120674</v>
      </c>
      <c r="M343" s="13">
        <f>CRF_3[[#This Row],[Time Spent on Configuration]]+CRF_3[[#This Row],[Time Spent on Review/Testing]]</f>
        <v>NaN</v>
      </c>
      <c r="O343" s="1" t="s">
        <v>31</v>
      </c>
      <c r="P343" s="1" t="s">
        <v>483</v>
      </c>
      <c r="Q343" s="1" t="s">
        <v>484</v>
      </c>
      <c r="R343" s="14">
        <v>43741</v>
      </c>
      <c r="S343" s="1">
        <v>5</v>
      </c>
      <c r="U343" s="48"/>
    </row>
    <row r="344" spans="1:21" x14ac:dyDescent="0.25">
      <c r="A344" s="1" t="s">
        <v>3708</v>
      </c>
      <c r="B344" s="1">
        <v>2019</v>
      </c>
      <c r="C344" s="2" t="s">
        <v>35</v>
      </c>
      <c r="D344" s="1" t="s">
        <v>25</v>
      </c>
      <c r="E344" s="1">
        <v>190715</v>
      </c>
      <c r="F344" s="1" t="s">
        <v>37</v>
      </c>
      <c r="G344" s="14">
        <v>43741</v>
      </c>
      <c r="H344" s="14" t="s">
        <v>28</v>
      </c>
      <c r="I344" s="2" t="s">
        <v>4111</v>
      </c>
      <c r="J344" s="2" t="s">
        <v>4111</v>
      </c>
      <c r="K344" s="12">
        <v>0.14583333333212067</v>
      </c>
      <c r="L344" s="12">
        <v>0.08333333333212067</v>
      </c>
      <c r="M344" s="13">
        <f>CRF_3[[#This Row],[Time Spent on Configuration]]+CRF_3[[#This Row],[Time Spent on Review/Testing]]</f>
        <v>NaN</v>
      </c>
      <c r="O344" s="1" t="s">
        <v>574</v>
      </c>
      <c r="P344" s="1" t="s">
        <v>483</v>
      </c>
      <c r="Q344" s="1" t="s">
        <v>488</v>
      </c>
      <c r="R344" s="14">
        <v>43741</v>
      </c>
      <c r="S344" s="1">
        <v>4</v>
      </c>
      <c r="U344" s="48"/>
    </row>
    <row r="345" spans="1:21" x14ac:dyDescent="0.25">
      <c r="A345" s="1" t="s">
        <v>3708</v>
      </c>
      <c r="B345" s="1">
        <v>2019</v>
      </c>
      <c r="C345" s="2" t="s">
        <v>1040</v>
      </c>
      <c r="D345" s="1" t="s">
        <v>1631</v>
      </c>
      <c r="E345" s="1">
        <v>189097</v>
      </c>
      <c r="F345" s="1" t="s">
        <v>37</v>
      </c>
      <c r="G345" s="14">
        <v>43741</v>
      </c>
      <c r="H345" s="14" t="s">
        <v>50</v>
      </c>
      <c r="I345" s="2" t="s">
        <v>1730</v>
      </c>
      <c r="J345" s="2" t="s">
        <v>1731</v>
      </c>
      <c r="K345" s="12">
        <v>0.041666666667879326</v>
      </c>
      <c r="L345" s="12">
        <v>0.041666666667879326</v>
      </c>
      <c r="M345" s="13">
        <f>CRF_3[[#This Row],[Time Spent on Configuration]]+CRF_3[[#This Row],[Time Spent on Review/Testing]]</f>
        <v>NaN</v>
      </c>
      <c r="O345" s="1" t="s">
        <v>347</v>
      </c>
      <c r="P345" s="1" t="s">
        <v>483</v>
      </c>
      <c r="Q345" s="1" t="s">
        <v>484</v>
      </c>
      <c r="R345" s="14">
        <v>43741</v>
      </c>
      <c r="S345" s="1">
        <v>4</v>
      </c>
      <c r="U345" s="48"/>
    </row>
    <row r="346" spans="1:21" x14ac:dyDescent="0.25">
      <c r="A346" s="1" t="s">
        <v>3708</v>
      </c>
      <c r="B346" s="1">
        <v>2019</v>
      </c>
      <c r="C346" s="2" t="s">
        <v>118</v>
      </c>
      <c r="D346" s="1" t="s">
        <v>25</v>
      </c>
      <c r="E346" s="1">
        <v>191006</v>
      </c>
      <c r="F346" s="1" t="s">
        <v>27</v>
      </c>
      <c r="G346" s="14">
        <v>43742</v>
      </c>
      <c r="H346" s="14" t="s">
        <v>953</v>
      </c>
      <c r="I346" s="2" t="s">
        <v>4112</v>
      </c>
      <c r="J346" s="2" t="s">
        <v>1734</v>
      </c>
      <c r="K346" s="12">
        <v>0.041666666667879326</v>
      </c>
      <c r="L346" s="12">
        <v>0</v>
      </c>
      <c r="M346" s="13">
        <f>CRF_3[[#This Row],[Time Spent on Configuration]]+CRF_3[[#This Row],[Time Spent on Review/Testing]]</f>
        <v>NaN</v>
      </c>
      <c r="O346" s="1" t="s">
        <v>574</v>
      </c>
      <c r="P346" s="1" t="s">
        <v>483</v>
      </c>
      <c r="Q346" s="1" t="s">
        <v>484</v>
      </c>
      <c r="R346" s="14">
        <v>43742</v>
      </c>
      <c r="S346" s="1">
        <v>5</v>
      </c>
      <c r="U346" s="48"/>
    </row>
    <row r="347" ht="45" customHeight="1" spans="1:21" x14ac:dyDescent="0.25">
      <c r="A347" s="1" t="s">
        <v>3708</v>
      </c>
      <c r="B347" s="1">
        <v>2019</v>
      </c>
      <c r="C347" s="2" t="s">
        <v>99</v>
      </c>
      <c r="D347" s="1" t="s">
        <v>25</v>
      </c>
      <c r="E347" s="1">
        <v>191124</v>
      </c>
      <c r="F347" s="1" t="s">
        <v>27</v>
      </c>
      <c r="G347" s="14">
        <v>43743</v>
      </c>
      <c r="H347" s="14" t="s">
        <v>38</v>
      </c>
      <c r="I347" s="2" t="s">
        <v>4113</v>
      </c>
      <c r="J347" s="2" t="s">
        <v>4113</v>
      </c>
      <c r="K347" s="12">
        <v>0.020833333332120674</v>
      </c>
      <c r="L347" s="12">
        <v>0.01736111110949423</v>
      </c>
      <c r="M347" s="13">
        <f>CRF_3[[#This Row],[Time Spent on Configuration]]+CRF_3[[#This Row],[Time Spent on Review/Testing]]</f>
        <v>NaN</v>
      </c>
      <c r="O347" s="1" t="s">
        <v>31</v>
      </c>
      <c r="P347" s="1" t="s">
        <v>483</v>
      </c>
      <c r="Q347" s="1" t="s">
        <v>484</v>
      </c>
      <c r="R347" s="14">
        <v>43743</v>
      </c>
      <c r="S347" s="1">
        <v>5</v>
      </c>
      <c r="U347" s="48"/>
    </row>
    <row r="348" spans="1:21" x14ac:dyDescent="0.25">
      <c r="A348" s="1" t="s">
        <v>3708</v>
      </c>
      <c r="B348" s="1">
        <v>2019</v>
      </c>
      <c r="C348" s="2" t="s">
        <v>978</v>
      </c>
      <c r="D348" s="1" t="s">
        <v>44</v>
      </c>
      <c r="E348" s="1">
        <v>191259</v>
      </c>
      <c r="F348" s="1" t="s">
        <v>27</v>
      </c>
      <c r="G348" s="14">
        <v>43748</v>
      </c>
      <c r="H348" s="14" t="s">
        <v>38</v>
      </c>
      <c r="I348" s="2" t="s">
        <v>1738</v>
      </c>
      <c r="J348" s="2" t="s">
        <v>1739</v>
      </c>
      <c r="K348" s="12">
        <v>0.020833333332120674</v>
      </c>
      <c r="L348" s="12">
        <v>0</v>
      </c>
      <c r="M348" s="13">
        <f>CRF_3[[#This Row],[Time Spent on Configuration]]+CRF_3[[#This Row],[Time Spent on Review/Testing]]</f>
        <v>NaN</v>
      </c>
      <c r="O348" s="1" t="s">
        <v>31</v>
      </c>
      <c r="P348" s="1" t="s">
        <v>483</v>
      </c>
      <c r="Q348" s="1" t="s">
        <v>484</v>
      </c>
      <c r="R348" s="14">
        <v>43748</v>
      </c>
      <c r="S348" s="1">
        <v>5</v>
      </c>
      <c r="U348" s="48"/>
    </row>
    <row r="349" spans="1:21" x14ac:dyDescent="0.25">
      <c r="A349" s="1" t="s">
        <v>3708</v>
      </c>
      <c r="B349" s="1">
        <v>2019</v>
      </c>
      <c r="C349" s="2" t="s">
        <v>1038</v>
      </c>
      <c r="D349" s="1" t="s">
        <v>1659</v>
      </c>
      <c r="E349" s="1">
        <v>190848</v>
      </c>
      <c r="F349" s="1" t="s">
        <v>37</v>
      </c>
      <c r="G349" s="14">
        <v>43753</v>
      </c>
      <c r="H349" s="14" t="s">
        <v>28</v>
      </c>
      <c r="I349" s="2" t="s">
        <v>1741</v>
      </c>
      <c r="J349" s="2" t="s">
        <v>1742</v>
      </c>
      <c r="K349" s="12">
        <v>0.027777777777373558</v>
      </c>
      <c r="L349" s="12">
        <v>0</v>
      </c>
      <c r="M349" s="13">
        <f>CRF_3[[#This Row],[Time Spent on Configuration]]+CRF_3[[#This Row],[Time Spent on Review/Testing]]</f>
        <v>NaN</v>
      </c>
      <c r="O349" s="1" t="s">
        <v>574</v>
      </c>
      <c r="P349" s="1" t="s">
        <v>483</v>
      </c>
      <c r="Q349" s="1" t="s">
        <v>488</v>
      </c>
      <c r="R349" s="14">
        <v>43753</v>
      </c>
      <c r="S349" s="1">
        <v>5</v>
      </c>
      <c r="U349" s="48"/>
    </row>
    <row r="350" ht="30" customHeight="1" spans="1:21" x14ac:dyDescent="0.25">
      <c r="A350" s="1" t="s">
        <v>3708</v>
      </c>
      <c r="B350" s="1">
        <v>2019</v>
      </c>
      <c r="C350" s="2" t="s">
        <v>1047</v>
      </c>
      <c r="D350" s="1" t="s">
        <v>989</v>
      </c>
      <c r="E350" s="1">
        <v>190508</v>
      </c>
      <c r="F350" s="1" t="s">
        <v>27</v>
      </c>
      <c r="G350" s="14">
        <v>43761</v>
      </c>
      <c r="H350" s="14" t="s">
        <v>28</v>
      </c>
      <c r="I350" s="2" t="s">
        <v>4114</v>
      </c>
      <c r="J350" s="2" t="s">
        <v>1745</v>
      </c>
      <c r="K350" s="12">
        <v>0.020833333332120674</v>
      </c>
      <c r="L350" s="12">
        <v>0</v>
      </c>
      <c r="M350" s="13">
        <f>CRF_3[[#This Row],[Time Spent on Configuration]]+CRF_3[[#This Row],[Time Spent on Review/Testing]]</f>
        <v>NaN</v>
      </c>
      <c r="O350" s="1" t="s">
        <v>53</v>
      </c>
      <c r="P350" s="1" t="s">
        <v>483</v>
      </c>
      <c r="Q350" s="1" t="s">
        <v>484</v>
      </c>
      <c r="R350" s="14">
        <v>43761</v>
      </c>
      <c r="S350" s="1">
        <v>5</v>
      </c>
      <c r="U350" s="48"/>
    </row>
    <row r="351" ht="135" customHeight="1" spans="1:21" x14ac:dyDescent="0.25">
      <c r="A351" s="53" t="s">
        <v>3708</v>
      </c>
      <c r="B351" s="54">
        <v>2019</v>
      </c>
      <c r="C351" s="2" t="s">
        <v>1451</v>
      </c>
      <c r="D351" s="1" t="s">
        <v>287</v>
      </c>
      <c r="E351" s="54">
        <v>192556</v>
      </c>
      <c r="F351" s="54" t="s">
        <v>37</v>
      </c>
      <c r="G351" s="55">
        <v>43761</v>
      </c>
      <c r="H351" s="14" t="s">
        <v>953</v>
      </c>
      <c r="I351" s="56" t="s">
        <v>1747</v>
      </c>
      <c r="J351" s="56" t="s">
        <v>4115</v>
      </c>
      <c r="K351" s="57">
        <v>0.010416666667879326</v>
      </c>
      <c r="L351" s="57">
        <v>0</v>
      </c>
      <c r="M351" s="13">
        <f>CRF_3[[#This Row],[Time Spent on Configuration]]+CRF_3[[#This Row],[Time Spent on Review/Testing]]</f>
        <v>NaN</v>
      </c>
      <c r="N351" s="54"/>
      <c r="O351" s="54" t="s">
        <v>31</v>
      </c>
      <c r="P351" s="1" t="s">
        <v>483</v>
      </c>
      <c r="Q351" s="1" t="s">
        <v>484</v>
      </c>
      <c r="R351" s="55">
        <v>43761</v>
      </c>
      <c r="S351" s="54">
        <v>5</v>
      </c>
      <c r="U351" s="48"/>
    </row>
    <row r="352" ht="30" customHeight="1" spans="1:21" x14ac:dyDescent="0.25">
      <c r="A352" s="53" t="s">
        <v>3708</v>
      </c>
      <c r="B352" s="54">
        <v>2019</v>
      </c>
      <c r="C352" s="2" t="s">
        <v>286</v>
      </c>
      <c r="D352" s="1" t="s">
        <v>974</v>
      </c>
      <c r="E352" s="1">
        <v>192354</v>
      </c>
      <c r="F352" s="54" t="s">
        <v>37</v>
      </c>
      <c r="G352" s="14">
        <v>43762</v>
      </c>
      <c r="H352" s="14" t="s">
        <v>953</v>
      </c>
      <c r="I352" s="56" t="s">
        <v>1750</v>
      </c>
      <c r="J352" s="2" t="s">
        <v>1751</v>
      </c>
      <c r="K352" s="12">
        <v>0.041666666667879326</v>
      </c>
      <c r="L352" s="12">
        <v>0</v>
      </c>
      <c r="M352" s="13">
        <f>CRF_3[[#This Row],[Time Spent on Configuration]]+CRF_3[[#This Row],[Time Spent on Review/Testing]]</f>
        <v>NaN</v>
      </c>
      <c r="O352" s="1" t="s">
        <v>31</v>
      </c>
      <c r="P352" s="1" t="s">
        <v>483</v>
      </c>
      <c r="Q352" s="1" t="s">
        <v>484</v>
      </c>
      <c r="R352" s="14">
        <v>43762</v>
      </c>
      <c r="S352" s="1">
        <v>5</v>
      </c>
      <c r="U352" s="48"/>
    </row>
    <row r="353" spans="1:21" x14ac:dyDescent="0.25">
      <c r="A353" s="53" t="s">
        <v>3708</v>
      </c>
      <c r="B353" s="54">
        <v>2019</v>
      </c>
      <c r="C353" s="2" t="s">
        <v>1235</v>
      </c>
      <c r="D353" s="1" t="s">
        <v>1236</v>
      </c>
      <c r="E353" s="1">
        <v>193522</v>
      </c>
      <c r="F353" s="1" t="s">
        <v>27</v>
      </c>
      <c r="G353" s="14">
        <v>43768</v>
      </c>
      <c r="H353" s="14" t="s">
        <v>50</v>
      </c>
      <c r="I353" s="2" t="s">
        <v>1753</v>
      </c>
      <c r="J353" s="2" t="s">
        <v>1754</v>
      </c>
      <c r="K353" s="12">
        <v>0.03125</v>
      </c>
      <c r="L353" s="12">
        <v>0.041666666667879326</v>
      </c>
      <c r="M353" s="13">
        <f>CRF_3[[#This Row],[Time Spent on Configuration]]+CRF_3[[#This Row],[Time Spent on Review/Testing]]</f>
        <v>NaN</v>
      </c>
      <c r="O353" s="1" t="s">
        <v>31</v>
      </c>
      <c r="P353" s="1" t="s">
        <v>483</v>
      </c>
      <c r="Q353" s="1" t="s">
        <v>484</v>
      </c>
      <c r="R353" s="14">
        <v>43768</v>
      </c>
      <c r="S353" s="1">
        <v>5</v>
      </c>
      <c r="U353" s="48"/>
    </row>
    <row r="354" spans="1:21" x14ac:dyDescent="0.25">
      <c r="A354" s="53" t="s">
        <v>3708</v>
      </c>
      <c r="B354" s="54">
        <v>2019</v>
      </c>
      <c r="C354" s="2" t="s">
        <v>616</v>
      </c>
      <c r="D354" s="1" t="s">
        <v>617</v>
      </c>
      <c r="E354" s="1">
        <v>192388</v>
      </c>
      <c r="F354" s="1" t="s">
        <v>37</v>
      </c>
      <c r="G354" s="14">
        <v>43768</v>
      </c>
      <c r="H354" s="14" t="s">
        <v>38</v>
      </c>
      <c r="I354" s="2" t="s">
        <v>4116</v>
      </c>
      <c r="J354" s="2" t="s">
        <v>1757</v>
      </c>
      <c r="K354" s="12">
        <v>0.020833333332120674</v>
      </c>
      <c r="L354" s="12">
        <v>0</v>
      </c>
      <c r="M354" s="13">
        <f>CRF_3[[#This Row],[Time Spent on Configuration]]+CRF_3[[#This Row],[Time Spent on Review/Testing]]</f>
        <v>NaN</v>
      </c>
      <c r="N354" s="1">
        <v>0</v>
      </c>
      <c r="O354" s="1" t="s">
        <v>574</v>
      </c>
      <c r="P354" s="1" t="s">
        <v>483</v>
      </c>
      <c r="Q354" s="1" t="s">
        <v>484</v>
      </c>
      <c r="R354" s="14">
        <v>43768</v>
      </c>
      <c r="S354" s="1">
        <v>5</v>
      </c>
      <c r="U354" s="48"/>
    </row>
    <row r="355" spans="1:21" x14ac:dyDescent="0.25">
      <c r="A355" s="53" t="s">
        <v>3708</v>
      </c>
      <c r="B355" s="54">
        <v>2019</v>
      </c>
      <c r="C355" s="2" t="s">
        <v>99</v>
      </c>
      <c r="D355" s="1" t="s">
        <v>25</v>
      </c>
      <c r="E355" s="1">
        <v>193613</v>
      </c>
      <c r="F355" s="1" t="s">
        <v>37</v>
      </c>
      <c r="G355" s="14">
        <v>43769</v>
      </c>
      <c r="H355" s="14" t="s">
        <v>28</v>
      </c>
      <c r="I355" s="2" t="s">
        <v>1759</v>
      </c>
      <c r="J355" s="2" t="s">
        <v>1760</v>
      </c>
      <c r="K355" s="12">
        <v>0.03125</v>
      </c>
      <c r="L355" s="12"/>
      <c r="M355" s="13">
        <f>CRF_3[[#This Row],[Time Spent on Configuration]]+CRF_3[[#This Row],[Time Spent on Review/Testing]]</f>
        <v>NaN</v>
      </c>
      <c r="N355" s="1">
        <v>0</v>
      </c>
      <c r="O355" s="1" t="s">
        <v>574</v>
      </c>
      <c r="P355" s="1" t="s">
        <v>1722</v>
      </c>
      <c r="Q355" s="1" t="s">
        <v>484</v>
      </c>
      <c r="R355" s="14">
        <v>43769</v>
      </c>
      <c r="S355" s="1">
        <v>5</v>
      </c>
      <c r="U355" s="48"/>
    </row>
    <row r="356" ht="45" customHeight="1" spans="1:21" x14ac:dyDescent="0.25">
      <c r="A356" s="53" t="s">
        <v>3708</v>
      </c>
      <c r="B356" s="54">
        <v>2019</v>
      </c>
      <c r="C356" s="2" t="s">
        <v>99</v>
      </c>
      <c r="D356" s="1" t="s">
        <v>25</v>
      </c>
      <c r="E356" s="1">
        <v>192930</v>
      </c>
      <c r="F356" s="1" t="s">
        <v>37</v>
      </c>
      <c r="G356" s="14">
        <v>43769</v>
      </c>
      <c r="H356" s="14" t="s">
        <v>28</v>
      </c>
      <c r="I356" s="2" t="s">
        <v>1762</v>
      </c>
      <c r="J356" s="2" t="s">
        <v>1763</v>
      </c>
      <c r="K356" s="12">
        <v>0.05902777777737356</v>
      </c>
      <c r="L356" s="12"/>
      <c r="M356" s="13">
        <f>CRF_3[[#This Row],[Time Spent on Configuration]]+CRF_3[[#This Row],[Time Spent on Review/Testing]]</f>
        <v>NaN</v>
      </c>
      <c r="N356" s="1">
        <v>0</v>
      </c>
      <c r="O356" s="1" t="s">
        <v>31</v>
      </c>
      <c r="P356" s="1" t="s">
        <v>483</v>
      </c>
      <c r="Q356" s="1" t="s">
        <v>484</v>
      </c>
      <c r="R356" s="14">
        <v>43769</v>
      </c>
      <c r="S356" s="1">
        <v>5</v>
      </c>
      <c r="U356" s="48"/>
    </row>
    <row r="357" spans="1:21" x14ac:dyDescent="0.25">
      <c r="A357" s="1" t="s">
        <v>3725</v>
      </c>
      <c r="B357" s="1">
        <v>2019</v>
      </c>
      <c r="C357" s="2" t="s">
        <v>286</v>
      </c>
      <c r="D357" s="1" t="s">
        <v>974</v>
      </c>
      <c r="E357" s="1">
        <v>192354</v>
      </c>
      <c r="F357" s="1" t="s">
        <v>37</v>
      </c>
      <c r="G357" s="14">
        <v>43774</v>
      </c>
      <c r="H357" s="14" t="s">
        <v>953</v>
      </c>
      <c r="I357" s="2" t="s">
        <v>1765</v>
      </c>
      <c r="J357" s="2" t="s">
        <v>1766</v>
      </c>
      <c r="K357" s="12">
        <v>0.010416666667879326</v>
      </c>
      <c r="L357" s="12"/>
      <c r="M357" s="13">
        <f>CRF_3[[#This Row],[Time Spent on Configuration]]+CRF_3[[#This Row],[Time Spent on Review/Testing]]</f>
        <v>NaN</v>
      </c>
      <c r="N357" s="1">
        <v>0</v>
      </c>
      <c r="O357" s="1" t="s">
        <v>31</v>
      </c>
      <c r="P357" s="1" t="s">
        <v>483</v>
      </c>
      <c r="Q357" s="1" t="s">
        <v>484</v>
      </c>
      <c r="R357" s="14">
        <v>43774</v>
      </c>
      <c r="S357" s="1">
        <v>5</v>
      </c>
      <c r="U357" s="48"/>
    </row>
    <row r="358" spans="1:21" x14ac:dyDescent="0.25">
      <c r="A358" s="1" t="s">
        <v>3725</v>
      </c>
      <c r="B358" s="1">
        <v>2019</v>
      </c>
      <c r="C358" s="2" t="s">
        <v>35</v>
      </c>
      <c r="D358" s="1" t="s">
        <v>25</v>
      </c>
      <c r="E358" s="1">
        <v>194163</v>
      </c>
      <c r="F358" s="1" t="s">
        <v>27</v>
      </c>
      <c r="G358" s="14">
        <v>43774</v>
      </c>
      <c r="H358" s="14" t="s">
        <v>28</v>
      </c>
      <c r="I358" s="2" t="s">
        <v>4117</v>
      </c>
      <c r="J358" s="2" t="s">
        <v>1769</v>
      </c>
      <c r="K358" s="12">
        <v>0.020833333332120674</v>
      </c>
      <c r="L358" s="12">
        <v>0.03472222222262644</v>
      </c>
      <c r="M358" s="13">
        <f>CRF_3[[#This Row],[Time Spent on Configuration]]+CRF_3[[#This Row],[Time Spent on Review/Testing]]</f>
        <v>NaN</v>
      </c>
      <c r="N358" s="1">
        <v>0</v>
      </c>
      <c r="O358" s="1" t="s">
        <v>574</v>
      </c>
      <c r="P358" s="1" t="s">
        <v>483</v>
      </c>
      <c r="Q358" s="1" t="s">
        <v>488</v>
      </c>
      <c r="R358" s="14">
        <v>43774</v>
      </c>
      <c r="S358" s="1">
        <v>5</v>
      </c>
      <c r="U358" s="48"/>
    </row>
    <row r="359" ht="30" customHeight="1" spans="1:21" x14ac:dyDescent="0.25">
      <c r="A359" s="1" t="s">
        <v>3725</v>
      </c>
      <c r="B359" s="1">
        <v>2019</v>
      </c>
      <c r="C359" s="2" t="s">
        <v>1603</v>
      </c>
      <c r="D359" s="1" t="s">
        <v>186</v>
      </c>
      <c r="E359" s="1">
        <v>191615</v>
      </c>
      <c r="F359" s="1" t="s">
        <v>27</v>
      </c>
      <c r="G359" s="14">
        <v>43774</v>
      </c>
      <c r="H359" s="14" t="s">
        <v>28</v>
      </c>
      <c r="I359" s="2" t="s">
        <v>1771</v>
      </c>
      <c r="J359" s="2" t="s">
        <v>4118</v>
      </c>
      <c r="K359" s="12">
        <v>0.047916666666424135</v>
      </c>
      <c r="L359" s="12">
        <v>0.052083333332120674</v>
      </c>
      <c r="M359" s="13">
        <f>CRF_3[[#This Row],[Time Spent on Configuration]]+CRF_3[[#This Row],[Time Spent on Review/Testing]]</f>
        <v>NaN</v>
      </c>
      <c r="N359" s="1">
        <v>0</v>
      </c>
      <c r="O359" s="1" t="s">
        <v>53</v>
      </c>
      <c r="P359" s="1" t="s">
        <v>483</v>
      </c>
      <c r="Q359" s="1" t="s">
        <v>488</v>
      </c>
      <c r="R359" s="14">
        <v>43774</v>
      </c>
      <c r="S359" s="1">
        <v>5</v>
      </c>
      <c r="U359" s="48"/>
    </row>
    <row r="360" ht="30" customHeight="1" spans="1:21" x14ac:dyDescent="0.25">
      <c r="A360" s="1" t="s">
        <v>3725</v>
      </c>
      <c r="B360" s="1">
        <v>2019</v>
      </c>
      <c r="C360" s="2" t="s">
        <v>1012</v>
      </c>
      <c r="D360" s="1" t="s">
        <v>25</v>
      </c>
      <c r="E360" s="1">
        <v>193047</v>
      </c>
      <c r="F360" s="1" t="s">
        <v>27</v>
      </c>
      <c r="G360" s="14">
        <v>43775</v>
      </c>
      <c r="H360" s="14" t="s">
        <v>38</v>
      </c>
      <c r="I360" s="2" t="s">
        <v>1774</v>
      </c>
      <c r="J360" s="2" t="s">
        <v>1775</v>
      </c>
      <c r="K360" s="12">
        <v>0.020833333332120674</v>
      </c>
      <c r="L360" s="12">
        <v>0</v>
      </c>
      <c r="M360" s="13">
        <f>CRF_3[[#This Row],[Time Spent on Configuration]]+CRF_3[[#This Row],[Time Spent on Review/Testing]]</f>
        <v>NaN</v>
      </c>
      <c r="N360" s="1">
        <v>0</v>
      </c>
      <c r="O360" s="1" t="s">
        <v>31</v>
      </c>
      <c r="P360" s="1" t="s">
        <v>483</v>
      </c>
      <c r="Q360" s="1" t="s">
        <v>488</v>
      </c>
      <c r="R360" s="14">
        <v>43775</v>
      </c>
      <c r="S360" s="1">
        <v>5</v>
      </c>
      <c r="U360" s="48"/>
    </row>
    <row r="361" ht="30" customHeight="1" spans="1:21" x14ac:dyDescent="0.25">
      <c r="A361" s="1" t="s">
        <v>3725</v>
      </c>
      <c r="B361" s="1">
        <v>2019</v>
      </c>
      <c r="C361" s="2" t="s">
        <v>1451</v>
      </c>
      <c r="D361" s="1" t="s">
        <v>25</v>
      </c>
      <c r="E361" s="1">
        <v>193272</v>
      </c>
      <c r="F361" s="1" t="s">
        <v>27</v>
      </c>
      <c r="G361" s="14">
        <v>43780</v>
      </c>
      <c r="H361" s="14" t="s">
        <v>28</v>
      </c>
      <c r="I361" s="2" t="s">
        <v>4119</v>
      </c>
      <c r="J361" s="2" t="s">
        <v>1778</v>
      </c>
      <c r="K361" s="12">
        <v>0.041666666667879326</v>
      </c>
      <c r="L361" s="12">
        <v>0</v>
      </c>
      <c r="M361" s="13">
        <f>CRF_3[[#This Row],[Time Spent on Configuration]]+CRF_3[[#This Row],[Time Spent on Review/Testing]]</f>
        <v>NaN</v>
      </c>
      <c r="N361" s="1">
        <v>0</v>
      </c>
      <c r="O361" s="1" t="s">
        <v>31</v>
      </c>
      <c r="P361" s="1" t="s">
        <v>483</v>
      </c>
      <c r="Q361" s="1" t="s">
        <v>484</v>
      </c>
      <c r="R361" s="14">
        <v>43780</v>
      </c>
      <c r="S361" s="1">
        <v>5</v>
      </c>
      <c r="U361" s="48"/>
    </row>
    <row r="362" ht="30" customHeight="1" spans="1:21" x14ac:dyDescent="0.25">
      <c r="A362" s="1" t="s">
        <v>3725</v>
      </c>
      <c r="B362" s="1">
        <v>2019</v>
      </c>
      <c r="C362" s="2" t="s">
        <v>489</v>
      </c>
      <c r="D362" s="1" t="s">
        <v>1258</v>
      </c>
      <c r="E362" s="1">
        <v>194442</v>
      </c>
      <c r="F362" s="1" t="s">
        <v>27</v>
      </c>
      <c r="G362" s="14">
        <v>43782</v>
      </c>
      <c r="H362" s="14" t="s">
        <v>953</v>
      </c>
      <c r="I362" s="2" t="s">
        <v>1780</v>
      </c>
      <c r="J362" s="2" t="s">
        <v>1781</v>
      </c>
      <c r="K362" s="12">
        <v>0.020833333332120674</v>
      </c>
      <c r="L362" s="12">
        <v>0</v>
      </c>
      <c r="M362" s="13">
        <f>CRF_3[[#This Row],[Time Spent on Configuration]]+CRF_3[[#This Row],[Time Spent on Review/Testing]]</f>
        <v>NaN</v>
      </c>
      <c r="N362" s="1">
        <v>0</v>
      </c>
      <c r="O362" s="1" t="s">
        <v>31</v>
      </c>
      <c r="P362" s="1" t="s">
        <v>483</v>
      </c>
      <c r="Q362" s="1" t="s">
        <v>42</v>
      </c>
      <c r="R362" s="14">
        <v>43782</v>
      </c>
      <c r="S362" s="1">
        <v>5</v>
      </c>
      <c r="U362" s="48"/>
    </row>
    <row r="363" ht="30" customHeight="1" spans="1:21" x14ac:dyDescent="0.25">
      <c r="A363" s="1" t="s">
        <v>3725</v>
      </c>
      <c r="B363" s="1">
        <v>2019</v>
      </c>
      <c r="C363" s="2" t="s">
        <v>616</v>
      </c>
      <c r="D363" s="1" t="s">
        <v>617</v>
      </c>
      <c r="E363" s="1">
        <v>193764</v>
      </c>
      <c r="F363" s="1" t="s">
        <v>27</v>
      </c>
      <c r="G363" s="14">
        <v>43782</v>
      </c>
      <c r="H363" s="14" t="s">
        <v>28</v>
      </c>
      <c r="I363" s="2" t="s">
        <v>4120</v>
      </c>
      <c r="J363" s="2" t="s">
        <v>1784</v>
      </c>
      <c r="K363" s="12">
        <v>0.03125</v>
      </c>
      <c r="L363" s="12">
        <v>0</v>
      </c>
      <c r="M363" s="13">
        <f>CRF_3[[#This Row],[Time Spent on Configuration]]+CRF_3[[#This Row],[Time Spent on Review/Testing]]</f>
        <v>NaN</v>
      </c>
      <c r="N363" s="1">
        <v>0</v>
      </c>
      <c r="O363" s="1" t="s">
        <v>31</v>
      </c>
      <c r="P363" s="1" t="s">
        <v>483</v>
      </c>
      <c r="Q363" s="1" t="s">
        <v>484</v>
      </c>
      <c r="R363" s="14">
        <v>43782</v>
      </c>
      <c r="S363" s="1">
        <v>5</v>
      </c>
      <c r="U363" s="48"/>
    </row>
    <row r="364" ht="30" customHeight="1" spans="1:21" x14ac:dyDescent="0.25">
      <c r="A364" s="1" t="s">
        <v>3725</v>
      </c>
      <c r="B364" s="1">
        <v>2019</v>
      </c>
      <c r="C364" s="2" t="s">
        <v>35</v>
      </c>
      <c r="D364" s="1" t="s">
        <v>25</v>
      </c>
      <c r="E364" s="1">
        <v>195072</v>
      </c>
      <c r="F364" s="1" t="s">
        <v>27</v>
      </c>
      <c r="G364" s="14">
        <v>43782</v>
      </c>
      <c r="H364" s="14" t="s">
        <v>28</v>
      </c>
      <c r="I364" s="2" t="s">
        <v>1786</v>
      </c>
      <c r="J364" s="2" t="s">
        <v>1787</v>
      </c>
      <c r="K364" s="12">
        <v>0.041666666667879326</v>
      </c>
      <c r="L364" s="12">
        <v>0.03125</v>
      </c>
      <c r="M364" s="13">
        <f>CRF_3[[#This Row],[Time Spent on Configuration]]+CRF_3[[#This Row],[Time Spent on Review/Testing]]</f>
        <v>NaN</v>
      </c>
      <c r="N364" s="1">
        <v>0</v>
      </c>
      <c r="O364" s="1" t="s">
        <v>53</v>
      </c>
      <c r="P364" s="1" t="s">
        <v>483</v>
      </c>
      <c r="Q364" s="1" t="s">
        <v>488</v>
      </c>
      <c r="R364" s="14">
        <v>43782</v>
      </c>
      <c r="S364" s="1">
        <v>5</v>
      </c>
      <c r="U364" s="48"/>
    </row>
    <row r="365" ht="30" customHeight="1" spans="1:21" x14ac:dyDescent="0.25">
      <c r="A365" s="1" t="s">
        <v>3725</v>
      </c>
      <c r="B365" s="1">
        <v>2019</v>
      </c>
      <c r="C365" s="2" t="s">
        <v>1212</v>
      </c>
      <c r="D365" s="1" t="s">
        <v>25</v>
      </c>
      <c r="E365" s="1">
        <v>195010</v>
      </c>
      <c r="F365" s="1" t="s">
        <v>37</v>
      </c>
      <c r="G365" s="14">
        <v>43784</v>
      </c>
      <c r="H365" s="14" t="s">
        <v>28</v>
      </c>
      <c r="I365" s="2" t="s">
        <v>1789</v>
      </c>
      <c r="J365" s="2" t="s">
        <v>1790</v>
      </c>
      <c r="K365" s="12">
        <v>0.020833333332120674</v>
      </c>
      <c r="L365" s="12">
        <v>0</v>
      </c>
      <c r="M365" s="13">
        <f>CRF_3[[#This Row],[Time Spent on Configuration]]+CRF_3[[#This Row],[Time Spent on Review/Testing]]</f>
        <v>NaN</v>
      </c>
      <c r="N365" s="1">
        <v>0</v>
      </c>
      <c r="O365" s="1" t="s">
        <v>347</v>
      </c>
      <c r="P365" s="1" t="s">
        <v>483</v>
      </c>
      <c r="Q365" s="1" t="s">
        <v>488</v>
      </c>
      <c r="R365" s="14">
        <v>43784</v>
      </c>
      <c r="S365" s="1">
        <v>5</v>
      </c>
      <c r="U365" s="48"/>
    </row>
    <row r="366" spans="1:21" x14ac:dyDescent="0.25">
      <c r="A366" s="1" t="s">
        <v>3725</v>
      </c>
      <c r="B366" s="1">
        <v>2019</v>
      </c>
      <c r="C366" s="2" t="s">
        <v>35</v>
      </c>
      <c r="D366" s="1" t="s">
        <v>25</v>
      </c>
      <c r="E366" s="1">
        <v>193514</v>
      </c>
      <c r="F366" s="1" t="s">
        <v>27</v>
      </c>
      <c r="G366" s="14">
        <v>43788</v>
      </c>
      <c r="H366" s="14" t="s">
        <v>38</v>
      </c>
      <c r="I366" s="2" t="s">
        <v>1792</v>
      </c>
      <c r="J366" s="2" t="s">
        <v>1793</v>
      </c>
      <c r="K366" s="12">
        <v>0.03125</v>
      </c>
      <c r="L366" s="12">
        <v>0</v>
      </c>
      <c r="M366" s="13">
        <f>CRF_3[[#This Row],[Time Spent on Configuration]]+CRF_3[[#This Row],[Time Spent on Review/Testing]]</f>
        <v>NaN</v>
      </c>
      <c r="O366" s="1" t="s">
        <v>574</v>
      </c>
      <c r="P366" s="1" t="s">
        <v>483</v>
      </c>
      <c r="Q366" s="1" t="s">
        <v>488</v>
      </c>
      <c r="R366" s="14">
        <v>43788</v>
      </c>
      <c r="S366" s="1">
        <v>5</v>
      </c>
      <c r="U366" s="48"/>
    </row>
    <row r="367" ht="30" customHeight="1" spans="1:21" x14ac:dyDescent="0.25">
      <c r="A367" s="1" t="s">
        <v>3725</v>
      </c>
      <c r="B367" s="1">
        <v>2019</v>
      </c>
      <c r="C367" s="2" t="s">
        <v>1603</v>
      </c>
      <c r="D367" s="1" t="s">
        <v>186</v>
      </c>
      <c r="E367" s="1">
        <v>196166</v>
      </c>
      <c r="F367" s="1" t="s">
        <v>27</v>
      </c>
      <c r="G367" s="14">
        <v>43790</v>
      </c>
      <c r="H367" s="14" t="s">
        <v>28</v>
      </c>
      <c r="I367" s="2" t="s">
        <v>4121</v>
      </c>
      <c r="J367" s="2" t="s">
        <v>1796</v>
      </c>
      <c r="K367" s="12">
        <v>0.010416666667879326</v>
      </c>
      <c r="L367" s="12">
        <v>0</v>
      </c>
      <c r="M367" s="13">
        <f>CRF_3[[#This Row],[Time Spent on Configuration]]+CRF_3[[#This Row],[Time Spent on Review/Testing]]</f>
        <v>NaN</v>
      </c>
      <c r="O367" s="1" t="s">
        <v>53</v>
      </c>
      <c r="Q367" s="1" t="s">
        <v>488</v>
      </c>
      <c r="R367" s="14">
        <v>43790</v>
      </c>
      <c r="S367" s="1">
        <v>5</v>
      </c>
      <c r="U367" s="48"/>
    </row>
    <row r="368" spans="1:21" x14ac:dyDescent="0.25">
      <c r="A368" s="1" t="s">
        <v>3725</v>
      </c>
      <c r="B368" s="1">
        <v>2019</v>
      </c>
      <c r="C368" s="2" t="s">
        <v>35</v>
      </c>
      <c r="D368" s="1" t="s">
        <v>25</v>
      </c>
      <c r="E368" s="1">
        <v>196155</v>
      </c>
      <c r="F368" s="1" t="s">
        <v>27</v>
      </c>
      <c r="G368" s="14">
        <v>43794</v>
      </c>
      <c r="H368" s="14" t="s">
        <v>38</v>
      </c>
      <c r="I368" s="2" t="s">
        <v>1798</v>
      </c>
      <c r="J368" s="2" t="s">
        <v>1799</v>
      </c>
      <c r="K368" s="12">
        <v>0.020833333332120674</v>
      </c>
      <c r="L368" s="12">
        <v>0</v>
      </c>
      <c r="M368" s="13">
        <f>CRF_3[[#This Row],[Time Spent on Configuration]]+CRF_3[[#This Row],[Time Spent on Review/Testing]]</f>
        <v>NaN</v>
      </c>
      <c r="O368" s="1" t="s">
        <v>574</v>
      </c>
      <c r="Q368" s="1" t="s">
        <v>488</v>
      </c>
      <c r="R368" s="14">
        <v>43794</v>
      </c>
      <c r="U368" s="48"/>
    </row>
    <row r="369" spans="1:21" x14ac:dyDescent="0.25">
      <c r="A369" s="1" t="s">
        <v>3733</v>
      </c>
      <c r="B369" s="1">
        <v>2019</v>
      </c>
      <c r="C369" s="2" t="s">
        <v>1532</v>
      </c>
      <c r="D369" s="1" t="s">
        <v>1533</v>
      </c>
      <c r="E369" s="1">
        <v>196174</v>
      </c>
      <c r="F369" s="1" t="s">
        <v>27</v>
      </c>
      <c r="G369" s="14">
        <v>43801</v>
      </c>
      <c r="H369" s="14" t="s">
        <v>28</v>
      </c>
      <c r="I369" s="2" t="s">
        <v>1802</v>
      </c>
      <c r="J369" s="2" t="s">
        <v>1803</v>
      </c>
      <c r="K369" s="12">
        <v>0.03125</v>
      </c>
      <c r="L369" s="12">
        <v>0.041666666667879326</v>
      </c>
      <c r="M369" s="13">
        <f>CRF_3[[#This Row],[Time Spent on Configuration]]+CRF_3[[#This Row],[Time Spent on Review/Testing]]</f>
        <v>NaN</v>
      </c>
      <c r="O369" s="1" t="s">
        <v>574</v>
      </c>
      <c r="P369" s="1" t="s">
        <v>483</v>
      </c>
      <c r="Q369" s="1" t="s">
        <v>42</v>
      </c>
      <c r="R369" s="14">
        <v>43801</v>
      </c>
      <c r="S369" s="1">
        <v>5</v>
      </c>
      <c r="U369" s="48"/>
    </row>
    <row r="370" spans="1:21" x14ac:dyDescent="0.25">
      <c r="A370" s="1" t="s">
        <v>3733</v>
      </c>
      <c r="B370" s="1">
        <v>2019</v>
      </c>
      <c r="C370" s="2" t="s">
        <v>118</v>
      </c>
      <c r="D370" s="1" t="s">
        <v>25</v>
      </c>
      <c r="E370" s="1">
        <v>198556</v>
      </c>
      <c r="F370" s="1" t="s">
        <v>37</v>
      </c>
      <c r="G370" s="14">
        <v>43804</v>
      </c>
      <c r="H370" s="14" t="s">
        <v>38</v>
      </c>
      <c r="I370" s="2" t="s">
        <v>1805</v>
      </c>
      <c r="J370" s="2" t="s">
        <v>1806</v>
      </c>
      <c r="K370" s="12">
        <v>0.020833333332120674</v>
      </c>
      <c r="L370" s="12"/>
      <c r="M370" s="13">
        <f>CRF_3[[#This Row],[Time Spent on Configuration]]+CRF_3[[#This Row],[Time Spent on Review/Testing]]</f>
        <v>NaN</v>
      </c>
      <c r="O370" s="1" t="s">
        <v>31</v>
      </c>
      <c r="Q370" s="1" t="s">
        <v>484</v>
      </c>
      <c r="R370" s="14">
        <v>43804</v>
      </c>
      <c r="S370" s="1">
        <v>5</v>
      </c>
      <c r="U370" s="48"/>
    </row>
    <row r="371" ht="60" customHeight="1" spans="1:21" x14ac:dyDescent="0.25">
      <c r="A371" s="1" t="s">
        <v>3733</v>
      </c>
      <c r="B371" s="1">
        <v>2019</v>
      </c>
      <c r="C371" s="2" t="s">
        <v>35</v>
      </c>
      <c r="D371" s="1" t="s">
        <v>25</v>
      </c>
      <c r="E371" s="1">
        <v>198239</v>
      </c>
      <c r="F371" s="1" t="s">
        <v>27</v>
      </c>
      <c r="G371" s="14">
        <v>43804</v>
      </c>
      <c r="H371" s="14" t="s">
        <v>28</v>
      </c>
      <c r="I371" s="2" t="s">
        <v>4122</v>
      </c>
      <c r="J371" s="2" t="s">
        <v>4123</v>
      </c>
      <c r="K371" s="12">
        <v>0.10416666666787933</v>
      </c>
      <c r="L371" s="12">
        <v>0.07986111110949423</v>
      </c>
      <c r="M371" s="13">
        <f>CRF_3[[#This Row],[Time Spent on Configuration]]+CRF_3[[#This Row],[Time Spent on Review/Testing]]</f>
        <v>NaN</v>
      </c>
      <c r="O371" s="1" t="s">
        <v>574</v>
      </c>
      <c r="P371" s="1" t="s">
        <v>483</v>
      </c>
      <c r="Q371" s="1" t="s">
        <v>488</v>
      </c>
      <c r="R371" s="14"/>
      <c r="U371" s="48"/>
    </row>
    <row r="372" ht="30" customHeight="1" spans="1:21" x14ac:dyDescent="0.25">
      <c r="A372" s="1" t="s">
        <v>3733</v>
      </c>
      <c r="B372" s="1">
        <v>2019</v>
      </c>
      <c r="C372" s="2" t="s">
        <v>489</v>
      </c>
      <c r="D372" s="1" t="s">
        <v>1258</v>
      </c>
      <c r="E372" s="1">
        <v>196050</v>
      </c>
      <c r="F372" s="1" t="s">
        <v>27</v>
      </c>
      <c r="G372" s="14">
        <v>43806</v>
      </c>
      <c r="H372" s="14" t="s">
        <v>38</v>
      </c>
      <c r="I372" s="2" t="s">
        <v>1811</v>
      </c>
      <c r="J372" s="58" t="s">
        <v>1812</v>
      </c>
      <c r="K372" s="12">
        <v>0.013888888890505768</v>
      </c>
      <c r="L372" s="12"/>
      <c r="M372" s="13">
        <f>CRF_3[[#This Row],[Time Spent on Configuration]]+CRF_3[[#This Row],[Time Spent on Review/Testing]]</f>
        <v>NaN</v>
      </c>
      <c r="O372" s="1" t="s">
        <v>31</v>
      </c>
      <c r="Q372" s="1" t="s">
        <v>42</v>
      </c>
      <c r="R372" s="14">
        <v>43806</v>
      </c>
      <c r="S372" s="1">
        <v>5</v>
      </c>
      <c r="U372" s="48"/>
    </row>
    <row r="373" spans="1:21" x14ac:dyDescent="0.25">
      <c r="A373" s="1" t="s">
        <v>3733</v>
      </c>
      <c r="B373" s="1">
        <v>2019</v>
      </c>
      <c r="C373" s="2" t="s">
        <v>1473</v>
      </c>
      <c r="D373" s="1" t="s">
        <v>25</v>
      </c>
      <c r="E373" s="1">
        <v>192953</v>
      </c>
      <c r="F373" s="1" t="s">
        <v>27</v>
      </c>
      <c r="G373" s="14">
        <v>43810</v>
      </c>
      <c r="H373" s="14" t="s">
        <v>38</v>
      </c>
      <c r="I373" s="2" t="s">
        <v>1814</v>
      </c>
      <c r="J373" s="2" t="s">
        <v>1815</v>
      </c>
      <c r="K373" s="12">
        <v>0.041666666667879326</v>
      </c>
      <c r="L373" s="12">
        <v>0.020833333332120674</v>
      </c>
      <c r="M373" s="13">
        <f>CRF_3[[#This Row],[Time Spent on Configuration]]+CRF_3[[#This Row],[Time Spent on Review/Testing]]</f>
        <v>NaN</v>
      </c>
      <c r="O373" s="1" t="s">
        <v>574</v>
      </c>
      <c r="P373" s="1" t="s">
        <v>483</v>
      </c>
      <c r="Q373" s="1" t="s">
        <v>484</v>
      </c>
      <c r="R373" s="14">
        <v>43810</v>
      </c>
      <c r="S373" s="1">
        <v>5</v>
      </c>
      <c r="U373" s="48"/>
    </row>
    <row r="374" spans="1:21" x14ac:dyDescent="0.25">
      <c r="A374" s="1" t="s">
        <v>3733</v>
      </c>
      <c r="B374" s="1">
        <v>2019</v>
      </c>
      <c r="C374" s="2" t="s">
        <v>1235</v>
      </c>
      <c r="D374" s="1" t="s">
        <v>1236</v>
      </c>
      <c r="E374" s="1">
        <v>199428</v>
      </c>
      <c r="F374" s="1" t="s">
        <v>27</v>
      </c>
      <c r="G374" s="14">
        <v>43819</v>
      </c>
      <c r="H374" s="14" t="s">
        <v>28</v>
      </c>
      <c r="I374" s="2" t="s">
        <v>1817</v>
      </c>
      <c r="J374" s="2" t="s">
        <v>1818</v>
      </c>
      <c r="K374" s="12">
        <v>0.14583333333212067</v>
      </c>
      <c r="L374" s="12">
        <v>0.13888888889050577</v>
      </c>
      <c r="M374" s="13">
        <f>CRF_3[[#This Row],[Time Spent on Configuration]]+CRF_3[[#This Row],[Time Spent on Review/Testing]]</f>
        <v>NaN</v>
      </c>
      <c r="O374" s="1" t="s">
        <v>574</v>
      </c>
      <c r="P374" s="1" t="s">
        <v>483</v>
      </c>
      <c r="Q374" s="1" t="s">
        <v>42</v>
      </c>
      <c r="R374" s="14">
        <v>43819</v>
      </c>
      <c r="S374" s="1">
        <v>5</v>
      </c>
      <c r="U374" s="48"/>
    </row>
    <row r="375" spans="1:21" x14ac:dyDescent="0.25">
      <c r="A375" s="1" t="s">
        <v>3733</v>
      </c>
      <c r="B375" s="1">
        <v>2019</v>
      </c>
      <c r="C375" s="2" t="s">
        <v>489</v>
      </c>
      <c r="D375" s="1" t="s">
        <v>490</v>
      </c>
      <c r="E375" s="1">
        <v>198236</v>
      </c>
      <c r="F375" s="1" t="s">
        <v>27</v>
      </c>
      <c r="G375" s="14">
        <v>43822</v>
      </c>
      <c r="H375" s="14" t="s">
        <v>28</v>
      </c>
      <c r="I375" s="2" t="s">
        <v>1820</v>
      </c>
      <c r="J375" s="17" t="s">
        <v>1821</v>
      </c>
      <c r="K375" s="12">
        <v>0.03125</v>
      </c>
      <c r="L375" s="12">
        <v>0.0625</v>
      </c>
      <c r="M375" s="13">
        <f>CRF_3[[#This Row],[Time Spent on Configuration]]+CRF_3[[#This Row],[Time Spent on Review/Testing]]</f>
        <v>NaN</v>
      </c>
      <c r="O375" s="1" t="s">
        <v>31</v>
      </c>
      <c r="P375" s="1" t="s">
        <v>483</v>
      </c>
      <c r="Q375" s="1" t="s">
        <v>42</v>
      </c>
      <c r="R375" s="14">
        <v>43822</v>
      </c>
      <c r="S375" s="1">
        <v>5</v>
      </c>
      <c r="U375" s="48"/>
    </row>
    <row r="376" spans="1:21" x14ac:dyDescent="0.25">
      <c r="A376" s="1" t="s">
        <v>3576</v>
      </c>
      <c r="B376" s="1">
        <v>2020</v>
      </c>
      <c r="C376" s="2" t="s">
        <v>99</v>
      </c>
      <c r="D376" s="1" t="s">
        <v>25</v>
      </c>
      <c r="E376" s="1">
        <v>201149</v>
      </c>
      <c r="F376" s="1" t="s">
        <v>27</v>
      </c>
      <c r="G376" s="14">
        <v>43833</v>
      </c>
      <c r="H376" s="14" t="s">
        <v>28</v>
      </c>
      <c r="I376" s="2" t="s">
        <v>1824</v>
      </c>
      <c r="J376" s="2" t="s">
        <v>1824</v>
      </c>
      <c r="K376" s="12">
        <v>0.055555555554747116</v>
      </c>
      <c r="L376" s="12">
        <v>0.09722222222262644</v>
      </c>
      <c r="M376" s="13">
        <f>CRF_3[[#This Row],[Time Spent on Configuration]]+CRF_3[[#This Row],[Time Spent on Review/Testing]]</f>
        <v>NaN</v>
      </c>
      <c r="O376" s="1" t="s">
        <v>574</v>
      </c>
      <c r="P376" s="1" t="s">
        <v>483</v>
      </c>
      <c r="Q376" s="1" t="s">
        <v>484</v>
      </c>
      <c r="R376" s="14">
        <v>43833</v>
      </c>
      <c r="S376" s="1">
        <v>5</v>
      </c>
      <c r="U376" s="48"/>
    </row>
    <row r="377" spans="1:21" x14ac:dyDescent="0.25">
      <c r="A377" s="1" t="s">
        <v>3576</v>
      </c>
      <c r="B377" s="1">
        <v>2020</v>
      </c>
      <c r="C377" s="2" t="s">
        <v>1473</v>
      </c>
      <c r="D377" s="1" t="s">
        <v>25</v>
      </c>
      <c r="E377" s="1">
        <v>192953</v>
      </c>
      <c r="F377" s="1" t="s">
        <v>27</v>
      </c>
      <c r="G377" s="14">
        <v>43833</v>
      </c>
      <c r="H377" s="14" t="s">
        <v>28</v>
      </c>
      <c r="I377" s="2" t="s">
        <v>4124</v>
      </c>
      <c r="J377" s="2" t="s">
        <v>1826</v>
      </c>
      <c r="K377" s="12">
        <v>0.020833333332120674</v>
      </c>
      <c r="L377" s="12">
        <v>0.027777777777373558</v>
      </c>
      <c r="M377" s="13">
        <f>CRF_3[[#This Row],[Time Spent on Configuration]]+CRF_3[[#This Row],[Time Spent on Review/Testing]]</f>
        <v>NaN</v>
      </c>
      <c r="O377" s="1" t="s">
        <v>53</v>
      </c>
      <c r="P377" s="1" t="s">
        <v>483</v>
      </c>
      <c r="Q377" s="1" t="s">
        <v>484</v>
      </c>
      <c r="R377" s="14">
        <v>43833</v>
      </c>
      <c r="S377" s="1">
        <v>5</v>
      </c>
      <c r="U377" s="48"/>
    </row>
    <row r="378" spans="1:21" x14ac:dyDescent="0.25">
      <c r="A378" s="1" t="s">
        <v>3576</v>
      </c>
      <c r="B378" s="1">
        <v>2020</v>
      </c>
      <c r="C378" s="2" t="s">
        <v>35</v>
      </c>
      <c r="D378" s="1" t="s">
        <v>25</v>
      </c>
      <c r="E378" s="1">
        <v>202229</v>
      </c>
      <c r="F378" s="1" t="s">
        <v>27</v>
      </c>
      <c r="G378" s="14">
        <v>43841</v>
      </c>
      <c r="H378" s="14" t="s">
        <v>38</v>
      </c>
      <c r="I378" s="2" t="s">
        <v>1828</v>
      </c>
      <c r="J378" s="2" t="s">
        <v>1829</v>
      </c>
      <c r="K378" s="12">
        <v>0.041666666667879326</v>
      </c>
      <c r="L378" s="12">
        <v>0.041666666667879326</v>
      </c>
      <c r="M378" s="13">
        <f>CRF_3[[#This Row],[Time Spent on Configuration]]+CRF_3[[#This Row],[Time Spent on Review/Testing]]</f>
        <v>NaN</v>
      </c>
      <c r="N378" s="1">
        <v>0</v>
      </c>
      <c r="O378" s="1" t="s">
        <v>574</v>
      </c>
      <c r="P378" s="1" t="s">
        <v>503</v>
      </c>
      <c r="Q378" s="1" t="s">
        <v>42</v>
      </c>
      <c r="R378" s="14"/>
      <c r="U378" s="48"/>
    </row>
    <row r="379" ht="30" customHeight="1" spans="1:21" x14ac:dyDescent="0.25">
      <c r="A379" s="1" t="s">
        <v>3576</v>
      </c>
      <c r="B379" s="1">
        <v>2020</v>
      </c>
      <c r="C379" s="2" t="s">
        <v>1682</v>
      </c>
      <c r="D379" s="1" t="s">
        <v>123</v>
      </c>
      <c r="E379" s="1">
        <v>197208</v>
      </c>
      <c r="F379" s="1" t="s">
        <v>27</v>
      </c>
      <c r="G379" s="14">
        <v>43841</v>
      </c>
      <c r="H379" s="14" t="s">
        <v>38</v>
      </c>
      <c r="I379" s="2" t="s">
        <v>1831</v>
      </c>
      <c r="J379" s="2" t="s">
        <v>1832</v>
      </c>
      <c r="K379" s="12">
        <v>0.020833333332120674</v>
      </c>
      <c r="L379" s="12"/>
      <c r="M379" s="13">
        <f>CRF_3[[#This Row],[Time Spent on Configuration]]+CRF_3[[#This Row],[Time Spent on Review/Testing]]</f>
        <v>NaN</v>
      </c>
      <c r="O379" s="1" t="s">
        <v>31</v>
      </c>
      <c r="Q379" s="1" t="s">
        <v>488</v>
      </c>
      <c r="R379" s="14">
        <v>43841</v>
      </c>
      <c r="S379" s="1">
        <v>5</v>
      </c>
      <c r="U379" s="48"/>
    </row>
    <row r="380" spans="1:21" x14ac:dyDescent="0.25">
      <c r="A380" s="1" t="s">
        <v>3576</v>
      </c>
      <c r="B380" s="1">
        <v>2020</v>
      </c>
      <c r="C380" s="2" t="s">
        <v>35</v>
      </c>
      <c r="D380" s="1" t="s">
        <v>25</v>
      </c>
      <c r="E380" s="1">
        <v>202110</v>
      </c>
      <c r="F380" s="1" t="s">
        <v>27</v>
      </c>
      <c r="G380" s="14">
        <v>43841</v>
      </c>
      <c r="H380" s="14" t="s">
        <v>28</v>
      </c>
      <c r="I380" s="2" t="s">
        <v>1834</v>
      </c>
      <c r="J380" s="2" t="s">
        <v>1835</v>
      </c>
      <c r="K380" s="12">
        <v>0.041666666667879326</v>
      </c>
      <c r="L380" s="12"/>
      <c r="M380" s="13">
        <f>CRF_3[[#This Row],[Time Spent on Configuration]]+CRF_3[[#This Row],[Time Spent on Review/Testing]]</f>
        <v>NaN</v>
      </c>
      <c r="O380" s="1" t="s">
        <v>53</v>
      </c>
      <c r="Q380" s="1" t="s">
        <v>42</v>
      </c>
      <c r="R380" s="14">
        <v>43841</v>
      </c>
      <c r="S380" s="1">
        <v>5</v>
      </c>
      <c r="U380" s="48"/>
    </row>
    <row r="381" spans="1:21" x14ac:dyDescent="0.25">
      <c r="A381" s="1" t="s">
        <v>3576</v>
      </c>
      <c r="B381" s="1">
        <v>2020</v>
      </c>
      <c r="C381" s="2" t="s">
        <v>1002</v>
      </c>
      <c r="D381" s="1" t="s">
        <v>1003</v>
      </c>
      <c r="E381" s="1">
        <v>200322</v>
      </c>
      <c r="F381" s="1" t="s">
        <v>27</v>
      </c>
      <c r="G381" s="14">
        <v>43844</v>
      </c>
      <c r="H381" s="14" t="s">
        <v>38</v>
      </c>
      <c r="I381" s="2" t="s">
        <v>1837</v>
      </c>
      <c r="J381" s="2" t="s">
        <v>1838</v>
      </c>
      <c r="K381" s="12">
        <v>0.03125</v>
      </c>
      <c r="L381" s="12"/>
      <c r="M381" s="13">
        <f>CRF_3[[#This Row],[Time Spent on Configuration]]+CRF_3[[#This Row],[Time Spent on Review/Testing]]</f>
        <v>NaN</v>
      </c>
      <c r="O381" s="1" t="s">
        <v>31</v>
      </c>
      <c r="Q381" s="1" t="s">
        <v>484</v>
      </c>
      <c r="R381" s="14">
        <v>43844</v>
      </c>
      <c r="S381" s="1">
        <v>5</v>
      </c>
      <c r="U381" s="48"/>
    </row>
    <row r="382" ht="30" customHeight="1" spans="1:21" x14ac:dyDescent="0.25">
      <c r="A382" s="1" t="s">
        <v>3576</v>
      </c>
      <c r="B382" s="1">
        <v>2020</v>
      </c>
      <c r="C382" s="2" t="s">
        <v>1012</v>
      </c>
      <c r="D382" s="1" t="s">
        <v>25</v>
      </c>
      <c r="E382" s="1">
        <v>203160</v>
      </c>
      <c r="F382" s="1" t="s">
        <v>27</v>
      </c>
      <c r="G382" s="14">
        <v>43852</v>
      </c>
      <c r="H382" s="14" t="s">
        <v>28</v>
      </c>
      <c r="I382" s="2" t="s">
        <v>1840</v>
      </c>
      <c r="J382" s="2" t="s">
        <v>1840</v>
      </c>
      <c r="K382" s="12">
        <v>0.020833333332120674</v>
      </c>
      <c r="L382" s="12"/>
      <c r="M382" s="13">
        <f>CRF_3[[#This Row],[Time Spent on Configuration]]+CRF_3[[#This Row],[Time Spent on Review/Testing]]</f>
        <v>NaN</v>
      </c>
      <c r="O382" s="1" t="s">
        <v>574</v>
      </c>
      <c r="Q382" s="1" t="s">
        <v>488</v>
      </c>
      <c r="R382" s="14">
        <v>43852</v>
      </c>
      <c r="S382" s="1">
        <v>5</v>
      </c>
      <c r="U382" s="48"/>
    </row>
    <row r="383" spans="1:21" x14ac:dyDescent="0.25">
      <c r="A383" s="1" t="s">
        <v>3576</v>
      </c>
      <c r="B383" s="1">
        <v>2020</v>
      </c>
      <c r="C383" s="2" t="s">
        <v>525</v>
      </c>
      <c r="D383" s="1" t="s">
        <v>25</v>
      </c>
      <c r="E383" s="1">
        <v>203259</v>
      </c>
      <c r="F383" s="1" t="s">
        <v>27</v>
      </c>
      <c r="G383" s="14">
        <v>43852</v>
      </c>
      <c r="H383" s="14" t="s">
        <v>28</v>
      </c>
      <c r="I383" s="2" t="s">
        <v>1842</v>
      </c>
      <c r="J383" s="2" t="s">
        <v>1843</v>
      </c>
      <c r="K383" s="12">
        <v>0.020833333332120674</v>
      </c>
      <c r="L383" s="12"/>
      <c r="M383" s="13">
        <f>CRF_3[[#This Row],[Time Spent on Configuration]]+CRF_3[[#This Row],[Time Spent on Review/Testing]]</f>
        <v>NaN</v>
      </c>
      <c r="O383" s="1" t="s">
        <v>53</v>
      </c>
      <c r="Q383" s="1" t="s">
        <v>484</v>
      </c>
      <c r="R383" s="14">
        <v>43852</v>
      </c>
      <c r="S383" s="1">
        <v>5</v>
      </c>
      <c r="U383" s="48"/>
    </row>
    <row r="384" spans="1:21" x14ac:dyDescent="0.25">
      <c r="A384" s="1" t="s">
        <v>3576</v>
      </c>
      <c r="B384" s="1">
        <v>2020</v>
      </c>
      <c r="C384" s="2" t="s">
        <v>146</v>
      </c>
      <c r="D384" s="1" t="s">
        <v>186</v>
      </c>
      <c r="E384" s="1">
        <v>203321</v>
      </c>
      <c r="F384" s="1" t="s">
        <v>27</v>
      </c>
      <c r="G384" s="14">
        <v>43853</v>
      </c>
      <c r="H384" s="14" t="s">
        <v>38</v>
      </c>
      <c r="I384" s="2" t="s">
        <v>1845</v>
      </c>
      <c r="J384" s="2" t="s">
        <v>1845</v>
      </c>
      <c r="K384" s="12">
        <v>0.03125</v>
      </c>
      <c r="L384" s="12">
        <v>0.0625</v>
      </c>
      <c r="M384" s="13">
        <f>CRF_3[[#This Row],[Time Spent on Configuration]]+CRF_3[[#This Row],[Time Spent on Review/Testing]]</f>
        <v>NaN</v>
      </c>
      <c r="O384" s="1" t="s">
        <v>574</v>
      </c>
      <c r="P384" s="1" t="s">
        <v>483</v>
      </c>
      <c r="Q384" s="1" t="s">
        <v>488</v>
      </c>
      <c r="R384" s="14">
        <v>43853</v>
      </c>
      <c r="S384" s="1">
        <v>5</v>
      </c>
      <c r="U384" s="48"/>
    </row>
    <row r="385" spans="1:21" x14ac:dyDescent="0.25">
      <c r="A385" s="1" t="s">
        <v>3576</v>
      </c>
      <c r="B385" s="1">
        <v>2020</v>
      </c>
      <c r="C385" s="2" t="s">
        <v>616</v>
      </c>
      <c r="D385" s="1" t="s">
        <v>617</v>
      </c>
      <c r="E385" s="1">
        <v>202114</v>
      </c>
      <c r="F385" s="1" t="s">
        <v>27</v>
      </c>
      <c r="G385" s="14">
        <v>43853</v>
      </c>
      <c r="H385" s="14" t="s">
        <v>38</v>
      </c>
      <c r="I385" s="2" t="s">
        <v>1847</v>
      </c>
      <c r="J385" s="2" t="s">
        <v>1848</v>
      </c>
      <c r="K385" s="12">
        <v>0.03125</v>
      </c>
      <c r="L385" s="12">
        <v>0.052083333332120674</v>
      </c>
      <c r="M385" s="13">
        <f>CRF_3[[#This Row],[Time Spent on Configuration]]+CRF_3[[#This Row],[Time Spent on Review/Testing]]</f>
        <v>NaN</v>
      </c>
      <c r="O385" s="1" t="s">
        <v>574</v>
      </c>
      <c r="P385" s="1" t="s">
        <v>483</v>
      </c>
      <c r="Q385" s="1" t="s">
        <v>484</v>
      </c>
      <c r="R385" s="14">
        <v>43853</v>
      </c>
      <c r="S385" s="1">
        <v>5</v>
      </c>
      <c r="U385" s="48"/>
    </row>
    <row r="386" spans="1:21" x14ac:dyDescent="0.25">
      <c r="A386" s="1" t="s">
        <v>3576</v>
      </c>
      <c r="B386" s="1">
        <v>2020</v>
      </c>
      <c r="C386" s="2" t="s">
        <v>1040</v>
      </c>
      <c r="D386" s="1" t="s">
        <v>1631</v>
      </c>
      <c r="E386" s="1">
        <v>199566</v>
      </c>
      <c r="F386" s="1" t="s">
        <v>27</v>
      </c>
      <c r="G386" s="14">
        <v>43854</v>
      </c>
      <c r="H386" s="14" t="s">
        <v>38</v>
      </c>
      <c r="I386" s="2" t="s">
        <v>4125</v>
      </c>
      <c r="J386" s="2" t="s">
        <v>1851</v>
      </c>
      <c r="K386" s="12">
        <v>0.03125</v>
      </c>
      <c r="L386" s="12"/>
      <c r="M386" s="13">
        <f>CRF_3[[#This Row],[Time Spent on Configuration]]+CRF_3[[#This Row],[Time Spent on Review/Testing]]</f>
        <v>NaN</v>
      </c>
      <c r="O386" s="1" t="s">
        <v>31</v>
      </c>
      <c r="Q386" s="1" t="s">
        <v>484</v>
      </c>
      <c r="R386" s="14">
        <v>43854</v>
      </c>
      <c r="S386" s="1">
        <v>5</v>
      </c>
      <c r="U386" s="48"/>
    </row>
    <row r="387" ht="60" customHeight="1" spans="1:21" x14ac:dyDescent="0.25">
      <c r="A387" s="1" t="s">
        <v>3576</v>
      </c>
      <c r="B387" s="1">
        <v>2020</v>
      </c>
      <c r="C387" s="2" t="s">
        <v>525</v>
      </c>
      <c r="D387" s="1" t="s">
        <v>25</v>
      </c>
      <c r="E387" s="1">
        <v>202785</v>
      </c>
      <c r="F387" s="1" t="s">
        <v>37</v>
      </c>
      <c r="G387" s="14">
        <v>43854</v>
      </c>
      <c r="H387" s="14" t="s">
        <v>28</v>
      </c>
      <c r="I387" s="2" t="s">
        <v>1853</v>
      </c>
      <c r="J387" s="2" t="s">
        <v>4126</v>
      </c>
      <c r="K387" s="12">
        <v>0.041666666667879326</v>
      </c>
      <c r="L387" s="12">
        <v>0.052083333332120674</v>
      </c>
      <c r="M387" s="13">
        <f>CRF_3[[#This Row],[Time Spent on Configuration]]+CRF_3[[#This Row],[Time Spent on Review/Testing]]</f>
        <v>NaN</v>
      </c>
      <c r="O387" s="1" t="s">
        <v>31</v>
      </c>
      <c r="P387" s="1" t="s">
        <v>483</v>
      </c>
      <c r="Q387" s="1" t="s">
        <v>484</v>
      </c>
      <c r="R387" s="14">
        <v>43854</v>
      </c>
      <c r="S387" s="1">
        <v>5</v>
      </c>
      <c r="U387" s="48"/>
    </row>
    <row r="388" ht="30" customHeight="1" spans="1:21" x14ac:dyDescent="0.25">
      <c r="A388" s="1" t="s">
        <v>3576</v>
      </c>
      <c r="B388" s="1">
        <v>2020</v>
      </c>
      <c r="C388" s="2" t="s">
        <v>260</v>
      </c>
      <c r="D388" s="1" t="s">
        <v>261</v>
      </c>
      <c r="E388" s="1">
        <v>202966</v>
      </c>
      <c r="F388" s="1" t="s">
        <v>27</v>
      </c>
      <c r="G388" s="14">
        <v>43854</v>
      </c>
      <c r="H388" s="14" t="s">
        <v>38</v>
      </c>
      <c r="I388" s="2" t="s">
        <v>1856</v>
      </c>
      <c r="J388" s="2" t="s">
        <v>4127</v>
      </c>
      <c r="K388" s="12">
        <v>0.03125</v>
      </c>
      <c r="L388" s="12">
        <v>0.020833333332120674</v>
      </c>
      <c r="M388" s="13">
        <f>CRF_3[[#This Row],[Time Spent on Configuration]]+CRF_3[[#This Row],[Time Spent on Review/Testing]]</f>
        <v>NaN</v>
      </c>
      <c r="O388" s="1" t="s">
        <v>31</v>
      </c>
      <c r="P388" s="1" t="s">
        <v>483</v>
      </c>
      <c r="Q388" s="1" t="s">
        <v>488</v>
      </c>
      <c r="R388" s="14">
        <v>43854</v>
      </c>
      <c r="S388" s="1">
        <v>5</v>
      </c>
      <c r="U388" s="48"/>
    </row>
    <row r="389" spans="1:21" x14ac:dyDescent="0.25">
      <c r="A389" s="1" t="s">
        <v>3576</v>
      </c>
      <c r="B389" s="1">
        <v>2020</v>
      </c>
      <c r="C389" s="2" t="s">
        <v>1451</v>
      </c>
      <c r="D389" s="1" t="s">
        <v>287</v>
      </c>
      <c r="E389" s="1">
        <v>203470</v>
      </c>
      <c r="F389" s="1" t="s">
        <v>27</v>
      </c>
      <c r="G389" s="14">
        <v>43858</v>
      </c>
      <c r="H389" s="14" t="s">
        <v>28</v>
      </c>
      <c r="I389" s="2" t="s">
        <v>1853</v>
      </c>
      <c r="J389" s="2" t="s">
        <v>1859</v>
      </c>
      <c r="K389" s="12">
        <v>0.0625</v>
      </c>
      <c r="L389" s="12">
        <v>0.07291666666787933</v>
      </c>
      <c r="M389" s="13">
        <f>CRF_3[[#This Row],[Time Spent on Configuration]]+CRF_3[[#This Row],[Time Spent on Review/Testing]]</f>
        <v>NaN</v>
      </c>
      <c r="O389" s="1" t="s">
        <v>574</v>
      </c>
      <c r="P389" s="1" t="s">
        <v>483</v>
      </c>
      <c r="Q389" s="1" t="s">
        <v>484</v>
      </c>
      <c r="R389" s="14">
        <v>43858</v>
      </c>
      <c r="S389" s="1">
        <v>5</v>
      </c>
      <c r="U389" s="48"/>
    </row>
    <row r="390" spans="1:21" x14ac:dyDescent="0.25">
      <c r="A390" s="1" t="s">
        <v>3576</v>
      </c>
      <c r="B390" s="1">
        <v>2020</v>
      </c>
      <c r="C390" s="2" t="s">
        <v>286</v>
      </c>
      <c r="D390" s="1" t="s">
        <v>974</v>
      </c>
      <c r="E390" s="1">
        <v>203595</v>
      </c>
      <c r="F390" s="1" t="s">
        <v>37</v>
      </c>
      <c r="G390" s="14">
        <v>43859</v>
      </c>
      <c r="H390" s="14" t="s">
        <v>38</v>
      </c>
      <c r="I390" s="2" t="s">
        <v>1861</v>
      </c>
      <c r="J390" s="2" t="s">
        <v>1862</v>
      </c>
      <c r="K390" s="12">
        <v>0.020833333332120674</v>
      </c>
      <c r="L390" s="12"/>
      <c r="M390" s="13">
        <f>CRF_3[[#This Row],[Time Spent on Configuration]]+CRF_3[[#This Row],[Time Spent on Review/Testing]]</f>
        <v>NaN</v>
      </c>
      <c r="O390" s="1" t="s">
        <v>31</v>
      </c>
      <c r="Q390" s="1" t="s">
        <v>484</v>
      </c>
      <c r="R390" s="14">
        <v>43859</v>
      </c>
      <c r="S390" s="1">
        <v>5</v>
      </c>
      <c r="U390" s="48"/>
    </row>
    <row r="391" ht="30" customHeight="1" spans="1:21" x14ac:dyDescent="0.25">
      <c r="A391" s="1" t="s">
        <v>3576</v>
      </c>
      <c r="B391" s="1">
        <v>2020</v>
      </c>
      <c r="C391" s="2" t="s">
        <v>545</v>
      </c>
      <c r="D391" s="1" t="s">
        <v>963</v>
      </c>
      <c r="E391" s="1">
        <v>203324</v>
      </c>
      <c r="F391" s="1" t="s">
        <v>37</v>
      </c>
      <c r="G391" s="14">
        <v>43860</v>
      </c>
      <c r="H391" s="14" t="s">
        <v>38</v>
      </c>
      <c r="I391" s="2" t="s">
        <v>4128</v>
      </c>
      <c r="J391" s="2" t="s">
        <v>1865</v>
      </c>
      <c r="K391" s="12">
        <v>0.020833333332120674</v>
      </c>
      <c r="L391" s="12"/>
      <c r="M391" s="13">
        <f>CRF_3[[#This Row],[Time Spent on Configuration]]+CRF_3[[#This Row],[Time Spent on Review/Testing]]</f>
        <v>NaN</v>
      </c>
      <c r="O391" s="1" t="s">
        <v>31</v>
      </c>
      <c r="P391" s="1" t="s">
        <v>483</v>
      </c>
      <c r="Q391" s="1" t="s">
        <v>484</v>
      </c>
      <c r="R391" s="14">
        <v>43860</v>
      </c>
      <c r="S391" s="1">
        <v>5</v>
      </c>
      <c r="U391" s="48"/>
    </row>
    <row r="392" ht="30" customHeight="1" spans="1:21" x14ac:dyDescent="0.25">
      <c r="A392" s="1" t="s">
        <v>3594</v>
      </c>
      <c r="B392" s="1">
        <v>2020</v>
      </c>
      <c r="C392" s="2" t="s">
        <v>616</v>
      </c>
      <c r="D392" s="1" t="s">
        <v>1042</v>
      </c>
      <c r="E392" s="1">
        <v>203720</v>
      </c>
      <c r="F392" s="1" t="s">
        <v>27</v>
      </c>
      <c r="G392" s="14">
        <v>43864</v>
      </c>
      <c r="H392" s="14" t="s">
        <v>38</v>
      </c>
      <c r="I392" s="2" t="s">
        <v>4129</v>
      </c>
      <c r="J392" s="2" t="s">
        <v>4130</v>
      </c>
      <c r="K392" s="12">
        <v>0.020833333332120674</v>
      </c>
      <c r="L392" s="12"/>
      <c r="M392" s="13">
        <f>CRF_3[[#This Row],[Time Spent on Configuration]]+CRF_3[[#This Row],[Time Spent on Review/Testing]]</f>
        <v>NaN</v>
      </c>
      <c r="O392" s="1" t="s">
        <v>31</v>
      </c>
      <c r="Q392" s="1" t="s">
        <v>484</v>
      </c>
      <c r="R392" s="14">
        <v>43864</v>
      </c>
      <c r="S392" s="1">
        <v>5</v>
      </c>
      <c r="U392" s="48"/>
    </row>
    <row r="393" spans="1:21" x14ac:dyDescent="0.25">
      <c r="A393" s="1" t="s">
        <v>3594</v>
      </c>
      <c r="B393" s="1">
        <v>2020</v>
      </c>
      <c r="C393" s="2" t="s">
        <v>525</v>
      </c>
      <c r="D393" s="1" t="s">
        <v>25</v>
      </c>
      <c r="E393" s="1">
        <v>203720</v>
      </c>
      <c r="F393" s="1" t="s">
        <v>37</v>
      </c>
      <c r="G393" s="14">
        <v>43864</v>
      </c>
      <c r="H393" s="14" t="s">
        <v>28</v>
      </c>
      <c r="I393" s="2" t="s">
        <v>1870</v>
      </c>
      <c r="J393" s="2" t="s">
        <v>1871</v>
      </c>
      <c r="K393" s="12">
        <v>0.03125</v>
      </c>
      <c r="L393" s="12"/>
      <c r="M393" s="13">
        <f>CRF_3[[#This Row],[Time Spent on Configuration]]+CRF_3[[#This Row],[Time Spent on Review/Testing]]</f>
        <v>NaN</v>
      </c>
      <c r="O393" s="1" t="s">
        <v>31</v>
      </c>
      <c r="Q393" s="1" t="s">
        <v>484</v>
      </c>
      <c r="R393" s="14">
        <v>43864</v>
      </c>
      <c r="S393" s="1">
        <v>5</v>
      </c>
      <c r="U393" s="48"/>
    </row>
    <row r="394" ht="30" customHeight="1" spans="1:21" x14ac:dyDescent="0.25">
      <c r="A394" s="1" t="s">
        <v>3594</v>
      </c>
      <c r="B394" s="1">
        <v>2020</v>
      </c>
      <c r="C394" s="2" t="s">
        <v>525</v>
      </c>
      <c r="D394" s="1" t="s">
        <v>25</v>
      </c>
      <c r="E394" s="1">
        <v>204753</v>
      </c>
      <c r="F394" s="1" t="s">
        <v>37</v>
      </c>
      <c r="G394" s="14">
        <v>43867</v>
      </c>
      <c r="H394" s="14" t="s">
        <v>28</v>
      </c>
      <c r="I394" s="2" t="s">
        <v>1873</v>
      </c>
      <c r="J394" s="2" t="s">
        <v>4131</v>
      </c>
      <c r="K394" s="12">
        <v>0.03125</v>
      </c>
      <c r="L394" s="12"/>
      <c r="M394" s="13">
        <f>CRF_3[[#This Row],[Time Spent on Configuration]]+CRF_3[[#This Row],[Time Spent on Review/Testing]]</f>
        <v>NaN</v>
      </c>
      <c r="O394" s="1" t="s">
        <v>31</v>
      </c>
      <c r="Q394" s="1" t="s">
        <v>484</v>
      </c>
      <c r="R394" s="14">
        <v>43867</v>
      </c>
      <c r="S394" s="1">
        <v>5</v>
      </c>
      <c r="U394" s="48"/>
    </row>
    <row r="395" ht="75" customHeight="1" spans="1:21" x14ac:dyDescent="0.25">
      <c r="A395" s="1" t="s">
        <v>3594</v>
      </c>
      <c r="B395" s="1">
        <v>2020</v>
      </c>
      <c r="C395" s="2" t="s">
        <v>99</v>
      </c>
      <c r="D395" s="1" t="s">
        <v>25</v>
      </c>
      <c r="E395" s="1">
        <v>205346</v>
      </c>
      <c r="F395" s="1" t="s">
        <v>37</v>
      </c>
      <c r="G395" s="14">
        <v>43873</v>
      </c>
      <c r="H395" s="14" t="s">
        <v>28</v>
      </c>
      <c r="I395" s="2" t="s">
        <v>1876</v>
      </c>
      <c r="J395" s="2" t="s">
        <v>4132</v>
      </c>
      <c r="K395" s="12">
        <v>0.020833333332120674</v>
      </c>
      <c r="L395" s="12"/>
      <c r="M395" s="13">
        <f>CRF_3[[#This Row],[Time Spent on Configuration]]+CRF_3[[#This Row],[Time Spent on Review/Testing]]</f>
        <v>NaN</v>
      </c>
      <c r="O395" s="1" t="s">
        <v>53</v>
      </c>
      <c r="Q395" s="1" t="s">
        <v>484</v>
      </c>
      <c r="R395" s="14">
        <v>43867</v>
      </c>
      <c r="S395" s="1">
        <v>5</v>
      </c>
      <c r="U395" s="48"/>
    </row>
    <row r="396" spans="1:21" x14ac:dyDescent="0.25">
      <c r="A396" s="1" t="s">
        <v>3594</v>
      </c>
      <c r="B396" s="1">
        <v>2020</v>
      </c>
      <c r="C396" s="2" t="s">
        <v>35</v>
      </c>
      <c r="D396" s="1" t="s">
        <v>25</v>
      </c>
      <c r="E396" s="1">
        <v>205205</v>
      </c>
      <c r="F396" s="1" t="s">
        <v>27</v>
      </c>
      <c r="G396" s="14">
        <v>43873</v>
      </c>
      <c r="H396" s="14" t="s">
        <v>28</v>
      </c>
      <c r="I396" s="2" t="s">
        <v>4133</v>
      </c>
      <c r="J396" s="2" t="s">
        <v>1880</v>
      </c>
      <c r="K396" s="12">
        <v>0</v>
      </c>
      <c r="L396" s="12">
        <v>0.041666666667879326</v>
      </c>
      <c r="M396" s="13">
        <f>CRF_3[[#This Row],[Time Spent on Configuration]]+CRF_3[[#This Row],[Time Spent on Review/Testing]]</f>
        <v>NaN</v>
      </c>
      <c r="O396" s="1" t="s">
        <v>53</v>
      </c>
      <c r="P396" s="1" t="s">
        <v>483</v>
      </c>
      <c r="Q396" s="1" t="s">
        <v>42</v>
      </c>
      <c r="R396" s="14">
        <v>43875</v>
      </c>
      <c r="S396" s="1">
        <v>5</v>
      </c>
      <c r="U396" s="48"/>
    </row>
    <row r="397" ht="30" customHeight="1" spans="1:21" x14ac:dyDescent="0.25">
      <c r="A397" s="1" t="s">
        <v>3594</v>
      </c>
      <c r="B397" s="1">
        <v>2020</v>
      </c>
      <c r="C397" s="2" t="s">
        <v>1451</v>
      </c>
      <c r="D397" s="1" t="s">
        <v>287</v>
      </c>
      <c r="E397" s="1">
        <v>204999</v>
      </c>
      <c r="F397" s="1" t="s">
        <v>27</v>
      </c>
      <c r="G397" s="14">
        <v>43873</v>
      </c>
      <c r="H397" s="14" t="s">
        <v>953</v>
      </c>
      <c r="I397" s="2" t="s">
        <v>1882</v>
      </c>
      <c r="J397" s="2" t="s">
        <v>4134</v>
      </c>
      <c r="K397" s="12">
        <v>0.03125</v>
      </c>
      <c r="L397" s="12"/>
      <c r="M397" s="13">
        <f>CRF_3[[#This Row],[Time Spent on Configuration]]+CRF_3[[#This Row],[Time Spent on Review/Testing]]</f>
        <v>NaN</v>
      </c>
      <c r="O397" s="1" t="s">
        <v>31</v>
      </c>
      <c r="Q397" s="1" t="s">
        <v>484</v>
      </c>
      <c r="R397" s="14">
        <v>43873</v>
      </c>
      <c r="S397" s="1">
        <v>5</v>
      </c>
      <c r="U397" s="48"/>
    </row>
    <row r="398" ht="30" customHeight="1" spans="1:21" x14ac:dyDescent="0.25">
      <c r="A398" s="1" t="s">
        <v>3594</v>
      </c>
      <c r="B398" s="1">
        <v>2020</v>
      </c>
      <c r="C398" s="2" t="s">
        <v>35</v>
      </c>
      <c r="D398" s="1" t="s">
        <v>25</v>
      </c>
      <c r="E398" s="1">
        <v>205206</v>
      </c>
      <c r="F398" s="1" t="s">
        <v>27</v>
      </c>
      <c r="G398" s="14">
        <v>43873</v>
      </c>
      <c r="H398" s="14" t="s">
        <v>28</v>
      </c>
      <c r="I398" s="2" t="s">
        <v>4135</v>
      </c>
      <c r="J398" s="2" t="s">
        <v>1886</v>
      </c>
      <c r="K398" s="12">
        <v>0.06597222222262644</v>
      </c>
      <c r="L398" s="12">
        <v>0.10069444444525288</v>
      </c>
      <c r="M398" s="13">
        <f>CRF_3[[#This Row],[Time Spent on Configuration]]+CRF_3[[#This Row],[Time Spent on Review/Testing]]</f>
        <v>NaN</v>
      </c>
      <c r="O398" s="1" t="s">
        <v>53</v>
      </c>
      <c r="P398" s="1" t="s">
        <v>483</v>
      </c>
      <c r="Q398" s="1" t="s">
        <v>42</v>
      </c>
      <c r="R398" s="14">
        <v>43873</v>
      </c>
      <c r="S398" s="1">
        <v>4</v>
      </c>
      <c r="U398" s="48"/>
    </row>
    <row r="399" ht="120" customHeight="1" spans="1:21" x14ac:dyDescent="0.25">
      <c r="A399" s="1" t="s">
        <v>3594</v>
      </c>
      <c r="B399" s="1">
        <v>2020</v>
      </c>
      <c r="C399" s="2" t="s">
        <v>616</v>
      </c>
      <c r="D399" s="1" t="s">
        <v>617</v>
      </c>
      <c r="E399" s="1">
        <v>204184</v>
      </c>
      <c r="F399" s="1" t="s">
        <v>27</v>
      </c>
      <c r="G399" s="14">
        <v>43873</v>
      </c>
      <c r="H399" s="14" t="s">
        <v>28</v>
      </c>
      <c r="I399" s="2" t="s">
        <v>4136</v>
      </c>
      <c r="J399" s="2" t="s">
        <v>4137</v>
      </c>
      <c r="K399" s="12">
        <v>0.041666666667879326</v>
      </c>
      <c r="L399" s="12">
        <v>0.05902777777737356</v>
      </c>
      <c r="M399" s="13">
        <f>CRF_3[[#This Row],[Time Spent on Configuration]]+CRF_3[[#This Row],[Time Spent on Review/Testing]]</f>
        <v>NaN</v>
      </c>
      <c r="O399" s="1" t="s">
        <v>53</v>
      </c>
      <c r="P399" s="1" t="s">
        <v>483</v>
      </c>
      <c r="Q399" s="1" t="s">
        <v>484</v>
      </c>
      <c r="R399" s="14">
        <v>43874</v>
      </c>
      <c r="S399" s="1">
        <v>5</v>
      </c>
      <c r="U399" s="48"/>
    </row>
    <row r="400" spans="1:21" x14ac:dyDescent="0.25">
      <c r="A400" s="1" t="s">
        <v>3594</v>
      </c>
      <c r="B400" s="1">
        <v>2020</v>
      </c>
      <c r="C400" s="2" t="s">
        <v>99</v>
      </c>
      <c r="D400" s="1" t="s">
        <v>25</v>
      </c>
      <c r="E400" s="1">
        <v>205985</v>
      </c>
      <c r="F400" s="1" t="s">
        <v>27</v>
      </c>
      <c r="G400" s="14">
        <v>43881</v>
      </c>
      <c r="H400" s="14" t="s">
        <v>28</v>
      </c>
      <c r="I400" s="2" t="s">
        <v>1891</v>
      </c>
      <c r="J400" s="2" t="s">
        <v>1892</v>
      </c>
      <c r="K400" s="12">
        <v>0.041666666667879326</v>
      </c>
      <c r="L400" s="12">
        <v>0.0625</v>
      </c>
      <c r="M400" s="13">
        <f>CRF_3[[#This Row],[Time Spent on Configuration]]+CRF_3[[#This Row],[Time Spent on Review/Testing]]</f>
        <v>NaN</v>
      </c>
      <c r="O400" s="1" t="s">
        <v>574</v>
      </c>
      <c r="P400" s="1" t="s">
        <v>483</v>
      </c>
      <c r="Q400" s="1" t="s">
        <v>484</v>
      </c>
      <c r="R400" s="14">
        <v>43881</v>
      </c>
      <c r="S400" s="1">
        <v>5</v>
      </c>
      <c r="U400" s="48"/>
    </row>
    <row r="401" ht="30" customHeight="1" spans="1:21" x14ac:dyDescent="0.25">
      <c r="A401" s="1" t="s">
        <v>3594</v>
      </c>
      <c r="B401" s="1">
        <v>2020</v>
      </c>
      <c r="C401" s="2" t="s">
        <v>284</v>
      </c>
      <c r="D401" s="1" t="s">
        <v>285</v>
      </c>
      <c r="E401" s="1">
        <v>205802</v>
      </c>
      <c r="F401" s="1" t="s">
        <v>27</v>
      </c>
      <c r="G401" s="14">
        <v>43881</v>
      </c>
      <c r="H401" s="14" t="s">
        <v>28</v>
      </c>
      <c r="I401" s="2" t="s">
        <v>1894</v>
      </c>
      <c r="J401" s="2" t="s">
        <v>1895</v>
      </c>
      <c r="K401" s="12">
        <v>0.020833333332120674</v>
      </c>
      <c r="L401" s="12">
        <v>0.04861111110949423</v>
      </c>
      <c r="M401" s="13">
        <f>CRF_3[[#This Row],[Time Spent on Configuration]]+CRF_3[[#This Row],[Time Spent on Review/Testing]]</f>
        <v>NaN</v>
      </c>
      <c r="O401" s="1" t="s">
        <v>53</v>
      </c>
      <c r="P401" s="1" t="s">
        <v>483</v>
      </c>
      <c r="Q401" s="1" t="s">
        <v>488</v>
      </c>
      <c r="R401" s="14">
        <v>43881</v>
      </c>
      <c r="S401" s="1">
        <v>5</v>
      </c>
      <c r="U401" s="48"/>
    </row>
    <row r="402" spans="1:21" x14ac:dyDescent="0.25">
      <c r="A402" s="1" t="s">
        <v>3594</v>
      </c>
      <c r="B402" s="1">
        <v>2020</v>
      </c>
      <c r="C402" s="2" t="s">
        <v>1047</v>
      </c>
      <c r="D402" s="1" t="s">
        <v>989</v>
      </c>
      <c r="E402" s="1">
        <v>205699</v>
      </c>
      <c r="F402" s="1" t="s">
        <v>27</v>
      </c>
      <c r="G402" s="14">
        <v>43881</v>
      </c>
      <c r="H402" s="14" t="s">
        <v>28</v>
      </c>
      <c r="I402" s="2" t="s">
        <v>1897</v>
      </c>
      <c r="J402" s="2" t="s">
        <v>1898</v>
      </c>
      <c r="K402" s="12">
        <v>0.020833333332120674</v>
      </c>
      <c r="L402" s="12"/>
      <c r="M402" s="13">
        <f>CRF_3[[#This Row],[Time Spent on Configuration]]+CRF_3[[#This Row],[Time Spent on Review/Testing]]</f>
        <v>NaN</v>
      </c>
      <c r="O402" s="1" t="s">
        <v>53</v>
      </c>
      <c r="Q402" s="1" t="s">
        <v>484</v>
      </c>
      <c r="R402" s="14">
        <v>43881</v>
      </c>
      <c r="S402" s="1">
        <v>5</v>
      </c>
      <c r="U402" s="48"/>
    </row>
    <row r="403" ht="30" customHeight="1" spans="1:21" x14ac:dyDescent="0.25">
      <c r="A403" s="1" t="s">
        <v>3594</v>
      </c>
      <c r="B403" s="1">
        <v>2020</v>
      </c>
      <c r="C403" s="2" t="s">
        <v>286</v>
      </c>
      <c r="D403" s="1" t="s">
        <v>974</v>
      </c>
      <c r="E403" s="1">
        <v>205703</v>
      </c>
      <c r="F403" s="1" t="s">
        <v>27</v>
      </c>
      <c r="G403" s="14">
        <v>43888</v>
      </c>
      <c r="H403" s="14" t="s">
        <v>38</v>
      </c>
      <c r="I403" s="2" t="s">
        <v>4138</v>
      </c>
      <c r="J403" s="2" t="s">
        <v>1901</v>
      </c>
      <c r="K403" s="12">
        <v>0.0625</v>
      </c>
      <c r="L403" s="12"/>
      <c r="M403" s="13">
        <f>CRF_3[[#This Row],[Time Spent on Configuration]]+CRF_3[[#This Row],[Time Spent on Review/Testing]]</f>
        <v>NaN</v>
      </c>
      <c r="O403" s="1" t="s">
        <v>31</v>
      </c>
      <c r="Q403" s="1" t="s">
        <v>484</v>
      </c>
      <c r="R403" s="14">
        <v>43888</v>
      </c>
      <c r="S403" s="1">
        <v>5</v>
      </c>
      <c r="U403" s="48"/>
    </row>
    <row r="404" ht="30" customHeight="1" spans="1:21" x14ac:dyDescent="0.25">
      <c r="A404" s="1" t="s">
        <v>3594</v>
      </c>
      <c r="B404" s="1">
        <v>2020</v>
      </c>
      <c r="C404" s="2" t="s">
        <v>1093</v>
      </c>
      <c r="D404" s="1" t="s">
        <v>1651</v>
      </c>
      <c r="E404" s="1">
        <v>206434</v>
      </c>
      <c r="F404" s="1" t="s">
        <v>27</v>
      </c>
      <c r="G404" s="14">
        <v>43888</v>
      </c>
      <c r="H404" s="14" t="s">
        <v>38</v>
      </c>
      <c r="I404" s="2" t="s">
        <v>1903</v>
      </c>
      <c r="J404" s="2" t="s">
        <v>1904</v>
      </c>
      <c r="K404" s="12">
        <v>0.125</v>
      </c>
      <c r="L404" s="12">
        <v>0.11805555555474712</v>
      </c>
      <c r="M404" s="13">
        <f>CRF_3[[#This Row],[Time Spent on Configuration]]+CRF_3[[#This Row],[Time Spent on Review/Testing]]</f>
        <v>NaN</v>
      </c>
      <c r="O404" s="1" t="s">
        <v>574</v>
      </c>
      <c r="P404" s="1" t="s">
        <v>483</v>
      </c>
      <c r="Q404" s="1" t="s">
        <v>488</v>
      </c>
      <c r="R404" s="14">
        <v>43888</v>
      </c>
      <c r="S404" s="1">
        <v>5</v>
      </c>
      <c r="U404" s="48"/>
    </row>
    <row r="405" ht="30" customHeight="1" spans="1:21" x14ac:dyDescent="0.25">
      <c r="A405" s="1" t="s">
        <v>3594</v>
      </c>
      <c r="B405" s="1">
        <v>2020</v>
      </c>
      <c r="C405" s="2" t="s">
        <v>118</v>
      </c>
      <c r="D405" s="1" t="s">
        <v>25</v>
      </c>
      <c r="E405" s="1">
        <v>201947</v>
      </c>
      <c r="F405" s="1" t="s">
        <v>27</v>
      </c>
      <c r="G405" s="14">
        <v>43889</v>
      </c>
      <c r="H405" s="14" t="s">
        <v>38</v>
      </c>
      <c r="I405" s="2" t="s">
        <v>1906</v>
      </c>
      <c r="J405" s="2" t="s">
        <v>4139</v>
      </c>
      <c r="K405" s="12">
        <v>0.020833333332120674</v>
      </c>
      <c r="L405" s="12">
        <v>0.0625</v>
      </c>
      <c r="M405" s="13">
        <f>CRF_3[[#This Row],[Time Spent on Configuration]]+CRF_3[[#This Row],[Time Spent on Review/Testing]]</f>
        <v>NaN</v>
      </c>
      <c r="O405" s="1" t="s">
        <v>31</v>
      </c>
      <c r="P405" s="1" t="s">
        <v>483</v>
      </c>
      <c r="Q405" s="1" t="s">
        <v>484</v>
      </c>
      <c r="R405" s="14">
        <v>43889</v>
      </c>
      <c r="S405" s="1">
        <v>5</v>
      </c>
      <c r="U405" s="48"/>
    </row>
    <row r="406" ht="30" customHeight="1" spans="1:21" x14ac:dyDescent="0.25">
      <c r="A406" s="1" t="s">
        <v>3613</v>
      </c>
      <c r="B406" s="1">
        <v>2020</v>
      </c>
      <c r="C406" s="2" t="s">
        <v>525</v>
      </c>
      <c r="D406" s="1" t="s">
        <v>25</v>
      </c>
      <c r="E406" s="1">
        <v>205967</v>
      </c>
      <c r="F406" s="1" t="s">
        <v>27</v>
      </c>
      <c r="G406" s="14">
        <v>43901</v>
      </c>
      <c r="H406" s="14" t="s">
        <v>953</v>
      </c>
      <c r="I406" s="2" t="s">
        <v>4140</v>
      </c>
      <c r="J406" s="2" t="s">
        <v>1911</v>
      </c>
      <c r="K406" s="12">
        <v>0.020833333332120674</v>
      </c>
      <c r="L406" s="12">
        <v>0.020833333332120674</v>
      </c>
      <c r="M406" s="13">
        <f>CRF_3[[#This Row],[Time Spent on Configuration]]+CRF_3[[#This Row],[Time Spent on Review/Testing]]</f>
        <v>NaN</v>
      </c>
      <c r="O406" s="1" t="s">
        <v>31</v>
      </c>
      <c r="P406" s="1" t="s">
        <v>483</v>
      </c>
      <c r="Q406" s="1" t="s">
        <v>484</v>
      </c>
      <c r="R406" s="14">
        <v>43901</v>
      </c>
      <c r="S406" s="1">
        <v>5</v>
      </c>
      <c r="U406" s="48"/>
    </row>
    <row r="407" ht="30" customHeight="1" spans="1:21" x14ac:dyDescent="0.25">
      <c r="A407" s="1" t="s">
        <v>3613</v>
      </c>
      <c r="B407" s="1">
        <v>2020</v>
      </c>
      <c r="C407" s="2" t="s">
        <v>525</v>
      </c>
      <c r="D407" s="1" t="s">
        <v>25</v>
      </c>
      <c r="E407" s="1">
        <v>206987</v>
      </c>
      <c r="F407" s="1" t="s">
        <v>27</v>
      </c>
      <c r="G407" s="14">
        <v>43901</v>
      </c>
      <c r="H407" s="14" t="s">
        <v>28</v>
      </c>
      <c r="I407" s="2" t="s">
        <v>4141</v>
      </c>
      <c r="J407" s="2" t="s">
        <v>1914</v>
      </c>
      <c r="K407" s="12">
        <v>0.041666666667879326</v>
      </c>
      <c r="L407" s="12">
        <v>0.052083333332120674</v>
      </c>
      <c r="M407" s="13">
        <f>CRF_3[[#This Row],[Time Spent on Configuration]]+CRF_3[[#This Row],[Time Spent on Review/Testing]]</f>
        <v>NaN</v>
      </c>
      <c r="O407" s="1" t="s">
        <v>31</v>
      </c>
      <c r="P407" s="1" t="s">
        <v>483</v>
      </c>
      <c r="Q407" s="1" t="s">
        <v>484</v>
      </c>
      <c r="R407" s="14"/>
      <c r="S407" s="1">
        <v>5</v>
      </c>
      <c r="U407" s="48"/>
    </row>
    <row r="408" ht="30" customHeight="1" spans="1:21" x14ac:dyDescent="0.25">
      <c r="A408" s="1" t="s">
        <v>3613</v>
      </c>
      <c r="B408" s="1">
        <v>2020</v>
      </c>
      <c r="C408" s="2" t="s">
        <v>525</v>
      </c>
      <c r="D408" s="1" t="s">
        <v>25</v>
      </c>
      <c r="E408" s="1">
        <v>208072</v>
      </c>
      <c r="F408" s="1" t="s">
        <v>27</v>
      </c>
      <c r="G408" s="14">
        <v>43906</v>
      </c>
      <c r="H408" s="14" t="s">
        <v>38</v>
      </c>
      <c r="I408" s="2" t="s">
        <v>1916</v>
      </c>
      <c r="J408" s="2" t="s">
        <v>4142</v>
      </c>
      <c r="K408" s="12">
        <v>0.020833333332120674</v>
      </c>
      <c r="L408" s="12"/>
      <c r="M408" s="13">
        <f>CRF_3[[#This Row],[Time Spent on Configuration]]+CRF_3[[#This Row],[Time Spent on Review/Testing]]</f>
        <v>NaN</v>
      </c>
      <c r="O408" s="1" t="s">
        <v>31</v>
      </c>
      <c r="Q408" s="1" t="s">
        <v>484</v>
      </c>
      <c r="R408" s="14"/>
      <c r="S408" s="1">
        <v>5</v>
      </c>
      <c r="U408" s="48"/>
    </row>
    <row r="409" ht="30" customHeight="1" spans="1:21" x14ac:dyDescent="0.25">
      <c r="A409" s="1" t="s">
        <v>3613</v>
      </c>
      <c r="B409" s="1">
        <v>2020</v>
      </c>
      <c r="C409" s="2" t="s">
        <v>113</v>
      </c>
      <c r="D409" s="1" t="s">
        <v>25</v>
      </c>
      <c r="E409" s="1">
        <v>205957</v>
      </c>
      <c r="F409" s="1" t="s">
        <v>27</v>
      </c>
      <c r="G409" s="11">
        <v>43907</v>
      </c>
      <c r="H409" s="14" t="s">
        <v>38</v>
      </c>
      <c r="I409" s="2" t="s">
        <v>1919</v>
      </c>
      <c r="J409" s="2" t="s">
        <v>1920</v>
      </c>
      <c r="K409" s="12">
        <v>0.125</v>
      </c>
      <c r="L409" s="12"/>
      <c r="M409" s="13">
        <f>CRF_3[[#This Row],[Time Spent on Configuration]]+CRF_3[[#This Row],[Time Spent on Review/Testing]]</f>
        <v>NaN</v>
      </c>
      <c r="O409" s="1" t="s">
        <v>31</v>
      </c>
      <c r="Q409" s="1" t="s">
        <v>484</v>
      </c>
      <c r="R409" s="11">
        <v>43907</v>
      </c>
      <c r="S409" s="1">
        <v>5</v>
      </c>
      <c r="U409" s="48"/>
    </row>
    <row r="410" ht="45" customHeight="1" spans="1:21" x14ac:dyDescent="0.25">
      <c r="A410" s="1" t="s">
        <v>3613</v>
      </c>
      <c r="B410" s="1">
        <v>2020</v>
      </c>
      <c r="C410" s="2" t="s">
        <v>1451</v>
      </c>
      <c r="D410" s="1" t="s">
        <v>287</v>
      </c>
      <c r="E410" s="1">
        <v>204160</v>
      </c>
      <c r="F410" s="1" t="s">
        <v>27</v>
      </c>
      <c r="G410" s="11">
        <v>43908</v>
      </c>
      <c r="H410" s="14" t="s">
        <v>133</v>
      </c>
      <c r="I410" s="2" t="s">
        <v>1922</v>
      </c>
      <c r="J410" s="2" t="s">
        <v>4143</v>
      </c>
      <c r="K410" s="12">
        <v>0.11458333333212067</v>
      </c>
      <c r="L410" s="12"/>
      <c r="M410" s="13">
        <f>CRF_3[[#This Row],[Time Spent on Configuration]]+CRF_3[[#This Row],[Time Spent on Review/Testing]]</f>
        <v>NaN</v>
      </c>
      <c r="O410" s="1" t="s">
        <v>31</v>
      </c>
      <c r="Q410" s="1" t="s">
        <v>484</v>
      </c>
      <c r="R410" s="11">
        <v>43909</v>
      </c>
      <c r="S410" s="1">
        <v>5</v>
      </c>
      <c r="U410" s="48"/>
    </row>
    <row r="411" ht="30" customHeight="1" spans="1:21" x14ac:dyDescent="0.25">
      <c r="A411" s="1" t="s">
        <v>3613</v>
      </c>
      <c r="B411" s="1">
        <v>2020</v>
      </c>
      <c r="C411" s="2" t="s">
        <v>529</v>
      </c>
      <c r="D411" s="1" t="s">
        <v>1924</v>
      </c>
      <c r="E411" s="1">
        <v>209571</v>
      </c>
      <c r="F411" s="1" t="s">
        <v>952</v>
      </c>
      <c r="G411" s="11">
        <v>43916</v>
      </c>
      <c r="H411" s="14" t="s">
        <v>28</v>
      </c>
      <c r="I411" s="2" t="s">
        <v>1926</v>
      </c>
      <c r="J411" s="2" t="s">
        <v>1927</v>
      </c>
      <c r="K411" s="12">
        <v>0.16666666666787933</v>
      </c>
      <c r="L411" s="12">
        <v>0.16666666666787933</v>
      </c>
      <c r="M411" s="13">
        <f>CRF_3[[#This Row],[Time Spent on Configuration]]+CRF_3[[#This Row],[Time Spent on Review/Testing]]</f>
        <v>NaN</v>
      </c>
      <c r="O411" s="1" t="s">
        <v>31</v>
      </c>
      <c r="P411" s="1" t="s">
        <v>483</v>
      </c>
      <c r="Q411" s="1" t="s">
        <v>117</v>
      </c>
      <c r="R411" s="11">
        <v>43917</v>
      </c>
      <c r="S411" s="1">
        <v>5</v>
      </c>
      <c r="U411" s="48"/>
    </row>
    <row r="412" spans="1:21" x14ac:dyDescent="0.25">
      <c r="A412" s="1" t="s">
        <v>3624</v>
      </c>
      <c r="B412" s="1">
        <v>2020</v>
      </c>
      <c r="C412" s="2" t="s">
        <v>99</v>
      </c>
      <c r="D412" s="1" t="s">
        <v>25</v>
      </c>
      <c r="E412" s="1">
        <v>210031</v>
      </c>
      <c r="F412" s="1" t="s">
        <v>952</v>
      </c>
      <c r="G412" s="11">
        <v>43921</v>
      </c>
      <c r="H412" s="14" t="s">
        <v>28</v>
      </c>
      <c r="I412" s="2" t="s">
        <v>1929</v>
      </c>
      <c r="J412" s="2" t="s">
        <v>1891</v>
      </c>
      <c r="K412" s="12">
        <v>0.041666666667879326</v>
      </c>
      <c r="L412" s="12">
        <v>0.07986111110949423</v>
      </c>
      <c r="M412" s="13">
        <f>CRF_3[[#This Row],[Time Spent on Configuration]]+CRF_3[[#This Row],[Time Spent on Review/Testing]]</f>
        <v>NaN</v>
      </c>
      <c r="O412" s="1" t="s">
        <v>53</v>
      </c>
      <c r="P412" s="1" t="s">
        <v>483</v>
      </c>
      <c r="Q412" s="1" t="s">
        <v>484</v>
      </c>
      <c r="R412" s="11">
        <v>43922</v>
      </c>
      <c r="S412" s="1">
        <v>5</v>
      </c>
      <c r="U412" s="48"/>
    </row>
    <row r="413" spans="1:21" x14ac:dyDescent="0.25">
      <c r="A413" s="1" t="s">
        <v>3624</v>
      </c>
      <c r="B413" s="1">
        <v>2020</v>
      </c>
      <c r="C413" s="2" t="s">
        <v>286</v>
      </c>
      <c r="D413" s="1" t="s">
        <v>974</v>
      </c>
      <c r="E413" s="1">
        <v>210552</v>
      </c>
      <c r="F413" s="1" t="s">
        <v>37</v>
      </c>
      <c r="G413" s="11">
        <v>43928</v>
      </c>
      <c r="H413" s="14" t="s">
        <v>28</v>
      </c>
      <c r="I413" s="2" t="s">
        <v>1932</v>
      </c>
      <c r="J413" s="2" t="s">
        <v>1933</v>
      </c>
      <c r="K413" s="12">
        <v>0.0625</v>
      </c>
      <c r="L413" s="12">
        <v>0.03125</v>
      </c>
      <c r="M413" s="13">
        <f>CRF_3[[#This Row],[Time Spent on Configuration]]+CRF_3[[#This Row],[Time Spent on Review/Testing]]</f>
        <v>NaN</v>
      </c>
      <c r="O413" s="1" t="s">
        <v>574</v>
      </c>
      <c r="P413" s="1" t="s">
        <v>483</v>
      </c>
      <c r="Q413" s="1" t="s">
        <v>484</v>
      </c>
      <c r="R413" s="11">
        <v>43928</v>
      </c>
      <c r="S413" s="1">
        <v>5</v>
      </c>
      <c r="U413" s="48"/>
    </row>
    <row r="414" ht="30" customHeight="1" spans="1:21" x14ac:dyDescent="0.25">
      <c r="A414" s="1" t="s">
        <v>3624</v>
      </c>
      <c r="B414" s="1">
        <v>2020</v>
      </c>
      <c r="C414" s="2" t="s">
        <v>1040</v>
      </c>
      <c r="D414" s="1" t="s">
        <v>1631</v>
      </c>
      <c r="E414" s="1">
        <v>210332</v>
      </c>
      <c r="F414" s="1" t="s">
        <v>952</v>
      </c>
      <c r="G414" s="11">
        <v>43922</v>
      </c>
      <c r="H414" s="14" t="s">
        <v>28</v>
      </c>
      <c r="I414" s="2" t="s">
        <v>1935</v>
      </c>
      <c r="J414" s="2" t="s">
        <v>1936</v>
      </c>
      <c r="K414" s="12">
        <v>0.08333333333212067</v>
      </c>
      <c r="L414" s="12">
        <v>0.06597222222262644</v>
      </c>
      <c r="M414" s="13">
        <f>CRF_3[[#This Row],[Time Spent on Configuration]]+CRF_3[[#This Row],[Time Spent on Review/Testing]]</f>
        <v>NaN</v>
      </c>
      <c r="O414" s="1" t="s">
        <v>53</v>
      </c>
      <c r="P414" s="1" t="s">
        <v>483</v>
      </c>
      <c r="Q414" s="1" t="s">
        <v>1405</v>
      </c>
      <c r="R414" s="11">
        <v>43929</v>
      </c>
      <c r="S414" s="1">
        <v>5</v>
      </c>
      <c r="U414" s="48"/>
    </row>
    <row r="415" ht="180" customHeight="1" spans="1:21" x14ac:dyDescent="0.25">
      <c r="A415" s="1" t="s">
        <v>3624</v>
      </c>
      <c r="B415" s="1">
        <v>2020</v>
      </c>
      <c r="C415" s="2" t="s">
        <v>529</v>
      </c>
      <c r="D415" s="1" t="s">
        <v>1924</v>
      </c>
      <c r="E415" s="1">
        <v>211097</v>
      </c>
      <c r="F415" s="1" t="s">
        <v>952</v>
      </c>
      <c r="G415" s="11">
        <v>43934</v>
      </c>
      <c r="H415" s="14" t="s">
        <v>1073</v>
      </c>
      <c r="I415" s="2" t="s">
        <v>4144</v>
      </c>
      <c r="J415" s="39" t="s">
        <v>4145</v>
      </c>
      <c r="K415" s="12">
        <v>0.020833333332120674</v>
      </c>
      <c r="L415" s="12">
        <v>0.027777777777373558</v>
      </c>
      <c r="M415" s="13">
        <f>CRF_3[[#This Row],[Time Spent on Configuration]]+CRF_3[[#This Row],[Time Spent on Review/Testing]]</f>
        <v>NaN</v>
      </c>
      <c r="O415" s="1" t="s">
        <v>31</v>
      </c>
      <c r="P415" s="1" t="s">
        <v>483</v>
      </c>
      <c r="Q415" s="1" t="s">
        <v>488</v>
      </c>
      <c r="R415" s="11">
        <v>43934</v>
      </c>
      <c r="S415" s="1">
        <v>5</v>
      </c>
      <c r="U415" s="48"/>
    </row>
    <row r="416" spans="1:21" x14ac:dyDescent="0.25">
      <c r="A416" s="1" t="s">
        <v>3624</v>
      </c>
      <c r="B416" s="1">
        <v>2020</v>
      </c>
      <c r="C416" s="2" t="s">
        <v>525</v>
      </c>
      <c r="D416" s="1" t="s">
        <v>25</v>
      </c>
      <c r="E416" s="1">
        <v>211051</v>
      </c>
      <c r="F416" s="1" t="s">
        <v>952</v>
      </c>
      <c r="G416" s="11">
        <v>43935</v>
      </c>
      <c r="H416" s="14" t="s">
        <v>28</v>
      </c>
      <c r="I416" s="2" t="s">
        <v>1941</v>
      </c>
      <c r="J416" s="2" t="s">
        <v>1942</v>
      </c>
      <c r="K416" s="12">
        <v>0.08333333333212067</v>
      </c>
      <c r="L416" s="12">
        <v>0.07638888889050577</v>
      </c>
      <c r="M416" s="13">
        <f>CRF_3[[#This Row],[Time Spent on Configuration]]+CRF_3[[#This Row],[Time Spent on Review/Testing]]</f>
        <v>NaN</v>
      </c>
      <c r="O416" s="1" t="s">
        <v>574</v>
      </c>
      <c r="P416" s="1" t="s">
        <v>483</v>
      </c>
      <c r="Q416" s="1" t="s">
        <v>484</v>
      </c>
      <c r="R416" s="11">
        <v>43935</v>
      </c>
      <c r="S416" s="1">
        <v>5</v>
      </c>
      <c r="U416" s="48"/>
    </row>
    <row r="417" ht="30" customHeight="1" spans="1:21" x14ac:dyDescent="0.25">
      <c r="A417" s="1" t="s">
        <v>3624</v>
      </c>
      <c r="B417" s="1">
        <v>2020</v>
      </c>
      <c r="C417" s="2" t="s">
        <v>796</v>
      </c>
      <c r="D417" s="1" t="s">
        <v>285</v>
      </c>
      <c r="E417" s="1">
        <v>209475</v>
      </c>
      <c r="F417" s="1" t="s">
        <v>37</v>
      </c>
      <c r="G417" s="11">
        <v>43937</v>
      </c>
      <c r="H417" s="14" t="s">
        <v>28</v>
      </c>
      <c r="I417" s="2" t="s">
        <v>1944</v>
      </c>
      <c r="J417" s="2" t="s">
        <v>1945</v>
      </c>
      <c r="K417" s="12">
        <v>0.0625</v>
      </c>
      <c r="L417" s="12">
        <v>0.08333333333212067</v>
      </c>
      <c r="M417" s="13">
        <f>CRF_3[[#This Row],[Time Spent on Configuration]]+CRF_3[[#This Row],[Time Spent on Review/Testing]]</f>
        <v>NaN</v>
      </c>
      <c r="O417" s="1" t="s">
        <v>574</v>
      </c>
      <c r="P417" s="1" t="s">
        <v>483</v>
      </c>
      <c r="Q417" s="1" t="s">
        <v>484</v>
      </c>
      <c r="R417" s="11">
        <v>43937</v>
      </c>
      <c r="S417" s="1">
        <v>5</v>
      </c>
      <c r="U417" s="48"/>
    </row>
    <row r="418" spans="1:21" x14ac:dyDescent="0.25">
      <c r="A418" s="1" t="s">
        <v>3624</v>
      </c>
      <c r="B418" s="1">
        <v>2020</v>
      </c>
      <c r="C418" s="2" t="s">
        <v>1442</v>
      </c>
      <c r="D418" s="1" t="s">
        <v>186</v>
      </c>
      <c r="E418" s="1">
        <v>211849</v>
      </c>
      <c r="F418" s="1" t="s">
        <v>27</v>
      </c>
      <c r="G418" s="11">
        <v>43939</v>
      </c>
      <c r="H418" s="11" t="s">
        <v>670</v>
      </c>
      <c r="I418" s="2" t="s">
        <v>1947</v>
      </c>
      <c r="J418" s="2" t="s">
        <v>1948</v>
      </c>
      <c r="K418" s="12">
        <v>0.020833333332120674</v>
      </c>
      <c r="L418" s="12">
        <v>0.020833333332120674</v>
      </c>
      <c r="M418" s="13">
        <f>CRF_3[[#This Row],[Time Spent on Configuration]]+CRF_3[[#This Row],[Time Spent on Review/Testing]]</f>
        <v>NaN</v>
      </c>
      <c r="O418" s="1" t="s">
        <v>31</v>
      </c>
      <c r="P418" s="1" t="s">
        <v>483</v>
      </c>
      <c r="Q418" s="1" t="s">
        <v>488</v>
      </c>
      <c r="R418" s="11">
        <v>43939</v>
      </c>
      <c r="S418" s="1">
        <v>5</v>
      </c>
      <c r="U418" s="48"/>
    </row>
    <row r="419" spans="1:21" x14ac:dyDescent="0.25">
      <c r="A419" s="1" t="s">
        <v>3624</v>
      </c>
      <c r="B419" s="1">
        <v>2020</v>
      </c>
      <c r="C419" s="2" t="s">
        <v>529</v>
      </c>
      <c r="D419" s="1" t="s">
        <v>1924</v>
      </c>
      <c r="E419" s="1">
        <v>211663</v>
      </c>
      <c r="F419" s="1" t="s">
        <v>27</v>
      </c>
      <c r="G419" s="11">
        <v>43943</v>
      </c>
      <c r="H419" s="14" t="s">
        <v>133</v>
      </c>
      <c r="I419" s="2" t="s">
        <v>1950</v>
      </c>
      <c r="J419" s="2" t="s">
        <v>1950</v>
      </c>
      <c r="K419" s="12">
        <v>0.03125</v>
      </c>
      <c r="L419" s="12">
        <v>0.052083333332120674</v>
      </c>
      <c r="M419" s="13">
        <f>CRF_3[[#This Row],[Time Spent on Configuration]]+CRF_3[[#This Row],[Time Spent on Review/Testing]]</f>
        <v>NaN</v>
      </c>
      <c r="O419" s="1" t="s">
        <v>31</v>
      </c>
      <c r="P419" s="1" t="s">
        <v>483</v>
      </c>
      <c r="Q419" s="1" t="s">
        <v>488</v>
      </c>
      <c r="R419" s="11">
        <v>43943</v>
      </c>
      <c r="S419" s="1">
        <v>5</v>
      </c>
      <c r="U419" s="48"/>
    </row>
    <row r="420" ht="30" customHeight="1" spans="1:21" x14ac:dyDescent="0.25">
      <c r="A420" s="1" t="s">
        <v>3624</v>
      </c>
      <c r="B420" s="1">
        <v>2020</v>
      </c>
      <c r="C420" s="2" t="s">
        <v>1038</v>
      </c>
      <c r="D420" s="1" t="s">
        <v>1659</v>
      </c>
      <c r="E420" s="1">
        <v>211882</v>
      </c>
      <c r="F420" s="1" t="s">
        <v>37</v>
      </c>
      <c r="G420" s="11">
        <v>43943</v>
      </c>
      <c r="H420" s="11" t="s">
        <v>1952</v>
      </c>
      <c r="I420" s="2" t="s">
        <v>1953</v>
      </c>
      <c r="J420" s="2" t="s">
        <v>1954</v>
      </c>
      <c r="K420" s="12">
        <v>0.03125</v>
      </c>
      <c r="L420" s="12">
        <v>0.027777777777373558</v>
      </c>
      <c r="M420" s="13">
        <f>CRF_3[[#This Row],[Time Spent on Configuration]]+CRF_3[[#This Row],[Time Spent on Review/Testing]]</f>
        <v>NaN</v>
      </c>
      <c r="O420" s="1" t="s">
        <v>31</v>
      </c>
      <c r="P420" s="1" t="s">
        <v>483</v>
      </c>
      <c r="Q420" s="1" t="s">
        <v>488</v>
      </c>
      <c r="R420" s="11">
        <v>43943</v>
      </c>
      <c r="S420" s="1">
        <v>5</v>
      </c>
      <c r="U420" s="48"/>
    </row>
    <row r="421" ht="30" customHeight="1" spans="1:21" x14ac:dyDescent="0.25">
      <c r="A421" s="1" t="s">
        <v>3624</v>
      </c>
      <c r="B421" s="1">
        <v>2020</v>
      </c>
      <c r="C421" s="2" t="s">
        <v>288</v>
      </c>
      <c r="D421" s="1" t="s">
        <v>25</v>
      </c>
      <c r="E421" s="1">
        <v>193234</v>
      </c>
      <c r="F421" s="1" t="s">
        <v>952</v>
      </c>
      <c r="G421" s="11">
        <v>43943</v>
      </c>
      <c r="H421" s="14" t="s">
        <v>50</v>
      </c>
      <c r="I421" s="2" t="s">
        <v>1956</v>
      </c>
      <c r="J421" s="2" t="s">
        <v>1957</v>
      </c>
      <c r="K421" s="12">
        <v>0.041666666667879326</v>
      </c>
      <c r="L421" s="12">
        <v>0.041666666667879326</v>
      </c>
      <c r="M421" s="13">
        <f>CRF_3[[#This Row],[Time Spent on Configuration]]+CRF_3[[#This Row],[Time Spent on Review/Testing]]</f>
        <v>NaN</v>
      </c>
      <c r="O421" s="1" t="s">
        <v>574</v>
      </c>
      <c r="P421" s="1" t="s">
        <v>483</v>
      </c>
      <c r="Q421" s="1" t="s">
        <v>488</v>
      </c>
      <c r="R421" s="11">
        <v>43943</v>
      </c>
      <c r="S421" s="1">
        <v>5</v>
      </c>
      <c r="U421" s="48"/>
    </row>
    <row r="422" spans="1:21" x14ac:dyDescent="0.25">
      <c r="A422" s="1" t="s">
        <v>3624</v>
      </c>
      <c r="B422" s="1">
        <v>2020</v>
      </c>
      <c r="C422" s="2" t="s">
        <v>286</v>
      </c>
      <c r="D422" s="1" t="s">
        <v>974</v>
      </c>
      <c r="E422" s="1">
        <v>211636</v>
      </c>
      <c r="F422" s="1" t="s">
        <v>37</v>
      </c>
      <c r="G422" s="11">
        <v>43945</v>
      </c>
      <c r="H422" s="14" t="s">
        <v>28</v>
      </c>
      <c r="I422" s="2" t="s">
        <v>1959</v>
      </c>
      <c r="J422" s="2" t="s">
        <v>1960</v>
      </c>
      <c r="K422" s="12">
        <v>0.03125</v>
      </c>
      <c r="L422" s="12">
        <v>0.0625</v>
      </c>
      <c r="M422" s="13">
        <f>CRF_3[[#This Row],[Time Spent on Configuration]]+CRF_3[[#This Row],[Time Spent on Review/Testing]]</f>
        <v>NaN</v>
      </c>
      <c r="O422" s="1" t="s">
        <v>31</v>
      </c>
      <c r="P422" s="1" t="s">
        <v>483</v>
      </c>
      <c r="Q422" s="1" t="s">
        <v>484</v>
      </c>
      <c r="R422" s="11">
        <v>43945</v>
      </c>
      <c r="S422" s="1">
        <v>5</v>
      </c>
      <c r="U422" s="48"/>
    </row>
    <row r="423" spans="1:21" x14ac:dyDescent="0.25">
      <c r="A423" s="1" t="s">
        <v>3624</v>
      </c>
      <c r="B423" s="1">
        <v>2020</v>
      </c>
      <c r="C423" s="2" t="s">
        <v>286</v>
      </c>
      <c r="D423" s="1" t="s">
        <v>974</v>
      </c>
      <c r="E423" s="1">
        <v>211655</v>
      </c>
      <c r="F423" s="1" t="s">
        <v>37</v>
      </c>
      <c r="G423" s="11">
        <v>43948</v>
      </c>
      <c r="H423" s="14" t="s">
        <v>28</v>
      </c>
      <c r="I423" s="2" t="s">
        <v>1962</v>
      </c>
      <c r="J423" s="2" t="s">
        <v>1963</v>
      </c>
      <c r="K423" s="12">
        <v>0.03125</v>
      </c>
      <c r="L423" s="12"/>
      <c r="M423" s="13">
        <f>CRF_3[[#This Row],[Time Spent on Configuration]]+CRF_3[[#This Row],[Time Spent on Review/Testing]]</f>
        <v>NaN</v>
      </c>
      <c r="O423" s="1" t="s">
        <v>31</v>
      </c>
      <c r="Q423" s="1" t="s">
        <v>484</v>
      </c>
      <c r="R423" s="11">
        <v>43948</v>
      </c>
      <c r="S423" s="1">
        <v>5</v>
      </c>
      <c r="U423" s="48"/>
    </row>
    <row r="424" ht="30" customHeight="1" spans="1:21" x14ac:dyDescent="0.25">
      <c r="A424" s="1" t="s">
        <v>3624</v>
      </c>
      <c r="B424" s="1">
        <v>2020</v>
      </c>
      <c r="C424" s="2" t="s">
        <v>1635</v>
      </c>
      <c r="D424" s="1" t="s">
        <v>186</v>
      </c>
      <c r="E424" s="1">
        <v>212831</v>
      </c>
      <c r="F424" s="1" t="s">
        <v>37</v>
      </c>
      <c r="G424" s="11">
        <v>43950</v>
      </c>
      <c r="H424" s="14" t="s">
        <v>28</v>
      </c>
      <c r="I424" s="2" t="s">
        <v>1965</v>
      </c>
      <c r="J424" s="2" t="s">
        <v>1966</v>
      </c>
      <c r="K424" s="12">
        <v>0.041666666667879326</v>
      </c>
      <c r="L424" s="12"/>
      <c r="M424" s="13">
        <f>CRF_3[[#This Row],[Time Spent on Configuration]]+CRF_3[[#This Row],[Time Spent on Review/Testing]]</f>
        <v>NaN</v>
      </c>
      <c r="O424" s="1" t="s">
        <v>574</v>
      </c>
      <c r="Q424" s="1" t="s">
        <v>488</v>
      </c>
      <c r="R424" s="11">
        <v>43951</v>
      </c>
      <c r="S424" s="1">
        <v>5</v>
      </c>
      <c r="U424" s="48"/>
    </row>
    <row r="425" spans="1:21" x14ac:dyDescent="0.25">
      <c r="A425" s="1" t="s">
        <v>3646</v>
      </c>
      <c r="B425" s="1">
        <v>2020</v>
      </c>
      <c r="C425" s="2" t="s">
        <v>525</v>
      </c>
      <c r="D425" s="1" t="s">
        <v>25</v>
      </c>
      <c r="E425" s="1">
        <v>212992</v>
      </c>
      <c r="F425" s="1" t="s">
        <v>952</v>
      </c>
      <c r="G425" s="11">
        <v>43953</v>
      </c>
      <c r="H425" s="14" t="s">
        <v>28</v>
      </c>
      <c r="I425" s="2" t="s">
        <v>1969</v>
      </c>
      <c r="J425" s="2" t="s">
        <v>1970</v>
      </c>
      <c r="K425" s="12">
        <v>0.041666666667879326</v>
      </c>
      <c r="L425" s="12">
        <v>0.06944444444525288</v>
      </c>
      <c r="M425" s="13">
        <f>CRF_3[[#This Row],[Time Spent on Configuration]]+CRF_3[[#This Row],[Time Spent on Review/Testing]]</f>
        <v>NaN</v>
      </c>
      <c r="O425" s="1" t="s">
        <v>53</v>
      </c>
      <c r="P425" s="1" t="s">
        <v>483</v>
      </c>
      <c r="Q425" s="1" t="s">
        <v>484</v>
      </c>
      <c r="R425" s="11">
        <v>43953</v>
      </c>
      <c r="S425" s="1">
        <v>5</v>
      </c>
      <c r="U425" s="48"/>
    </row>
    <row r="426" ht="30" customHeight="1" spans="1:21" x14ac:dyDescent="0.25">
      <c r="A426" s="1" t="s">
        <v>3646</v>
      </c>
      <c r="B426" s="1">
        <v>2020</v>
      </c>
      <c r="C426" s="2" t="s">
        <v>1451</v>
      </c>
      <c r="D426" s="1" t="s">
        <v>287</v>
      </c>
      <c r="E426" s="1">
        <v>211346</v>
      </c>
      <c r="F426" s="1" t="s">
        <v>952</v>
      </c>
      <c r="G426" s="11">
        <v>43963</v>
      </c>
      <c r="H426" s="14" t="s">
        <v>50</v>
      </c>
      <c r="I426" s="2" t="s">
        <v>1972</v>
      </c>
      <c r="J426" s="2" t="s">
        <v>1973</v>
      </c>
      <c r="K426" s="12">
        <v>0.052083333332120674</v>
      </c>
      <c r="L426" s="12"/>
      <c r="M426" s="13">
        <f>CRF_3[[#This Row],[Time Spent on Configuration]]+CRF_3[[#This Row],[Time Spent on Review/Testing]]</f>
        <v>NaN</v>
      </c>
      <c r="O426" s="1" t="s">
        <v>31</v>
      </c>
      <c r="Q426" s="1" t="s">
        <v>484</v>
      </c>
      <c r="R426" s="11">
        <v>43963</v>
      </c>
      <c r="S426" s="1">
        <v>5</v>
      </c>
      <c r="U426" s="48"/>
    </row>
    <row r="427" ht="30" customHeight="1" spans="1:21" x14ac:dyDescent="0.25">
      <c r="A427" s="1" t="s">
        <v>3646</v>
      </c>
      <c r="B427" s="1">
        <v>2020</v>
      </c>
      <c r="C427" s="2" t="s">
        <v>1635</v>
      </c>
      <c r="D427" s="1" t="s">
        <v>186</v>
      </c>
      <c r="E427" s="1">
        <v>203677</v>
      </c>
      <c r="F427" s="1" t="s">
        <v>37</v>
      </c>
      <c r="G427" s="11">
        <v>43966</v>
      </c>
      <c r="H427" s="14" t="s">
        <v>28</v>
      </c>
      <c r="I427" s="2" t="s">
        <v>1975</v>
      </c>
      <c r="J427" s="2" t="s">
        <v>1976</v>
      </c>
      <c r="K427" s="12">
        <v>0.03125</v>
      </c>
      <c r="L427" s="12">
        <v>0.06597222222262644</v>
      </c>
      <c r="M427" s="13">
        <f>CRF_3[[#This Row],[Time Spent on Configuration]]+CRF_3[[#This Row],[Time Spent on Review/Testing]]</f>
        <v>NaN</v>
      </c>
      <c r="O427" s="1" t="s">
        <v>574</v>
      </c>
      <c r="P427" s="1" t="s">
        <v>483</v>
      </c>
      <c r="Q427" s="1" t="s">
        <v>488</v>
      </c>
      <c r="R427" s="11">
        <v>43966</v>
      </c>
      <c r="S427" s="1">
        <v>5</v>
      </c>
      <c r="U427" s="48"/>
    </row>
    <row r="428" ht="30" customHeight="1" spans="1:21" x14ac:dyDescent="0.25">
      <c r="A428" s="1" t="s">
        <v>3646</v>
      </c>
      <c r="B428" s="1">
        <v>2020</v>
      </c>
      <c r="C428" s="2" t="s">
        <v>113</v>
      </c>
      <c r="D428" s="1" t="s">
        <v>25</v>
      </c>
      <c r="E428" s="1">
        <v>213533</v>
      </c>
      <c r="F428" s="1" t="s">
        <v>27</v>
      </c>
      <c r="G428" s="11">
        <v>43966</v>
      </c>
      <c r="H428" s="14" t="s">
        <v>28</v>
      </c>
      <c r="I428" s="2" t="s">
        <v>1978</v>
      </c>
      <c r="J428" s="2" t="s">
        <v>1979</v>
      </c>
      <c r="K428" s="12">
        <v>0.041666666667879326</v>
      </c>
      <c r="L428" s="12">
        <v>0.0625</v>
      </c>
      <c r="M428" s="13">
        <f>CRF_3[[#This Row],[Time Spent on Configuration]]+CRF_3[[#This Row],[Time Spent on Review/Testing]]</f>
        <v>NaN</v>
      </c>
      <c r="O428" s="1" t="s">
        <v>31</v>
      </c>
      <c r="P428" s="1" t="s">
        <v>483</v>
      </c>
      <c r="Q428" s="1" t="s">
        <v>484</v>
      </c>
      <c r="R428" s="11">
        <v>43966</v>
      </c>
      <c r="S428" s="1">
        <v>5</v>
      </c>
      <c r="U428" s="48"/>
    </row>
    <row r="429" ht="30" customHeight="1" spans="1:21" x14ac:dyDescent="0.25">
      <c r="A429" s="1" t="s">
        <v>3646</v>
      </c>
      <c r="B429" s="1">
        <v>2020</v>
      </c>
      <c r="C429" s="2" t="s">
        <v>1012</v>
      </c>
      <c r="D429" s="1" t="s">
        <v>25</v>
      </c>
      <c r="E429" s="1">
        <v>210003</v>
      </c>
      <c r="F429" s="1" t="s">
        <v>27</v>
      </c>
      <c r="G429" s="11">
        <v>43970</v>
      </c>
      <c r="H429" s="14" t="s">
        <v>38</v>
      </c>
      <c r="I429" s="2" t="s">
        <v>1981</v>
      </c>
      <c r="J429" s="2" t="s">
        <v>1981</v>
      </c>
      <c r="K429" s="12">
        <v>0.11527777777882875</v>
      </c>
      <c r="L429" s="12"/>
      <c r="M429" s="13">
        <f>CRF_3[[#This Row],[Time Spent on Configuration]]+CRF_3[[#This Row],[Time Spent on Review/Testing]]</f>
        <v>NaN</v>
      </c>
      <c r="O429" s="1" t="s">
        <v>31</v>
      </c>
      <c r="Q429" s="1" t="s">
        <v>488</v>
      </c>
      <c r="R429" s="11">
        <v>43970</v>
      </c>
      <c r="S429" s="1">
        <v>5</v>
      </c>
      <c r="U429" s="48"/>
    </row>
    <row r="430" ht="60" customHeight="1" spans="1:21" x14ac:dyDescent="0.25">
      <c r="A430" s="1" t="s">
        <v>3646</v>
      </c>
      <c r="B430" s="1">
        <v>2020</v>
      </c>
      <c r="C430" s="2" t="s">
        <v>1635</v>
      </c>
      <c r="D430" s="1" t="s">
        <v>186</v>
      </c>
      <c r="E430" s="1">
        <v>200431</v>
      </c>
      <c r="F430" s="1" t="s">
        <v>27</v>
      </c>
      <c r="G430" s="11">
        <v>43972</v>
      </c>
      <c r="H430" s="14" t="s">
        <v>38</v>
      </c>
      <c r="I430" s="2" t="s">
        <v>1983</v>
      </c>
      <c r="J430" s="2" t="s">
        <v>4146</v>
      </c>
      <c r="K430" s="12">
        <v>0.052083333332120674</v>
      </c>
      <c r="L430" s="12">
        <v>0.03125</v>
      </c>
      <c r="M430" s="13">
        <f>CRF_3[[#This Row],[Time Spent on Configuration]]+CRF_3[[#This Row],[Time Spent on Review/Testing]]</f>
        <v>NaN</v>
      </c>
      <c r="O430" s="1" t="s">
        <v>31</v>
      </c>
      <c r="P430" s="1" t="s">
        <v>483</v>
      </c>
      <c r="Q430" s="1" t="s">
        <v>488</v>
      </c>
      <c r="R430" s="11">
        <v>43972</v>
      </c>
      <c r="S430" s="1">
        <v>5</v>
      </c>
      <c r="U430" s="48"/>
    </row>
    <row r="431" spans="1:21" x14ac:dyDescent="0.25">
      <c r="A431" s="1" t="s">
        <v>3646</v>
      </c>
      <c r="B431" s="1">
        <v>2020</v>
      </c>
      <c r="C431" s="2" t="s">
        <v>796</v>
      </c>
      <c r="D431" s="1" t="s">
        <v>285</v>
      </c>
      <c r="E431" s="1">
        <v>214310</v>
      </c>
      <c r="F431" s="1" t="s">
        <v>27</v>
      </c>
      <c r="G431" s="11">
        <v>43973</v>
      </c>
      <c r="H431" s="14" t="s">
        <v>28</v>
      </c>
      <c r="I431" s="2" t="s">
        <v>1986</v>
      </c>
      <c r="J431" s="2" t="s">
        <v>1987</v>
      </c>
      <c r="K431" s="12">
        <v>0.03125</v>
      </c>
      <c r="L431" s="12">
        <v>0.0625</v>
      </c>
      <c r="M431" s="13">
        <f>CRF_3[[#This Row],[Time Spent on Configuration]]+CRF_3[[#This Row],[Time Spent on Review/Testing]]</f>
        <v>NaN</v>
      </c>
      <c r="O431" s="1" t="s">
        <v>31</v>
      </c>
      <c r="P431" s="1" t="s">
        <v>483</v>
      </c>
      <c r="Q431" s="1" t="s">
        <v>484</v>
      </c>
      <c r="R431" s="11">
        <v>43973</v>
      </c>
      <c r="S431" s="1">
        <v>5</v>
      </c>
      <c r="U431" s="48"/>
    </row>
    <row r="432" ht="30" customHeight="1" spans="1:21" x14ac:dyDescent="0.25">
      <c r="A432" s="1" t="s">
        <v>3646</v>
      </c>
      <c r="B432" s="1">
        <v>2020</v>
      </c>
      <c r="C432" s="2" t="s">
        <v>288</v>
      </c>
      <c r="D432" s="1" t="s">
        <v>25</v>
      </c>
      <c r="E432" s="1">
        <v>193234</v>
      </c>
      <c r="F432" s="1" t="s">
        <v>27</v>
      </c>
      <c r="G432" s="11">
        <v>43980</v>
      </c>
      <c r="H432" s="14" t="s">
        <v>38</v>
      </c>
      <c r="I432" s="2" t="s">
        <v>1988</v>
      </c>
      <c r="J432" s="2" t="s">
        <v>1989</v>
      </c>
      <c r="K432" s="12">
        <v>0.010416666667879326</v>
      </c>
      <c r="L432" s="12">
        <v>0.027777777777373558</v>
      </c>
      <c r="M432" s="13">
        <f>CRF_3[[#This Row],[Time Spent on Configuration]]+CRF_3[[#This Row],[Time Spent on Review/Testing]]</f>
        <v>NaN</v>
      </c>
      <c r="O432" s="1" t="s">
        <v>31</v>
      </c>
      <c r="P432" s="1" t="s">
        <v>483</v>
      </c>
      <c r="Q432" s="1" t="s">
        <v>488</v>
      </c>
      <c r="R432" s="11">
        <v>43981</v>
      </c>
      <c r="S432" s="1">
        <v>5</v>
      </c>
      <c r="U432" s="48"/>
    </row>
    <row r="433" spans="1:21" x14ac:dyDescent="0.25">
      <c r="A433" s="1" t="s">
        <v>3646</v>
      </c>
      <c r="B433" s="1">
        <v>2020</v>
      </c>
      <c r="C433" s="2" t="s">
        <v>796</v>
      </c>
      <c r="D433" s="1" t="s">
        <v>285</v>
      </c>
      <c r="E433" s="1">
        <v>213193</v>
      </c>
      <c r="F433" s="1" t="s">
        <v>27</v>
      </c>
      <c r="G433" s="11">
        <v>43979</v>
      </c>
      <c r="H433" s="14" t="s">
        <v>38</v>
      </c>
      <c r="I433" s="2" t="s">
        <v>1991</v>
      </c>
      <c r="J433" s="2" t="s">
        <v>1992</v>
      </c>
      <c r="K433" s="12">
        <v>0.08333333333212067</v>
      </c>
      <c r="L433" s="12">
        <v>0.0625</v>
      </c>
      <c r="M433" s="13">
        <f>CRF_3[[#This Row],[Time Spent on Configuration]]+CRF_3[[#This Row],[Time Spent on Review/Testing]]</f>
        <v>NaN</v>
      </c>
      <c r="O433" s="1" t="s">
        <v>574</v>
      </c>
      <c r="P433" s="1" t="s">
        <v>483</v>
      </c>
      <c r="Q433" s="1" t="s">
        <v>484</v>
      </c>
      <c r="R433" s="11">
        <v>43980</v>
      </c>
      <c r="S433" s="1">
        <v>5</v>
      </c>
      <c r="U433" s="48"/>
    </row>
    <row r="434" ht="30" customHeight="1" spans="1:21" x14ac:dyDescent="0.25">
      <c r="A434" s="1" t="s">
        <v>3663</v>
      </c>
      <c r="B434" s="1">
        <v>2020</v>
      </c>
      <c r="C434" s="2" t="s">
        <v>288</v>
      </c>
      <c r="D434" s="1" t="s">
        <v>25</v>
      </c>
      <c r="E434" s="1">
        <v>215703</v>
      </c>
      <c r="F434" s="1" t="s">
        <v>37</v>
      </c>
      <c r="G434" s="11">
        <v>43984</v>
      </c>
      <c r="H434" s="14" t="s">
        <v>255</v>
      </c>
      <c r="I434" s="2" t="s">
        <v>1995</v>
      </c>
      <c r="J434" s="2" t="s">
        <v>1996</v>
      </c>
      <c r="K434" s="12">
        <v>0.03125</v>
      </c>
      <c r="L434" s="12">
        <v>0.055555555554747116</v>
      </c>
      <c r="M434" s="13">
        <f>CRF_3[[#This Row],[Time Spent on Configuration]]+CRF_3[[#This Row],[Time Spent on Review/Testing]]</f>
        <v>NaN</v>
      </c>
      <c r="O434" s="1" t="s">
        <v>31</v>
      </c>
      <c r="P434" s="1" t="s">
        <v>483</v>
      </c>
      <c r="Q434" s="1" t="s">
        <v>488</v>
      </c>
      <c r="R434" s="11">
        <v>43984</v>
      </c>
      <c r="S434" s="1">
        <v>5</v>
      </c>
      <c r="U434" s="48"/>
    </row>
    <row r="435" ht="30" customHeight="1" spans="1:21" x14ac:dyDescent="0.25">
      <c r="A435" s="1" t="s">
        <v>3663</v>
      </c>
      <c r="B435" s="1">
        <v>2020</v>
      </c>
      <c r="C435" s="2" t="s">
        <v>1603</v>
      </c>
      <c r="D435" s="1" t="s">
        <v>186</v>
      </c>
      <c r="E435" s="1">
        <v>215207</v>
      </c>
      <c r="F435" s="1" t="s">
        <v>27</v>
      </c>
      <c r="G435" s="11">
        <v>43985</v>
      </c>
      <c r="H435" s="14" t="s">
        <v>28</v>
      </c>
      <c r="I435" s="2" t="s">
        <v>1998</v>
      </c>
      <c r="J435" s="2" t="s">
        <v>1999</v>
      </c>
      <c r="K435" s="12">
        <v>0.03125</v>
      </c>
      <c r="L435" s="12">
        <v>0.06944444444525288</v>
      </c>
      <c r="M435" s="13">
        <f>CRF_3[[#This Row],[Time Spent on Configuration]]+CRF_3[[#This Row],[Time Spent on Review/Testing]]</f>
        <v>NaN</v>
      </c>
      <c r="N435" s="1">
        <v>0</v>
      </c>
      <c r="O435" s="1" t="s">
        <v>53</v>
      </c>
      <c r="P435" s="1" t="s">
        <v>483</v>
      </c>
      <c r="Q435" s="1" t="s">
        <v>488</v>
      </c>
      <c r="R435" s="11">
        <v>43985</v>
      </c>
      <c r="S435" s="1">
        <v>5</v>
      </c>
      <c r="U435" s="48"/>
    </row>
    <row r="436" ht="30" customHeight="1" spans="1:21" x14ac:dyDescent="0.25">
      <c r="A436" s="1" t="s">
        <v>3663</v>
      </c>
      <c r="B436" s="1">
        <v>2020</v>
      </c>
      <c r="C436" s="2" t="s">
        <v>1012</v>
      </c>
      <c r="D436" s="1" t="s">
        <v>25</v>
      </c>
      <c r="E436" s="1">
        <v>216357</v>
      </c>
      <c r="F436" s="1" t="s">
        <v>37</v>
      </c>
      <c r="G436" s="11">
        <v>43985</v>
      </c>
      <c r="H436" s="14" t="s">
        <v>28</v>
      </c>
      <c r="I436" s="2" t="s">
        <v>2001</v>
      </c>
      <c r="J436" s="2" t="s">
        <v>2002</v>
      </c>
      <c r="K436" s="12">
        <v>0.03125</v>
      </c>
      <c r="L436" s="12">
        <v>0.052083333332120674</v>
      </c>
      <c r="M436" s="13">
        <f>CRF_3[[#This Row],[Time Spent on Configuration]]+CRF_3[[#This Row],[Time Spent on Review/Testing]]</f>
        <v>NaN</v>
      </c>
      <c r="O436" s="1" t="s">
        <v>31</v>
      </c>
      <c r="P436" s="1" t="s">
        <v>483</v>
      </c>
      <c r="Q436" s="1" t="s">
        <v>488</v>
      </c>
      <c r="R436" s="11">
        <v>43985</v>
      </c>
      <c r="S436" s="1">
        <v>5</v>
      </c>
      <c r="U436" s="48"/>
    </row>
    <row r="437" spans="1:21" x14ac:dyDescent="0.25">
      <c r="A437" s="1" t="s">
        <v>3663</v>
      </c>
      <c r="B437" s="1">
        <v>2020</v>
      </c>
      <c r="C437" s="2" t="s">
        <v>796</v>
      </c>
      <c r="D437" s="1" t="s">
        <v>285</v>
      </c>
      <c r="E437" s="1">
        <v>213525</v>
      </c>
      <c r="F437" s="1" t="s">
        <v>27</v>
      </c>
      <c r="G437" s="11">
        <v>43985</v>
      </c>
      <c r="H437" s="14" t="s">
        <v>28</v>
      </c>
      <c r="I437" s="2" t="s">
        <v>2004</v>
      </c>
      <c r="J437" s="2" t="s">
        <v>2005</v>
      </c>
      <c r="K437" s="12">
        <v>0.03125</v>
      </c>
      <c r="L437" s="12">
        <v>0.06597222222262644</v>
      </c>
      <c r="M437" s="13">
        <f>CRF_3[[#This Row],[Time Spent on Configuration]]+CRF_3[[#This Row],[Time Spent on Review/Testing]]</f>
        <v>NaN</v>
      </c>
      <c r="N437" s="1">
        <v>0</v>
      </c>
      <c r="O437" s="1" t="s">
        <v>53</v>
      </c>
      <c r="P437" s="1" t="s">
        <v>483</v>
      </c>
      <c r="Q437" s="1" t="s">
        <v>484</v>
      </c>
      <c r="R437" s="11">
        <v>43985</v>
      </c>
      <c r="S437" s="1">
        <v>5</v>
      </c>
      <c r="U437" s="48"/>
    </row>
    <row r="438" ht="30" customHeight="1" spans="1:21" x14ac:dyDescent="0.25">
      <c r="A438" s="1" t="s">
        <v>3663</v>
      </c>
      <c r="B438" s="1">
        <v>2020</v>
      </c>
      <c r="C438" s="2" t="s">
        <v>1012</v>
      </c>
      <c r="D438" s="1" t="s">
        <v>25</v>
      </c>
      <c r="E438" s="1">
        <v>214096</v>
      </c>
      <c r="F438" s="1" t="s">
        <v>27</v>
      </c>
      <c r="G438" s="11">
        <v>43986</v>
      </c>
      <c r="H438" s="14" t="s">
        <v>28</v>
      </c>
      <c r="I438" s="2" t="s">
        <v>2007</v>
      </c>
      <c r="J438" s="2" t="s">
        <v>2008</v>
      </c>
      <c r="K438" s="12">
        <v>0.03125</v>
      </c>
      <c r="L438" s="12">
        <v>0.06944444444525288</v>
      </c>
      <c r="M438" s="13">
        <f>CRF_3[[#This Row],[Time Spent on Configuration]]+CRF_3[[#This Row],[Time Spent on Review/Testing]]</f>
        <v>NaN</v>
      </c>
      <c r="N438" s="1">
        <v>0</v>
      </c>
      <c r="O438" s="1" t="s">
        <v>53</v>
      </c>
      <c r="P438" s="1" t="s">
        <v>483</v>
      </c>
      <c r="Q438" s="1" t="s">
        <v>488</v>
      </c>
      <c r="R438" s="11">
        <v>43986</v>
      </c>
      <c r="S438" s="1">
        <v>4</v>
      </c>
      <c r="U438" s="48"/>
    </row>
    <row r="439" ht="30" customHeight="1" spans="1:21" x14ac:dyDescent="0.25">
      <c r="A439" s="1" t="s">
        <v>3663</v>
      </c>
      <c r="B439" s="1">
        <v>2020</v>
      </c>
      <c r="C439" s="2" t="s">
        <v>796</v>
      </c>
      <c r="D439" s="1" t="s">
        <v>285</v>
      </c>
      <c r="E439" s="1">
        <v>213525</v>
      </c>
      <c r="F439" s="1" t="s">
        <v>27</v>
      </c>
      <c r="G439" s="11">
        <v>43986</v>
      </c>
      <c r="H439" s="14" t="s">
        <v>28</v>
      </c>
      <c r="I439" s="2" t="s">
        <v>2009</v>
      </c>
      <c r="J439" s="2" t="s">
        <v>2010</v>
      </c>
      <c r="K439" s="12">
        <v>0.041666666667879326</v>
      </c>
      <c r="L439" s="12">
        <v>0.08333333333212067</v>
      </c>
      <c r="M439" s="13">
        <f>CRF_3[[#This Row],[Time Spent on Configuration]]+CRF_3[[#This Row],[Time Spent on Review/Testing]]</f>
        <v>NaN</v>
      </c>
      <c r="O439" s="1" t="s">
        <v>53</v>
      </c>
      <c r="P439" s="1" t="s">
        <v>483</v>
      </c>
      <c r="Q439" s="1" t="s">
        <v>484</v>
      </c>
      <c r="R439" s="11">
        <v>43986</v>
      </c>
      <c r="S439" s="1">
        <v>5</v>
      </c>
      <c r="U439" s="48"/>
    </row>
    <row r="440" spans="1:21" x14ac:dyDescent="0.25">
      <c r="A440" s="1" t="s">
        <v>3663</v>
      </c>
      <c r="B440" s="1">
        <v>2020</v>
      </c>
      <c r="C440" s="2" t="s">
        <v>35</v>
      </c>
      <c r="D440" s="1" t="s">
        <v>25</v>
      </c>
      <c r="E440" s="1">
        <v>216720</v>
      </c>
      <c r="F440" s="1" t="s">
        <v>27</v>
      </c>
      <c r="G440" s="11">
        <v>43991</v>
      </c>
      <c r="H440" s="14" t="s">
        <v>28</v>
      </c>
      <c r="I440" s="2" t="s">
        <v>2012</v>
      </c>
      <c r="J440" s="2" t="s">
        <v>2012</v>
      </c>
      <c r="K440" s="12">
        <v>0.06944444444525288</v>
      </c>
      <c r="L440" s="12">
        <v>0.10069444444525288</v>
      </c>
      <c r="M440" s="13">
        <f>CRF_3[[#This Row],[Time Spent on Configuration]]+CRF_3[[#This Row],[Time Spent on Review/Testing]]</f>
        <v>NaN</v>
      </c>
      <c r="O440" s="1" t="s">
        <v>574</v>
      </c>
      <c r="P440" s="1" t="s">
        <v>483</v>
      </c>
      <c r="Q440" s="1" t="s">
        <v>488</v>
      </c>
      <c r="R440" s="11">
        <v>43991</v>
      </c>
      <c r="S440" s="1">
        <v>5</v>
      </c>
      <c r="U440" s="48"/>
    </row>
    <row r="441" ht="30" customHeight="1" spans="1:21" x14ac:dyDescent="0.25">
      <c r="A441" s="1" t="s">
        <v>3663</v>
      </c>
      <c r="B441" s="1">
        <v>2020</v>
      </c>
      <c r="C441" s="2" t="s">
        <v>1212</v>
      </c>
      <c r="D441" s="1" t="s">
        <v>25</v>
      </c>
      <c r="E441" s="1">
        <v>217184</v>
      </c>
      <c r="F441" s="1" t="s">
        <v>27</v>
      </c>
      <c r="G441" s="11">
        <v>43995</v>
      </c>
      <c r="H441" s="14" t="s">
        <v>38</v>
      </c>
      <c r="I441" s="2" t="s">
        <v>2014</v>
      </c>
      <c r="J441" s="2" t="s">
        <v>2015</v>
      </c>
      <c r="K441" s="12">
        <v>0.052083333332120674</v>
      </c>
      <c r="L441" s="12">
        <v>0.027777777777373558</v>
      </c>
      <c r="M441" s="13">
        <f>CRF_3[[#This Row],[Time Spent on Configuration]]+CRF_3[[#This Row],[Time Spent on Review/Testing]]</f>
        <v>NaN</v>
      </c>
      <c r="O441" s="1" t="s">
        <v>31</v>
      </c>
      <c r="P441" s="1" t="s">
        <v>483</v>
      </c>
      <c r="Q441" s="1" t="s">
        <v>488</v>
      </c>
      <c r="R441" s="11">
        <v>43995</v>
      </c>
      <c r="S441" s="1">
        <v>5</v>
      </c>
      <c r="U441" s="48"/>
    </row>
    <row r="442" ht="30" customHeight="1" spans="1:21" x14ac:dyDescent="0.25">
      <c r="A442" s="1" t="s">
        <v>3663</v>
      </c>
      <c r="B442" s="1">
        <v>2020</v>
      </c>
      <c r="C442" s="2" t="s">
        <v>1603</v>
      </c>
      <c r="D442" s="1" t="s">
        <v>186</v>
      </c>
      <c r="E442" s="1">
        <v>217168</v>
      </c>
      <c r="F442" s="1" t="s">
        <v>37</v>
      </c>
      <c r="G442" s="11">
        <v>43998</v>
      </c>
      <c r="H442" s="14" t="s">
        <v>38</v>
      </c>
      <c r="I442" s="2" t="s">
        <v>2017</v>
      </c>
      <c r="J442" s="2" t="s">
        <v>4147</v>
      </c>
      <c r="K442" s="12">
        <v>0.03125</v>
      </c>
      <c r="L442" s="12">
        <v>0.03472222222262644</v>
      </c>
      <c r="M442" s="13">
        <f>CRF_3[[#This Row],[Time Spent on Configuration]]+CRF_3[[#This Row],[Time Spent on Review/Testing]]</f>
        <v>NaN</v>
      </c>
      <c r="O442" s="1" t="s">
        <v>31</v>
      </c>
      <c r="P442" s="1" t="s">
        <v>483</v>
      </c>
      <c r="Q442" s="1" t="s">
        <v>488</v>
      </c>
      <c r="R442" s="11">
        <v>43998</v>
      </c>
      <c r="S442" s="1">
        <v>5</v>
      </c>
      <c r="U442" s="48"/>
    </row>
    <row r="443" spans="1:21" x14ac:dyDescent="0.25">
      <c r="A443" s="1" t="s">
        <v>3663</v>
      </c>
      <c r="B443" s="1">
        <v>2020</v>
      </c>
      <c r="C443" s="2" t="s">
        <v>616</v>
      </c>
      <c r="D443" s="1" t="s">
        <v>617</v>
      </c>
      <c r="E443" s="1">
        <v>216661</v>
      </c>
      <c r="F443" s="1" t="s">
        <v>27</v>
      </c>
      <c r="G443" s="11">
        <v>43999</v>
      </c>
      <c r="H443" s="14" t="s">
        <v>38</v>
      </c>
      <c r="I443" s="2" t="s">
        <v>2020</v>
      </c>
      <c r="J443" s="2" t="s">
        <v>4148</v>
      </c>
      <c r="K443" s="12">
        <v>0.03125</v>
      </c>
      <c r="L443" s="12"/>
      <c r="M443" s="13">
        <f>CRF_3[[#This Row],[Time Spent on Configuration]]+CRF_3[[#This Row],[Time Spent on Review/Testing]]</f>
        <v>NaN</v>
      </c>
      <c r="O443" s="1" t="s">
        <v>54</v>
      </c>
      <c r="Q443" s="1" t="s">
        <v>2022</v>
      </c>
      <c r="R443" s="11">
        <v>43999</v>
      </c>
      <c r="S443" s="1">
        <v>5</v>
      </c>
      <c r="U443" s="48"/>
    </row>
    <row r="444" ht="30" customHeight="1" spans="1:21" x14ac:dyDescent="0.25">
      <c r="A444" s="1" t="s">
        <v>3663</v>
      </c>
      <c r="B444" s="1">
        <v>2020</v>
      </c>
      <c r="C444" s="2" t="s">
        <v>1212</v>
      </c>
      <c r="D444" s="1" t="s">
        <v>25</v>
      </c>
      <c r="E444" s="1">
        <v>217669</v>
      </c>
      <c r="F444" s="1" t="s">
        <v>37</v>
      </c>
      <c r="G444" s="11">
        <v>44000</v>
      </c>
      <c r="H444" s="14" t="s">
        <v>953</v>
      </c>
      <c r="I444" s="59" t="s">
        <v>2024</v>
      </c>
      <c r="J444" s="2" t="s">
        <v>2025</v>
      </c>
      <c r="K444" s="12">
        <v>0.010416666667879326</v>
      </c>
      <c r="L444" s="12">
        <v>0.013888888890505768</v>
      </c>
      <c r="M444" s="13">
        <f>CRF_3[[#This Row],[Time Spent on Configuration]]+CRF_3[[#This Row],[Time Spent on Review/Testing]]</f>
        <v>NaN</v>
      </c>
      <c r="O444" s="1" t="s">
        <v>31</v>
      </c>
      <c r="P444" s="1" t="s">
        <v>483</v>
      </c>
      <c r="Q444" s="1" t="s">
        <v>488</v>
      </c>
      <c r="R444" s="11">
        <v>44000</v>
      </c>
      <c r="S444" s="1">
        <v>5</v>
      </c>
      <c r="U444" s="48"/>
    </row>
    <row r="445" spans="1:21" x14ac:dyDescent="0.25">
      <c r="A445" s="1" t="s">
        <v>3663</v>
      </c>
      <c r="B445" s="1">
        <v>2020</v>
      </c>
      <c r="C445" s="2" t="s">
        <v>489</v>
      </c>
      <c r="D445" s="1" t="s">
        <v>490</v>
      </c>
      <c r="E445" s="1">
        <v>217274</v>
      </c>
      <c r="F445" s="1" t="s">
        <v>27</v>
      </c>
      <c r="G445" s="11">
        <v>44001</v>
      </c>
      <c r="H445" s="14" t="s">
        <v>38</v>
      </c>
      <c r="I445" s="2" t="s">
        <v>4149</v>
      </c>
      <c r="J445" s="2" t="s">
        <v>2028</v>
      </c>
      <c r="K445" s="12">
        <v>0.041666666667879326</v>
      </c>
      <c r="L445" s="12">
        <v>0.013888888890505768</v>
      </c>
      <c r="M445" s="13">
        <f>CRF_3[[#This Row],[Time Spent on Configuration]]+CRF_3[[#This Row],[Time Spent on Review/Testing]]</f>
        <v>NaN</v>
      </c>
      <c r="O445" s="1" t="s">
        <v>53</v>
      </c>
      <c r="P445" s="1" t="s">
        <v>483</v>
      </c>
      <c r="Q445" s="1" t="s">
        <v>42</v>
      </c>
      <c r="R445" s="11">
        <v>44001</v>
      </c>
      <c r="S445" s="1">
        <v>5</v>
      </c>
      <c r="U445" s="48"/>
    </row>
    <row r="446" ht="60" customHeight="1" spans="1:21" x14ac:dyDescent="0.25">
      <c r="A446" s="1" t="s">
        <v>3663</v>
      </c>
      <c r="B446" s="1">
        <v>2020</v>
      </c>
      <c r="C446" s="2" t="s">
        <v>1635</v>
      </c>
      <c r="D446" s="1" t="s">
        <v>186</v>
      </c>
      <c r="E446" s="1">
        <v>200431</v>
      </c>
      <c r="F446" s="1" t="s">
        <v>27</v>
      </c>
      <c r="G446" s="11">
        <v>44001</v>
      </c>
      <c r="H446" s="14" t="s">
        <v>38</v>
      </c>
      <c r="I446" s="2" t="s">
        <v>1983</v>
      </c>
      <c r="J446" s="2" t="s">
        <v>4150</v>
      </c>
      <c r="K446" s="12">
        <v>0.041666666667879326</v>
      </c>
      <c r="L446" s="12"/>
      <c r="M446" s="13">
        <f>CRF_3[[#This Row],[Time Spent on Configuration]]+CRF_3[[#This Row],[Time Spent on Review/Testing]]</f>
        <v>NaN</v>
      </c>
      <c r="O446" s="1" t="s">
        <v>53</v>
      </c>
      <c r="P446" s="1" t="s">
        <v>503</v>
      </c>
      <c r="Q446" s="1" t="s">
        <v>488</v>
      </c>
      <c r="R446" s="11">
        <v>44001</v>
      </c>
      <c r="S446" s="1">
        <v>5</v>
      </c>
      <c r="U446" s="48"/>
    </row>
    <row r="447" ht="30" customHeight="1" spans="1:21" x14ac:dyDescent="0.25">
      <c r="A447" s="1" t="s">
        <v>3663</v>
      </c>
      <c r="B447" s="1">
        <v>2020</v>
      </c>
      <c r="C447" s="2" t="s">
        <v>616</v>
      </c>
      <c r="D447" s="1" t="s">
        <v>617</v>
      </c>
      <c r="E447" s="1">
        <v>213814</v>
      </c>
      <c r="F447" s="1" t="s">
        <v>27</v>
      </c>
      <c r="G447" s="11">
        <v>44001</v>
      </c>
      <c r="H447" s="14" t="s">
        <v>38</v>
      </c>
      <c r="I447" s="2" t="s">
        <v>2031</v>
      </c>
      <c r="J447" s="2" t="s">
        <v>2032</v>
      </c>
      <c r="K447" s="12">
        <v>0.03125</v>
      </c>
      <c r="L447" s="12"/>
      <c r="M447" s="13">
        <f>CRF_3[[#This Row],[Time Spent on Configuration]]+CRF_3[[#This Row],[Time Spent on Review/Testing]]</f>
        <v>NaN</v>
      </c>
      <c r="O447" s="1" t="s">
        <v>53</v>
      </c>
      <c r="P447" s="1" t="s">
        <v>503</v>
      </c>
      <c r="Q447" s="1" t="s">
        <v>484</v>
      </c>
      <c r="R447" s="11">
        <v>44001</v>
      </c>
      <c r="S447" s="1">
        <v>5</v>
      </c>
      <c r="U447" s="48"/>
    </row>
    <row r="448" ht="30" customHeight="1" spans="1:21" x14ac:dyDescent="0.25">
      <c r="A448" s="1" t="s">
        <v>3663</v>
      </c>
      <c r="B448" s="1">
        <v>2020</v>
      </c>
      <c r="C448" s="2" t="s">
        <v>219</v>
      </c>
      <c r="D448" s="1" t="s">
        <v>186</v>
      </c>
      <c r="E448" s="1">
        <v>217862</v>
      </c>
      <c r="F448" s="1" t="s">
        <v>37</v>
      </c>
      <c r="G448" s="11">
        <v>44004</v>
      </c>
      <c r="H448" s="14" t="s">
        <v>953</v>
      </c>
      <c r="I448" s="2" t="s">
        <v>2034</v>
      </c>
      <c r="J448" s="17" t="s">
        <v>2035</v>
      </c>
      <c r="K448" s="12">
        <v>0.010416666667879326</v>
      </c>
      <c r="L448" s="12">
        <v>0.01736111110949423</v>
      </c>
      <c r="M448" s="13">
        <f>CRF_3[[#This Row],[Time Spent on Configuration]]+CRF_3[[#This Row],[Time Spent on Review/Testing]]</f>
        <v>NaN</v>
      </c>
      <c r="O448" s="1" t="s">
        <v>31</v>
      </c>
      <c r="P448" s="1" t="s">
        <v>483</v>
      </c>
      <c r="Q448" s="1" t="s">
        <v>488</v>
      </c>
      <c r="R448" s="11">
        <v>44004</v>
      </c>
      <c r="S448" s="1">
        <v>5</v>
      </c>
      <c r="U448" s="48"/>
    </row>
    <row r="449" spans="1:21" x14ac:dyDescent="0.25">
      <c r="A449" s="1" t="s">
        <v>3663</v>
      </c>
      <c r="B449" s="1">
        <v>2020</v>
      </c>
      <c r="C449" s="2" t="s">
        <v>35</v>
      </c>
      <c r="D449" s="1" t="s">
        <v>25</v>
      </c>
      <c r="E449" s="1">
        <v>217885</v>
      </c>
      <c r="F449" s="1" t="s">
        <v>37</v>
      </c>
      <c r="G449" s="11">
        <v>44004</v>
      </c>
      <c r="H449" s="14" t="s">
        <v>38</v>
      </c>
      <c r="I449" s="2" t="s">
        <v>2037</v>
      </c>
      <c r="J449" s="2" t="s">
        <v>2038</v>
      </c>
      <c r="K449" s="12">
        <v>0.06597222222262644</v>
      </c>
      <c r="L449" s="12">
        <v>0.06944444444525288</v>
      </c>
      <c r="M449" s="13">
        <f>CRF_3[[#This Row],[Time Spent on Configuration]]+CRF_3[[#This Row],[Time Spent on Review/Testing]]</f>
        <v>NaN</v>
      </c>
      <c r="O449" s="1" t="s">
        <v>31</v>
      </c>
      <c r="P449" s="1" t="s">
        <v>483</v>
      </c>
      <c r="Q449" s="1" t="s">
        <v>42</v>
      </c>
      <c r="R449" s="11">
        <v>44005</v>
      </c>
      <c r="S449" s="1">
        <v>5</v>
      </c>
      <c r="U449" s="48"/>
    </row>
    <row r="450" spans="1:21" x14ac:dyDescent="0.25">
      <c r="A450" s="1" t="s">
        <v>3663</v>
      </c>
      <c r="B450" s="1">
        <v>2020</v>
      </c>
      <c r="C450" s="2" t="s">
        <v>796</v>
      </c>
      <c r="D450" s="1" t="s">
        <v>285</v>
      </c>
      <c r="E450" s="1">
        <v>217805</v>
      </c>
      <c r="F450" s="1" t="s">
        <v>37</v>
      </c>
      <c r="G450" s="11">
        <v>44005</v>
      </c>
      <c r="H450" s="11" t="s">
        <v>1952</v>
      </c>
      <c r="I450" s="2" t="s">
        <v>2040</v>
      </c>
      <c r="J450" s="2" t="s">
        <v>2041</v>
      </c>
      <c r="K450" s="12">
        <v>0.041666666667879326</v>
      </c>
      <c r="L450" s="12">
        <v>0.052083333332120674</v>
      </c>
      <c r="M450" s="13">
        <f>CRF_3[[#This Row],[Time Spent on Configuration]]+CRF_3[[#This Row],[Time Spent on Review/Testing]]</f>
        <v>NaN</v>
      </c>
      <c r="O450" s="1" t="s">
        <v>31</v>
      </c>
      <c r="P450" s="1" t="s">
        <v>483</v>
      </c>
      <c r="Q450" s="1" t="s">
        <v>484</v>
      </c>
      <c r="R450" s="11">
        <v>44005</v>
      </c>
      <c r="S450" s="1">
        <v>5</v>
      </c>
      <c r="U450" s="48"/>
    </row>
    <row r="451" ht="30" customHeight="1" spans="1:21" x14ac:dyDescent="0.25">
      <c r="A451" s="1" t="s">
        <v>3663</v>
      </c>
      <c r="B451" s="1">
        <v>2020</v>
      </c>
      <c r="C451" s="2" t="s">
        <v>35</v>
      </c>
      <c r="D451" s="1" t="s">
        <v>25</v>
      </c>
      <c r="E451" s="1">
        <v>217888</v>
      </c>
      <c r="F451" s="1" t="s">
        <v>27</v>
      </c>
      <c r="G451" s="11">
        <v>44006</v>
      </c>
      <c r="H451" s="14" t="s">
        <v>38</v>
      </c>
      <c r="I451" s="2" t="s">
        <v>2043</v>
      </c>
      <c r="J451" s="2" t="s">
        <v>2044</v>
      </c>
      <c r="K451" s="12">
        <v>0.013888888890505768</v>
      </c>
      <c r="L451" s="12">
        <v>0.024305555554747116</v>
      </c>
      <c r="M451" s="13">
        <f>CRF_3[[#This Row],[Time Spent on Configuration]]+CRF_3[[#This Row],[Time Spent on Review/Testing]]</f>
        <v>NaN</v>
      </c>
      <c r="O451" s="1" t="s">
        <v>31</v>
      </c>
      <c r="P451" s="1" t="s">
        <v>483</v>
      </c>
      <c r="Q451" s="1" t="s">
        <v>42</v>
      </c>
      <c r="R451" s="11">
        <v>44006</v>
      </c>
      <c r="S451" s="1">
        <v>5</v>
      </c>
      <c r="U451" s="48"/>
    </row>
    <row r="452" spans="1:21" x14ac:dyDescent="0.25">
      <c r="A452" s="1" t="s">
        <v>3663</v>
      </c>
      <c r="B452" s="1">
        <v>2020</v>
      </c>
      <c r="C452" s="2" t="s">
        <v>529</v>
      </c>
      <c r="D452" s="1" t="s">
        <v>1924</v>
      </c>
      <c r="E452" s="1">
        <v>218384</v>
      </c>
      <c r="F452" s="1" t="s">
        <v>27</v>
      </c>
      <c r="G452" s="11">
        <v>44012</v>
      </c>
      <c r="H452" s="14" t="s">
        <v>38</v>
      </c>
      <c r="I452" s="2" t="s">
        <v>2046</v>
      </c>
      <c r="J452" s="2" t="s">
        <v>2047</v>
      </c>
      <c r="K452" s="12">
        <v>0.041666666667879326</v>
      </c>
      <c r="L452" s="12">
        <v>0.041666666667879326</v>
      </c>
      <c r="M452" s="13">
        <f>CRF_3[[#This Row],[Time Spent on Configuration]]+CRF_3[[#This Row],[Time Spent on Review/Testing]]</f>
        <v>NaN</v>
      </c>
      <c r="O452" s="1" t="s">
        <v>54</v>
      </c>
      <c r="P452" s="1" t="s">
        <v>1570</v>
      </c>
      <c r="Q452" s="1" t="s">
        <v>488</v>
      </c>
      <c r="R452" s="11">
        <v>44012</v>
      </c>
      <c r="S452" s="1">
        <v>5</v>
      </c>
      <c r="T452" s="1" t="s">
        <v>2048</v>
      </c>
      <c r="U452" s="48"/>
    </row>
    <row r="453" spans="1:21" x14ac:dyDescent="0.25">
      <c r="A453" s="1" t="s">
        <v>3676</v>
      </c>
      <c r="B453" s="1">
        <v>2020</v>
      </c>
      <c r="C453" s="2" t="s">
        <v>1040</v>
      </c>
      <c r="D453" s="1" t="s">
        <v>1631</v>
      </c>
      <c r="E453" s="1">
        <v>218878</v>
      </c>
      <c r="F453" s="1" t="s">
        <v>27</v>
      </c>
      <c r="G453" s="11">
        <v>44013</v>
      </c>
      <c r="H453" s="14" t="s">
        <v>38</v>
      </c>
      <c r="I453" s="2" t="s">
        <v>2051</v>
      </c>
      <c r="J453" s="2" t="s">
        <v>2052</v>
      </c>
      <c r="K453" s="12">
        <v>0.020833333332120674</v>
      </c>
      <c r="L453" s="12">
        <v>0.027777777777373558</v>
      </c>
      <c r="M453" s="13">
        <f>CRF_3[[#This Row],[Time Spent on Configuration]]+CRF_3[[#This Row],[Time Spent on Review/Testing]]</f>
        <v>NaN</v>
      </c>
      <c r="O453" s="1" t="s">
        <v>53</v>
      </c>
      <c r="P453" s="1" t="s">
        <v>483</v>
      </c>
      <c r="Q453" s="1" t="s">
        <v>484</v>
      </c>
      <c r="R453" s="11">
        <v>44013</v>
      </c>
      <c r="S453" s="1">
        <v>5</v>
      </c>
      <c r="U453" s="48"/>
    </row>
    <row r="454" ht="60" customHeight="1" spans="1:21" x14ac:dyDescent="0.25">
      <c r="A454" s="1" t="s">
        <v>3676</v>
      </c>
      <c r="B454" s="1">
        <v>2020</v>
      </c>
      <c r="C454" s="2" t="s">
        <v>529</v>
      </c>
      <c r="D454" s="1" t="s">
        <v>1631</v>
      </c>
      <c r="E454" s="1">
        <v>219365</v>
      </c>
      <c r="F454" s="1" t="s">
        <v>27</v>
      </c>
      <c r="G454" s="11">
        <v>44019</v>
      </c>
      <c r="H454" s="14" t="s">
        <v>38</v>
      </c>
      <c r="I454" s="2" t="s">
        <v>4151</v>
      </c>
      <c r="J454" s="2" t="s">
        <v>4152</v>
      </c>
      <c r="K454" s="12">
        <v>0.020833333332120674</v>
      </c>
      <c r="L454" s="12">
        <v>0.06597222222262644</v>
      </c>
      <c r="M454" s="13">
        <f>CRF_3[[#This Row],[Time Spent on Configuration]]+CRF_3[[#This Row],[Time Spent on Review/Testing]]</f>
        <v>NaN</v>
      </c>
      <c r="O454" s="1" t="s">
        <v>53</v>
      </c>
      <c r="P454" s="1" t="s">
        <v>483</v>
      </c>
      <c r="Q454" s="1" t="s">
        <v>488</v>
      </c>
      <c r="R454" s="11">
        <v>44019</v>
      </c>
      <c r="S454" s="1">
        <v>5</v>
      </c>
      <c r="U454" s="48"/>
    </row>
    <row r="455" ht="180" customHeight="1" spans="1:21" x14ac:dyDescent="0.25">
      <c r="A455" s="1" t="s">
        <v>3676</v>
      </c>
      <c r="B455" s="1">
        <v>2020</v>
      </c>
      <c r="C455" s="2" t="s">
        <v>1012</v>
      </c>
      <c r="D455" s="1" t="s">
        <v>1631</v>
      </c>
      <c r="E455" s="1">
        <v>217876</v>
      </c>
      <c r="F455" s="1" t="s">
        <v>27</v>
      </c>
      <c r="G455" s="11">
        <v>44025</v>
      </c>
      <c r="H455" s="14" t="s">
        <v>38</v>
      </c>
      <c r="I455" s="2" t="s">
        <v>4153</v>
      </c>
      <c r="J455" s="2" t="s">
        <v>4154</v>
      </c>
      <c r="K455" s="12">
        <v>0.14583333333212067</v>
      </c>
      <c r="L455" s="12">
        <v>0.10416666666787933</v>
      </c>
      <c r="M455" s="13">
        <f>CRF_3[[#This Row],[Time Spent on Configuration]]+CRF_3[[#This Row],[Time Spent on Review/Testing]]</f>
        <v>NaN</v>
      </c>
      <c r="O455" s="1" t="s">
        <v>53</v>
      </c>
      <c r="P455" s="1" t="s">
        <v>483</v>
      </c>
      <c r="Q455" s="1" t="s">
        <v>488</v>
      </c>
      <c r="R455" s="11">
        <v>44025</v>
      </c>
      <c r="S455" s="1">
        <v>2</v>
      </c>
      <c r="U455" s="48"/>
    </row>
    <row r="456" ht="75" customHeight="1" spans="1:21" x14ac:dyDescent="0.25">
      <c r="A456" s="1" t="s">
        <v>3676</v>
      </c>
      <c r="B456" s="1">
        <v>2020</v>
      </c>
      <c r="C456" s="2" t="s">
        <v>1235</v>
      </c>
      <c r="D456" s="1" t="s">
        <v>1236</v>
      </c>
      <c r="E456" s="1">
        <v>218982</v>
      </c>
      <c r="F456" s="1" t="s">
        <v>37</v>
      </c>
      <c r="G456" s="11">
        <v>44027</v>
      </c>
      <c r="H456" s="14" t="s">
        <v>28</v>
      </c>
      <c r="I456" s="2" t="s">
        <v>2060</v>
      </c>
      <c r="J456" s="2" t="s">
        <v>4155</v>
      </c>
      <c r="K456" s="12">
        <v>0.020833333332120674</v>
      </c>
      <c r="L456" s="12">
        <v>0.06597222222262644</v>
      </c>
      <c r="M456" s="13">
        <f>CRF_3[[#This Row],[Time Spent on Configuration]]+CRF_3[[#This Row],[Time Spent on Review/Testing]]</f>
        <v>NaN</v>
      </c>
      <c r="O456" s="1" t="s">
        <v>31</v>
      </c>
      <c r="P456" s="1" t="s">
        <v>1570</v>
      </c>
      <c r="Q456" s="1" t="s">
        <v>42</v>
      </c>
      <c r="R456" s="11">
        <v>44027</v>
      </c>
      <c r="S456" s="1">
        <v>5</v>
      </c>
      <c r="U456" s="48"/>
    </row>
    <row r="457" ht="105" customHeight="1" spans="1:21" x14ac:dyDescent="0.25">
      <c r="A457" s="1" t="s">
        <v>3676</v>
      </c>
      <c r="B457" s="1">
        <v>2020</v>
      </c>
      <c r="C457" s="2" t="s">
        <v>525</v>
      </c>
      <c r="D457" s="1" t="s">
        <v>25</v>
      </c>
      <c r="E457" s="1">
        <v>212658</v>
      </c>
      <c r="F457" s="1" t="s">
        <v>27</v>
      </c>
      <c r="G457" s="11">
        <v>44027</v>
      </c>
      <c r="H457" s="14" t="s">
        <v>38</v>
      </c>
      <c r="I457" s="2" t="s">
        <v>2063</v>
      </c>
      <c r="J457" s="2" t="s">
        <v>4156</v>
      </c>
      <c r="K457" s="12">
        <v>0.11458333333212067</v>
      </c>
      <c r="L457" s="12">
        <v>0.055555555554747116</v>
      </c>
      <c r="M457" s="13">
        <f>CRF_3[[#This Row],[Time Spent on Configuration]]+CRF_3[[#This Row],[Time Spent on Review/Testing]]</f>
        <v>NaN</v>
      </c>
      <c r="O457" s="1" t="s">
        <v>31</v>
      </c>
      <c r="P457" s="1" t="s">
        <v>483</v>
      </c>
      <c r="Q457" s="1" t="s">
        <v>484</v>
      </c>
      <c r="R457" s="11">
        <v>44032</v>
      </c>
      <c r="S457" s="1">
        <v>5</v>
      </c>
      <c r="U457" s="48"/>
    </row>
    <row r="458" ht="375" customHeight="1" spans="1:21" x14ac:dyDescent="0.25">
      <c r="A458" s="1" t="s">
        <v>3676</v>
      </c>
      <c r="B458" s="1">
        <v>2020</v>
      </c>
      <c r="C458" s="2" t="s">
        <v>529</v>
      </c>
      <c r="D458" s="1" t="s">
        <v>186</v>
      </c>
      <c r="E458" s="1">
        <v>219417</v>
      </c>
      <c r="F458" s="1" t="s">
        <v>27</v>
      </c>
      <c r="G458" s="11">
        <v>44028</v>
      </c>
      <c r="H458" s="14" t="s">
        <v>28</v>
      </c>
      <c r="I458" s="2" t="s">
        <v>4157</v>
      </c>
      <c r="J458" s="2" t="s">
        <v>4158</v>
      </c>
      <c r="K458" s="12">
        <v>0.041666666667879326</v>
      </c>
      <c r="L458" s="12">
        <v>0.06944444444525288</v>
      </c>
      <c r="M458" s="13">
        <f>CRF_3[[#This Row],[Time Spent on Configuration]]+CRF_3[[#This Row],[Time Spent on Review/Testing]]</f>
        <v>NaN</v>
      </c>
      <c r="O458" s="1" t="s">
        <v>53</v>
      </c>
      <c r="P458" s="1" t="s">
        <v>483</v>
      </c>
      <c r="Q458" s="1" t="s">
        <v>488</v>
      </c>
      <c r="R458" s="11">
        <v>44028</v>
      </c>
      <c r="S458" s="1">
        <v>4</v>
      </c>
      <c r="U458" s="48"/>
    </row>
    <row r="459" spans="1:21" x14ac:dyDescent="0.25">
      <c r="A459" s="1" t="s">
        <v>3676</v>
      </c>
      <c r="B459" s="1">
        <v>2020</v>
      </c>
      <c r="C459" s="2" t="s">
        <v>525</v>
      </c>
      <c r="D459" s="1" t="s">
        <v>25</v>
      </c>
      <c r="E459" s="1" t="s">
        <v>503</v>
      </c>
      <c r="F459" s="1" t="s">
        <v>27</v>
      </c>
      <c r="G459" s="11">
        <v>44040</v>
      </c>
      <c r="H459" s="14" t="s">
        <v>133</v>
      </c>
      <c r="I459" s="2" t="s">
        <v>2068</v>
      </c>
      <c r="J459" s="2" t="s">
        <v>2069</v>
      </c>
      <c r="K459" s="12">
        <v>0.013888888890505768</v>
      </c>
      <c r="L459" s="12">
        <v>0.0625</v>
      </c>
      <c r="M459" s="13">
        <f>CRF_3[[#This Row],[Time Spent on Configuration]]+CRF_3[[#This Row],[Time Spent on Review/Testing]]</f>
        <v>NaN</v>
      </c>
      <c r="O459" s="1" t="s">
        <v>53</v>
      </c>
      <c r="P459" s="1" t="s">
        <v>483</v>
      </c>
      <c r="Q459" s="1" t="s">
        <v>484</v>
      </c>
      <c r="R459" s="11">
        <v>44040</v>
      </c>
      <c r="S459" s="1">
        <v>5</v>
      </c>
      <c r="U459" s="48"/>
    </row>
    <row r="460" spans="1:21" x14ac:dyDescent="0.25">
      <c r="A460" s="1" t="s">
        <v>3676</v>
      </c>
      <c r="B460" s="1">
        <v>2020</v>
      </c>
      <c r="C460" s="2" t="s">
        <v>99</v>
      </c>
      <c r="D460" s="1" t="s">
        <v>25</v>
      </c>
      <c r="E460" s="1" t="s">
        <v>503</v>
      </c>
      <c r="F460" s="1" t="s">
        <v>27</v>
      </c>
      <c r="G460" s="11">
        <v>44041</v>
      </c>
      <c r="H460" s="14" t="s">
        <v>28</v>
      </c>
      <c r="I460" s="2" t="s">
        <v>2070</v>
      </c>
      <c r="J460" s="2" t="s">
        <v>2071</v>
      </c>
      <c r="K460" s="12">
        <v>0.020833333332120674</v>
      </c>
      <c r="L460" s="12">
        <v>0.06944444444525288</v>
      </c>
      <c r="M460" s="13">
        <f>CRF_3[[#This Row],[Time Spent on Configuration]]+CRF_3[[#This Row],[Time Spent on Review/Testing]]</f>
        <v>NaN</v>
      </c>
      <c r="O460" s="1" t="s">
        <v>53</v>
      </c>
      <c r="P460" s="1" t="s">
        <v>483</v>
      </c>
      <c r="Q460" s="1" t="s">
        <v>484</v>
      </c>
      <c r="R460" s="11">
        <v>44041</v>
      </c>
      <c r="S460" s="1">
        <v>5</v>
      </c>
      <c r="U460" s="48"/>
    </row>
    <row r="461" spans="1:21" x14ac:dyDescent="0.25">
      <c r="A461" s="1" t="s">
        <v>3690</v>
      </c>
      <c r="B461" s="1">
        <v>2020</v>
      </c>
      <c r="C461" s="2" t="s">
        <v>489</v>
      </c>
      <c r="D461" s="1" t="s">
        <v>490</v>
      </c>
      <c r="E461" s="1">
        <v>221309</v>
      </c>
      <c r="F461" s="1" t="s">
        <v>27</v>
      </c>
      <c r="G461" s="11">
        <v>44046</v>
      </c>
      <c r="H461" s="14" t="s">
        <v>38</v>
      </c>
      <c r="I461" s="2" t="s">
        <v>2074</v>
      </c>
      <c r="J461" s="2" t="s">
        <v>2074</v>
      </c>
      <c r="K461" s="12">
        <v>0.027777777777373558</v>
      </c>
      <c r="L461" s="12">
        <v>0.03472222222262644</v>
      </c>
      <c r="M461" s="13">
        <f>CRF_3[[#This Row],[Time Spent on Configuration]]+CRF_3[[#This Row],[Time Spent on Review/Testing]]</f>
        <v>NaN</v>
      </c>
      <c r="O461" s="1" t="s">
        <v>574</v>
      </c>
      <c r="P461" s="1" t="s">
        <v>483</v>
      </c>
      <c r="Q461" s="1" t="s">
        <v>42</v>
      </c>
      <c r="R461" s="11">
        <v>44046</v>
      </c>
      <c r="S461" s="1">
        <v>5</v>
      </c>
      <c r="U461" s="48"/>
    </row>
    <row r="462" spans="1:21" x14ac:dyDescent="0.25">
      <c r="A462" s="1" t="s">
        <v>3690</v>
      </c>
      <c r="B462" s="1">
        <v>2020</v>
      </c>
      <c r="C462" s="2" t="s">
        <v>35</v>
      </c>
      <c r="D462" s="1" t="s">
        <v>25</v>
      </c>
      <c r="E462" s="1">
        <v>222546</v>
      </c>
      <c r="F462" s="1" t="s">
        <v>27</v>
      </c>
      <c r="G462" s="11">
        <v>44055</v>
      </c>
      <c r="H462" s="14" t="s">
        <v>38</v>
      </c>
      <c r="I462" s="2" t="s">
        <v>2076</v>
      </c>
      <c r="J462" s="2" t="s">
        <v>2076</v>
      </c>
      <c r="K462" s="12">
        <v>0.027777777777373558</v>
      </c>
      <c r="L462" s="12">
        <v>0.0625</v>
      </c>
      <c r="M462" s="13">
        <f>CRF_3[[#This Row],[Time Spent on Configuration]]+CRF_3[[#This Row],[Time Spent on Review/Testing]]</f>
        <v>NaN</v>
      </c>
      <c r="O462" s="1" t="s">
        <v>53</v>
      </c>
      <c r="P462" s="1" t="s">
        <v>483</v>
      </c>
      <c r="Q462" s="1" t="s">
        <v>42</v>
      </c>
      <c r="R462" s="11">
        <v>44055</v>
      </c>
      <c r="S462" s="1">
        <v>4</v>
      </c>
      <c r="U462" s="48"/>
    </row>
    <row r="463" ht="60" customHeight="1" spans="1:21" x14ac:dyDescent="0.25">
      <c r="A463" s="1" t="s">
        <v>3690</v>
      </c>
      <c r="B463" s="1">
        <v>2020</v>
      </c>
      <c r="C463" s="2" t="s">
        <v>2077</v>
      </c>
      <c r="D463" s="1" t="s">
        <v>25</v>
      </c>
      <c r="E463" s="1">
        <v>218484</v>
      </c>
      <c r="F463" s="1" t="s">
        <v>27</v>
      </c>
      <c r="G463" s="11">
        <v>44055</v>
      </c>
      <c r="H463" s="14" t="s">
        <v>38</v>
      </c>
      <c r="I463" s="2" t="s">
        <v>4159</v>
      </c>
      <c r="J463" s="2" t="s">
        <v>2080</v>
      </c>
      <c r="K463" s="12">
        <v>0.027777777777373558</v>
      </c>
      <c r="L463" s="12">
        <v>0.09375</v>
      </c>
      <c r="M463" s="13">
        <f>CRF_3[[#This Row],[Time Spent on Configuration]]+CRF_3[[#This Row],[Time Spent on Review/Testing]]</f>
        <v>NaN</v>
      </c>
      <c r="O463" s="1" t="s">
        <v>53</v>
      </c>
      <c r="P463" s="1" t="s">
        <v>483</v>
      </c>
      <c r="Q463" s="1" t="s">
        <v>488</v>
      </c>
      <c r="R463" s="11">
        <v>44055</v>
      </c>
      <c r="S463" s="1">
        <v>5</v>
      </c>
      <c r="U463" s="48"/>
    </row>
    <row r="464" ht="60" customHeight="1" spans="1:21" x14ac:dyDescent="0.25">
      <c r="A464" s="1" t="s">
        <v>3690</v>
      </c>
      <c r="B464" s="1">
        <v>2020</v>
      </c>
      <c r="C464" s="2" t="s">
        <v>185</v>
      </c>
      <c r="D464" s="1" t="s">
        <v>1924</v>
      </c>
      <c r="E464" s="1">
        <v>222791</v>
      </c>
      <c r="F464" s="1" t="s">
        <v>27</v>
      </c>
      <c r="G464" s="11">
        <v>44057</v>
      </c>
      <c r="H464" s="14" t="s">
        <v>38</v>
      </c>
      <c r="I464" s="2" t="s">
        <v>2082</v>
      </c>
      <c r="J464" s="2" t="s">
        <v>4160</v>
      </c>
      <c r="K464" s="12">
        <v>0.16666666666787933</v>
      </c>
      <c r="L464" s="12">
        <v>0.07638888889050577</v>
      </c>
      <c r="M464" s="13">
        <f>CRF_3[[#This Row],[Time Spent on Configuration]]+CRF_3[[#This Row],[Time Spent on Review/Testing]]</f>
        <v>NaN</v>
      </c>
      <c r="O464" s="1" t="s">
        <v>574</v>
      </c>
      <c r="P464" s="1" t="s">
        <v>483</v>
      </c>
      <c r="Q464" s="1" t="s">
        <v>488</v>
      </c>
      <c r="R464" s="11"/>
      <c r="U464" s="48"/>
    </row>
    <row r="465" ht="120" customHeight="1" spans="1:21" x14ac:dyDescent="0.25">
      <c r="A465" s="1" t="s">
        <v>3690</v>
      </c>
      <c r="B465" s="1">
        <v>2020</v>
      </c>
      <c r="C465" s="2" t="s">
        <v>35</v>
      </c>
      <c r="D465" s="1" t="s">
        <v>25</v>
      </c>
      <c r="E465" s="1">
        <v>223544</v>
      </c>
      <c r="F465" s="1" t="s">
        <v>27</v>
      </c>
      <c r="G465" s="11">
        <v>44062</v>
      </c>
      <c r="H465" s="14" t="s">
        <v>38</v>
      </c>
      <c r="I465" s="2" t="s">
        <v>4161</v>
      </c>
      <c r="J465" s="2" t="s">
        <v>4162</v>
      </c>
      <c r="K465" s="12">
        <v>0.06944444444525288</v>
      </c>
      <c r="L465" s="12">
        <v>0.07291666666787933</v>
      </c>
      <c r="M465" s="13">
        <f>CRF_3[[#This Row],[Time Spent on Configuration]]+CRF_3[[#This Row],[Time Spent on Review/Testing]]</f>
        <v>NaN</v>
      </c>
      <c r="O465" s="1" t="s">
        <v>31</v>
      </c>
      <c r="P465" s="1" t="s">
        <v>483</v>
      </c>
      <c r="Q465" s="1" t="s">
        <v>42</v>
      </c>
      <c r="R465" s="11">
        <v>44062</v>
      </c>
      <c r="S465" s="1">
        <v>5</v>
      </c>
      <c r="U465" s="48"/>
    </row>
    <row r="466" spans="1:21" x14ac:dyDescent="0.25">
      <c r="A466" s="1" t="s">
        <v>3690</v>
      </c>
      <c r="B466" s="1">
        <v>2020</v>
      </c>
      <c r="C466" s="2" t="s">
        <v>99</v>
      </c>
      <c r="D466" s="1" t="s">
        <v>25</v>
      </c>
      <c r="E466" s="1">
        <v>220581</v>
      </c>
      <c r="F466" s="1" t="s">
        <v>27</v>
      </c>
      <c r="G466" s="11">
        <v>44062</v>
      </c>
      <c r="H466" s="11" t="s">
        <v>2088</v>
      </c>
      <c r="I466" s="2" t="s">
        <v>2089</v>
      </c>
      <c r="J466" s="2" t="s">
        <v>2090</v>
      </c>
      <c r="K466" s="12">
        <v>0.027777777777373558</v>
      </c>
      <c r="L466" s="12"/>
      <c r="M466" s="13">
        <f>CRF_3[[#This Row],[Time Spent on Configuration]]+CRF_3[[#This Row],[Time Spent on Review/Testing]]</f>
        <v>NaN</v>
      </c>
      <c r="O466" s="1" t="s">
        <v>31</v>
      </c>
      <c r="Q466" s="1" t="s">
        <v>484</v>
      </c>
      <c r="R466" s="11">
        <v>44062</v>
      </c>
      <c r="S466" s="1">
        <v>5</v>
      </c>
      <c r="U466" s="48"/>
    </row>
    <row r="467" ht="30" customHeight="1" spans="1:21" x14ac:dyDescent="0.25">
      <c r="A467" s="1" t="s">
        <v>3690</v>
      </c>
      <c r="B467" s="1">
        <v>2020</v>
      </c>
      <c r="C467" s="2" t="s">
        <v>616</v>
      </c>
      <c r="D467" s="1" t="s">
        <v>617</v>
      </c>
      <c r="E467" s="1">
        <v>216344</v>
      </c>
      <c r="F467" s="1" t="s">
        <v>2092</v>
      </c>
      <c r="G467" s="11">
        <v>44071</v>
      </c>
      <c r="H467" s="14" t="s">
        <v>38</v>
      </c>
      <c r="I467" s="2" t="s">
        <v>2093</v>
      </c>
      <c r="J467" s="2" t="s">
        <v>2093</v>
      </c>
      <c r="K467" s="12">
        <v>0.013888888890505768</v>
      </c>
      <c r="L467" s="12"/>
      <c r="M467" s="13">
        <f>CRF_3[[#This Row],[Time Spent on Configuration]]+CRF_3[[#This Row],[Time Spent on Review/Testing]]</f>
        <v>NaN</v>
      </c>
      <c r="O467" s="1" t="s">
        <v>53</v>
      </c>
      <c r="Q467" s="1" t="s">
        <v>484</v>
      </c>
      <c r="R467" s="11">
        <v>44071</v>
      </c>
      <c r="S467" s="1">
        <v>5</v>
      </c>
      <c r="U467" s="48"/>
    </row>
    <row r="468" spans="1:21" x14ac:dyDescent="0.25">
      <c r="A468" s="1" t="s">
        <v>3690</v>
      </c>
      <c r="B468" s="1">
        <v>2020</v>
      </c>
      <c r="C468" s="2" t="s">
        <v>185</v>
      </c>
      <c r="D468" s="1" t="s">
        <v>1924</v>
      </c>
      <c r="E468" s="1">
        <v>224355</v>
      </c>
      <c r="F468" s="1" t="s">
        <v>27</v>
      </c>
      <c r="G468" s="11">
        <v>44074</v>
      </c>
      <c r="H468" s="14" t="s">
        <v>38</v>
      </c>
      <c r="I468" s="2" t="s">
        <v>2095</v>
      </c>
      <c r="J468" s="2" t="s">
        <v>2096</v>
      </c>
      <c r="K468" s="12">
        <v>0.020833333332120674</v>
      </c>
      <c r="L468" s="12">
        <v>0.08333333333212067</v>
      </c>
      <c r="M468" s="13">
        <f>CRF_3[[#This Row],[Time Spent on Configuration]]+CRF_3[[#This Row],[Time Spent on Review/Testing]]</f>
        <v>NaN</v>
      </c>
      <c r="O468" s="1" t="s">
        <v>53</v>
      </c>
      <c r="P468" s="1" t="s">
        <v>574</v>
      </c>
      <c r="Q468" s="1" t="s">
        <v>488</v>
      </c>
      <c r="R468" s="11">
        <v>44074</v>
      </c>
      <c r="S468" s="1">
        <v>5</v>
      </c>
      <c r="U468" s="48"/>
    </row>
    <row r="469" spans="1:21" x14ac:dyDescent="0.25">
      <c r="A469" s="1" t="s">
        <v>3690</v>
      </c>
      <c r="B469" s="1">
        <v>2020</v>
      </c>
      <c r="C469" s="2" t="s">
        <v>122</v>
      </c>
      <c r="D469" s="1" t="s">
        <v>123</v>
      </c>
      <c r="E469" s="1">
        <v>223062</v>
      </c>
      <c r="F469" s="1" t="s">
        <v>27</v>
      </c>
      <c r="G469" s="11">
        <v>44074</v>
      </c>
      <c r="H469" s="14" t="s">
        <v>38</v>
      </c>
      <c r="I469" s="2" t="s">
        <v>4163</v>
      </c>
      <c r="J469" s="2" t="s">
        <v>4164</v>
      </c>
      <c r="K469" s="12">
        <v>0.013888888890505768</v>
      </c>
      <c r="L469" s="12"/>
      <c r="M469" s="13">
        <f>CRF_3[[#This Row],[Time Spent on Configuration]]+CRF_3[[#This Row],[Time Spent on Review/Testing]]</f>
        <v>NaN</v>
      </c>
      <c r="O469" s="1" t="s">
        <v>31</v>
      </c>
      <c r="Q469" s="1" t="s">
        <v>484</v>
      </c>
      <c r="R469" s="11">
        <v>44074</v>
      </c>
      <c r="S469" s="1">
        <v>5</v>
      </c>
      <c r="U469" s="48"/>
    </row>
    <row r="470" spans="1:21" x14ac:dyDescent="0.25">
      <c r="A470" s="1" t="s">
        <v>3699</v>
      </c>
      <c r="B470" s="1">
        <v>2020</v>
      </c>
      <c r="C470" s="2" t="s">
        <v>2101</v>
      </c>
      <c r="D470" s="1" t="s">
        <v>1359</v>
      </c>
      <c r="E470" s="1">
        <v>224742</v>
      </c>
      <c r="F470" s="1" t="s">
        <v>27</v>
      </c>
      <c r="G470" s="11">
        <v>44076</v>
      </c>
      <c r="H470" s="11" t="s">
        <v>696</v>
      </c>
      <c r="I470" s="2" t="s">
        <v>2103</v>
      </c>
      <c r="J470" s="2" t="s">
        <v>2104</v>
      </c>
      <c r="K470" s="12">
        <v>0.020833333332120674</v>
      </c>
      <c r="L470" s="12"/>
      <c r="M470" s="13">
        <f>CRF_3[[#This Row],[Time Spent on Configuration]]+CRF_3[[#This Row],[Time Spent on Review/Testing]]</f>
        <v>NaN</v>
      </c>
      <c r="O470" s="1" t="s">
        <v>31</v>
      </c>
      <c r="Q470" s="1" t="s">
        <v>42</v>
      </c>
      <c r="R470" s="11">
        <v>44076</v>
      </c>
      <c r="S470" s="1">
        <v>5</v>
      </c>
      <c r="U470" s="48"/>
    </row>
    <row r="471" spans="1:21" x14ac:dyDescent="0.25">
      <c r="A471" s="1" t="s">
        <v>3699</v>
      </c>
      <c r="B471" s="1">
        <v>2020</v>
      </c>
      <c r="C471" s="2" t="s">
        <v>146</v>
      </c>
      <c r="D471" s="1" t="s">
        <v>186</v>
      </c>
      <c r="E471" s="1">
        <v>223407</v>
      </c>
      <c r="F471" s="1" t="s">
        <v>27</v>
      </c>
      <c r="G471" s="11">
        <v>44076</v>
      </c>
      <c r="H471" s="14" t="s">
        <v>1073</v>
      </c>
      <c r="I471" s="2" t="s">
        <v>4165</v>
      </c>
      <c r="J471" s="2" t="s">
        <v>2107</v>
      </c>
      <c r="K471" s="12">
        <v>0.03333333333284827</v>
      </c>
      <c r="L471" s="12">
        <v>0.013888888890505768</v>
      </c>
      <c r="M471" s="13">
        <f>CRF_3[[#This Row],[Time Spent on Configuration]]+CRF_3[[#This Row],[Time Spent on Review/Testing]]</f>
        <v>NaN</v>
      </c>
      <c r="O471" s="1" t="s">
        <v>574</v>
      </c>
      <c r="P471" s="1" t="s">
        <v>31</v>
      </c>
      <c r="Q471" s="1" t="s">
        <v>488</v>
      </c>
      <c r="R471" s="11">
        <v>44076</v>
      </c>
      <c r="S471" s="1">
        <v>5</v>
      </c>
      <c r="U471" s="48"/>
    </row>
    <row r="472" ht="30" customHeight="1" spans="1:21" x14ac:dyDescent="0.25">
      <c r="A472" s="1" t="s">
        <v>3699</v>
      </c>
      <c r="B472" s="1">
        <v>2020</v>
      </c>
      <c r="C472" s="2" t="s">
        <v>146</v>
      </c>
      <c r="D472" s="1" t="s">
        <v>186</v>
      </c>
      <c r="E472" s="1">
        <v>224972</v>
      </c>
      <c r="F472" s="1" t="s">
        <v>27</v>
      </c>
      <c r="G472" s="11">
        <v>44077</v>
      </c>
      <c r="H472" s="14" t="s">
        <v>28</v>
      </c>
      <c r="I472" s="2" t="s">
        <v>2109</v>
      </c>
      <c r="J472" s="2" t="s">
        <v>2110</v>
      </c>
      <c r="K472" s="12">
        <v>0.027777777777373558</v>
      </c>
      <c r="L472" s="12"/>
      <c r="M472" s="13">
        <f>CRF_3[[#This Row],[Time Spent on Configuration]]+CRF_3[[#This Row],[Time Spent on Review/Testing]]</f>
        <v>NaN</v>
      </c>
      <c r="O472" s="1" t="s">
        <v>574</v>
      </c>
      <c r="P472" s="1" t="s">
        <v>31</v>
      </c>
      <c r="Q472" s="1" t="s">
        <v>488</v>
      </c>
      <c r="R472" s="11">
        <v>44077</v>
      </c>
      <c r="S472" s="1">
        <v>5</v>
      </c>
      <c r="U472" s="48"/>
    </row>
    <row r="473" ht="45" customHeight="1" spans="1:21" x14ac:dyDescent="0.25">
      <c r="A473" s="1" t="s">
        <v>3699</v>
      </c>
      <c r="B473" s="1">
        <v>2020</v>
      </c>
      <c r="C473" s="2" t="s">
        <v>1442</v>
      </c>
      <c r="D473" s="1" t="s">
        <v>186</v>
      </c>
      <c r="E473" s="1">
        <v>214525</v>
      </c>
      <c r="F473" s="1" t="s">
        <v>27</v>
      </c>
      <c r="G473" s="11">
        <v>44077</v>
      </c>
      <c r="H473" s="14" t="s">
        <v>38</v>
      </c>
      <c r="I473" s="2" t="s">
        <v>2112</v>
      </c>
      <c r="J473" s="2" t="s">
        <v>4166</v>
      </c>
      <c r="K473" s="12">
        <v>0.027777777777373558</v>
      </c>
      <c r="L473" s="12">
        <v>0.0625</v>
      </c>
      <c r="M473" s="13">
        <f>CRF_3[[#This Row],[Time Spent on Configuration]]+CRF_3[[#This Row],[Time Spent on Review/Testing]]</f>
        <v>NaN</v>
      </c>
      <c r="O473" s="1" t="s">
        <v>31</v>
      </c>
      <c r="P473" s="1" t="s">
        <v>574</v>
      </c>
      <c r="Q473" s="1" t="s">
        <v>488</v>
      </c>
      <c r="R473" s="11">
        <v>44077</v>
      </c>
      <c r="S473" s="1">
        <v>5</v>
      </c>
      <c r="U473" s="48"/>
    </row>
    <row r="474" ht="120" customHeight="1" spans="1:21" x14ac:dyDescent="0.25">
      <c r="A474" s="1" t="s">
        <v>3699</v>
      </c>
      <c r="B474" s="1">
        <v>2020</v>
      </c>
      <c r="C474" s="2" t="s">
        <v>4167</v>
      </c>
      <c r="D474" s="1" t="s">
        <v>186</v>
      </c>
      <c r="E474" s="1">
        <v>224698</v>
      </c>
      <c r="F474" s="1" t="s">
        <v>27</v>
      </c>
      <c r="G474" s="11">
        <v>44085</v>
      </c>
      <c r="H474" s="14" t="s">
        <v>38</v>
      </c>
      <c r="I474" s="2" t="s">
        <v>4168</v>
      </c>
      <c r="J474" s="2" t="s">
        <v>4169</v>
      </c>
      <c r="K474" s="12">
        <v>0.020833333332120674</v>
      </c>
      <c r="L474" s="12"/>
      <c r="M474" s="13">
        <f>CRF_3[[#This Row],[Time Spent on Configuration]]+CRF_3[[#This Row],[Time Spent on Review/Testing]]</f>
        <v>NaN</v>
      </c>
      <c r="O474" s="1" t="s">
        <v>53</v>
      </c>
      <c r="Q474" s="1" t="s">
        <v>488</v>
      </c>
      <c r="R474" s="60">
        <v>44085</v>
      </c>
      <c r="S474" s="1">
        <v>5</v>
      </c>
      <c r="U474" s="48"/>
    </row>
    <row r="475" spans="1:21" x14ac:dyDescent="0.25">
      <c r="A475" s="1" t="s">
        <v>3699</v>
      </c>
      <c r="B475" s="1">
        <v>2020</v>
      </c>
      <c r="C475" s="2" t="s">
        <v>99</v>
      </c>
      <c r="D475" s="1" t="s">
        <v>25</v>
      </c>
      <c r="E475" s="1">
        <v>225513</v>
      </c>
      <c r="F475" s="1" t="s">
        <v>37</v>
      </c>
      <c r="G475" s="11">
        <v>44085</v>
      </c>
      <c r="H475" s="14" t="s">
        <v>28</v>
      </c>
      <c r="I475" s="2" t="s">
        <v>2119</v>
      </c>
      <c r="J475" s="2" t="s">
        <v>2120</v>
      </c>
      <c r="K475" s="12">
        <v>0.03125</v>
      </c>
      <c r="L475" s="12">
        <v>0.08472222222189885</v>
      </c>
      <c r="M475" s="13">
        <f>CRF_3[[#This Row],[Time Spent on Configuration]]+CRF_3[[#This Row],[Time Spent on Review/Testing]]</f>
        <v>NaN</v>
      </c>
      <c r="O475" s="1" t="s">
        <v>31</v>
      </c>
      <c r="P475" s="1" t="s">
        <v>32</v>
      </c>
      <c r="Q475" s="1" t="s">
        <v>484</v>
      </c>
      <c r="R475" s="60">
        <v>44085</v>
      </c>
      <c r="S475" s="1">
        <v>5</v>
      </c>
      <c r="U475" s="48"/>
    </row>
    <row r="476" ht="45" customHeight="1" spans="1:21" x14ac:dyDescent="0.25">
      <c r="A476" s="1" t="s">
        <v>3708</v>
      </c>
      <c r="B476" s="1">
        <v>2020</v>
      </c>
      <c r="C476" s="2" t="s">
        <v>1040</v>
      </c>
      <c r="D476" s="1" t="s">
        <v>1631</v>
      </c>
      <c r="E476" s="1">
        <v>227408</v>
      </c>
      <c r="F476" s="1" t="s">
        <v>37</v>
      </c>
      <c r="G476" s="11">
        <v>44110</v>
      </c>
      <c r="H476" s="14" t="s">
        <v>28</v>
      </c>
      <c r="I476" s="2" t="s">
        <v>2123</v>
      </c>
      <c r="J476" s="2" t="s">
        <v>4170</v>
      </c>
      <c r="K476" s="12">
        <v>0.04861111110949423</v>
      </c>
      <c r="L476" s="12">
        <v>0.055555555554747116</v>
      </c>
      <c r="M476" s="13">
        <f>CRF_3[[#This Row],[Time Spent on Configuration]]+CRF_3[[#This Row],[Time Spent on Review/Testing]]</f>
        <v>NaN</v>
      </c>
      <c r="O476" s="1" t="s">
        <v>31</v>
      </c>
      <c r="P476" s="1" t="s">
        <v>483</v>
      </c>
      <c r="Q476" s="1" t="s">
        <v>1405</v>
      </c>
      <c r="R476" s="11">
        <v>44110</v>
      </c>
      <c r="S476" s="1">
        <v>5</v>
      </c>
      <c r="U476" s="48"/>
    </row>
    <row r="477" spans="1:21" x14ac:dyDescent="0.25">
      <c r="A477" s="1" t="s">
        <v>3708</v>
      </c>
      <c r="B477" s="1">
        <v>2020</v>
      </c>
      <c r="C477" s="2" t="s">
        <v>2125</v>
      </c>
      <c r="D477" s="1" t="s">
        <v>186</v>
      </c>
      <c r="E477" s="1">
        <v>228055</v>
      </c>
      <c r="F477" s="1" t="s">
        <v>27</v>
      </c>
      <c r="G477" s="11">
        <v>44111</v>
      </c>
      <c r="H477" s="14" t="s">
        <v>38</v>
      </c>
      <c r="I477" s="2" t="s">
        <v>2127</v>
      </c>
      <c r="J477" s="2" t="s">
        <v>4171</v>
      </c>
      <c r="K477" s="12">
        <v>0.013888888890505768</v>
      </c>
      <c r="L477" s="12">
        <v>0.03125</v>
      </c>
      <c r="M477" s="13">
        <f>CRF_3[[#This Row],[Time Spent on Configuration]]+CRF_3[[#This Row],[Time Spent on Review/Testing]]</f>
        <v>NaN</v>
      </c>
      <c r="O477" s="1" t="s">
        <v>31</v>
      </c>
      <c r="P477" s="1" t="s">
        <v>32</v>
      </c>
      <c r="Q477" s="1" t="s">
        <v>488</v>
      </c>
      <c r="R477" s="11">
        <v>44111</v>
      </c>
      <c r="S477" s="1">
        <v>5</v>
      </c>
      <c r="U477" s="48"/>
    </row>
    <row r="478" ht="45" customHeight="1" spans="1:21" x14ac:dyDescent="0.25">
      <c r="A478" s="1" t="s">
        <v>3708</v>
      </c>
      <c r="B478" s="1">
        <v>2020</v>
      </c>
      <c r="C478" s="2" t="s">
        <v>1532</v>
      </c>
      <c r="D478" s="1" t="s">
        <v>1533</v>
      </c>
      <c r="E478" s="1">
        <v>222020</v>
      </c>
      <c r="F478" s="1" t="s">
        <v>952</v>
      </c>
      <c r="G478" s="11">
        <v>44112</v>
      </c>
      <c r="H478" s="14" t="s">
        <v>38</v>
      </c>
      <c r="I478" s="2" t="s">
        <v>2130</v>
      </c>
      <c r="J478" s="2" t="s">
        <v>4172</v>
      </c>
      <c r="K478" s="12">
        <v>0.0625</v>
      </c>
      <c r="L478" s="12">
        <v>0.0625</v>
      </c>
      <c r="M478" s="13">
        <f>CRF_3[[#This Row],[Time Spent on Configuration]]+CRF_3[[#This Row],[Time Spent on Review/Testing]]</f>
        <v>NaN</v>
      </c>
      <c r="N478" s="1">
        <v>0</v>
      </c>
      <c r="O478" s="1" t="s">
        <v>31</v>
      </c>
      <c r="P478" s="1" t="s">
        <v>503</v>
      </c>
      <c r="Q478" s="1" t="s">
        <v>42</v>
      </c>
      <c r="R478" s="11">
        <v>44112</v>
      </c>
      <c r="S478" s="1">
        <v>5</v>
      </c>
      <c r="U478" s="48"/>
    </row>
    <row r="479" ht="30" customHeight="1" spans="1:21" x14ac:dyDescent="0.25">
      <c r="A479" s="1" t="s">
        <v>3708</v>
      </c>
      <c r="B479" s="1">
        <v>2020</v>
      </c>
      <c r="C479" s="2" t="s">
        <v>1473</v>
      </c>
      <c r="D479" s="1" t="s">
        <v>951</v>
      </c>
      <c r="E479" s="1">
        <v>227675</v>
      </c>
      <c r="F479" s="1" t="s">
        <v>27</v>
      </c>
      <c r="G479" s="11">
        <v>44117</v>
      </c>
      <c r="H479" s="14" t="s">
        <v>953</v>
      </c>
      <c r="I479" s="2" t="s">
        <v>4173</v>
      </c>
      <c r="J479" s="2" t="s">
        <v>2134</v>
      </c>
      <c r="K479" s="12">
        <v>0.020833333332120674</v>
      </c>
      <c r="L479" s="12">
        <v>0.052083333332120674</v>
      </c>
      <c r="M479" s="13">
        <f>CRF_3[[#This Row],[Time Spent on Configuration]]+CRF_3[[#This Row],[Time Spent on Review/Testing]]</f>
        <v>NaN</v>
      </c>
      <c r="O479" s="1" t="s">
        <v>2135</v>
      </c>
      <c r="P479" s="1" t="s">
        <v>2136</v>
      </c>
      <c r="Q479" s="1" t="s">
        <v>488</v>
      </c>
      <c r="R479" s="11">
        <v>44117</v>
      </c>
      <c r="S479" s="1">
        <v>5</v>
      </c>
      <c r="U479" s="48"/>
    </row>
    <row r="480" ht="60" customHeight="1" spans="1:21" x14ac:dyDescent="0.25">
      <c r="A480" s="1" t="s">
        <v>3708</v>
      </c>
      <c r="B480" s="1">
        <v>2020</v>
      </c>
      <c r="C480" s="2" t="s">
        <v>1635</v>
      </c>
      <c r="D480" s="1" t="s">
        <v>989</v>
      </c>
      <c r="E480" s="1">
        <v>228881</v>
      </c>
      <c r="F480" s="1" t="s">
        <v>952</v>
      </c>
      <c r="G480" s="11">
        <v>44120</v>
      </c>
      <c r="H480" s="14" t="s">
        <v>38</v>
      </c>
      <c r="I480" s="2" t="s">
        <v>4174</v>
      </c>
      <c r="J480" s="2" t="s">
        <v>4175</v>
      </c>
      <c r="K480" s="12">
        <v>0.04861111110949423</v>
      </c>
      <c r="L480" s="12">
        <v>0.08333333333212067</v>
      </c>
      <c r="M480" s="13">
        <f>CRF_3[[#This Row],[Time Spent on Configuration]]+CRF_3[[#This Row],[Time Spent on Review/Testing]]</f>
        <v>NaN</v>
      </c>
      <c r="O480" s="1" t="s">
        <v>53</v>
      </c>
      <c r="P480" s="1" t="s">
        <v>483</v>
      </c>
      <c r="Q480" s="1" t="s">
        <v>117</v>
      </c>
      <c r="R480" s="11">
        <v>44120</v>
      </c>
      <c r="S480" s="1">
        <v>5</v>
      </c>
      <c r="U480" s="48"/>
    </row>
    <row r="481" ht="18" customHeight="1" spans="1:21" x14ac:dyDescent="0.25">
      <c r="A481" s="1" t="s">
        <v>3708</v>
      </c>
      <c r="B481" s="1">
        <v>2020</v>
      </c>
      <c r="C481" s="2" t="s">
        <v>796</v>
      </c>
      <c r="D481" s="1" t="s">
        <v>285</v>
      </c>
      <c r="E481" s="1">
        <v>228358</v>
      </c>
      <c r="F481" s="1" t="s">
        <v>952</v>
      </c>
      <c r="G481" s="11">
        <v>44121</v>
      </c>
      <c r="H481" s="14" t="s">
        <v>38</v>
      </c>
      <c r="I481" s="2" t="s">
        <v>2141</v>
      </c>
      <c r="J481" s="61" t="s">
        <v>2142</v>
      </c>
      <c r="K481" s="12">
        <v>0.020833333332120674</v>
      </c>
      <c r="L481" s="12">
        <v>0.041666666667879326</v>
      </c>
      <c r="M481" s="13">
        <f>CRF_3[[#This Row],[Time Spent on Configuration]]+CRF_3[[#This Row],[Time Spent on Review/Testing]]</f>
        <v>NaN</v>
      </c>
      <c r="O481" s="1" t="s">
        <v>53</v>
      </c>
      <c r="P481" s="1" t="s">
        <v>483</v>
      </c>
      <c r="Q481" s="1" t="s">
        <v>484</v>
      </c>
      <c r="R481" s="11">
        <v>44121</v>
      </c>
      <c r="S481" s="1">
        <v>5</v>
      </c>
      <c r="U481" s="48"/>
    </row>
    <row r="482" ht="30" customHeight="1" spans="1:21" x14ac:dyDescent="0.25">
      <c r="A482" s="1" t="s">
        <v>3708</v>
      </c>
      <c r="B482" s="1">
        <v>2020</v>
      </c>
      <c r="C482" s="2" t="s">
        <v>288</v>
      </c>
      <c r="D482" s="1" t="s">
        <v>25</v>
      </c>
      <c r="E482" s="1">
        <v>228007</v>
      </c>
      <c r="F482" s="1" t="s">
        <v>27</v>
      </c>
      <c r="G482" s="11">
        <v>44131</v>
      </c>
      <c r="H482" s="14" t="s">
        <v>38</v>
      </c>
      <c r="I482" s="2" t="s">
        <v>2144</v>
      </c>
      <c r="J482" s="2" t="s">
        <v>2145</v>
      </c>
      <c r="K482" s="12">
        <v>0.020833333332120674</v>
      </c>
      <c r="L482" s="12">
        <v>0.015277777776645962</v>
      </c>
      <c r="M482" s="13">
        <f>CRF_3[[#This Row],[Time Spent on Configuration]]+CRF_3[[#This Row],[Time Spent on Review/Testing]]</f>
        <v>NaN</v>
      </c>
      <c r="O482" s="1" t="s">
        <v>31</v>
      </c>
      <c r="P482" s="1" t="s">
        <v>2136</v>
      </c>
      <c r="Q482" s="1" t="s">
        <v>488</v>
      </c>
      <c r="R482" s="11">
        <v>44131</v>
      </c>
      <c r="S482" s="1">
        <v>5</v>
      </c>
      <c r="U482" s="48"/>
    </row>
    <row r="483" spans="1:21" x14ac:dyDescent="0.25">
      <c r="A483" s="1" t="s">
        <v>3725</v>
      </c>
      <c r="B483" s="1">
        <v>2020</v>
      </c>
      <c r="C483" s="2" t="s">
        <v>99</v>
      </c>
      <c r="D483" s="1" t="s">
        <v>25</v>
      </c>
      <c r="E483" s="1">
        <v>230484</v>
      </c>
      <c r="F483" s="1" t="s">
        <v>952</v>
      </c>
      <c r="G483" s="11">
        <v>44139</v>
      </c>
      <c r="H483" s="14" t="s">
        <v>28</v>
      </c>
      <c r="I483" s="2" t="s">
        <v>2148</v>
      </c>
      <c r="J483" s="2" t="s">
        <v>2149</v>
      </c>
      <c r="K483" s="12">
        <v>0.020833333332120674</v>
      </c>
      <c r="L483" s="12">
        <v>0.03125</v>
      </c>
      <c r="M483" s="13">
        <f>CRF_3[[#This Row],[Time Spent on Configuration]]+CRF_3[[#This Row],[Time Spent on Review/Testing]]</f>
        <v>NaN</v>
      </c>
      <c r="O483" s="1" t="s">
        <v>53</v>
      </c>
      <c r="P483" s="1" t="s">
        <v>2136</v>
      </c>
      <c r="Q483" s="1" t="s">
        <v>484</v>
      </c>
      <c r="R483" s="11">
        <v>44139</v>
      </c>
      <c r="S483" s="1">
        <v>5</v>
      </c>
      <c r="U483" s="48"/>
    </row>
    <row r="484" spans="1:21" x14ac:dyDescent="0.25">
      <c r="A484" s="1" t="s">
        <v>3725</v>
      </c>
      <c r="B484" s="1">
        <v>2020</v>
      </c>
      <c r="C484" s="2" t="s">
        <v>2150</v>
      </c>
      <c r="D484" s="1" t="s">
        <v>186</v>
      </c>
      <c r="E484" s="1">
        <v>230855</v>
      </c>
      <c r="F484" s="1" t="s">
        <v>27</v>
      </c>
      <c r="G484" s="11">
        <v>44145</v>
      </c>
      <c r="H484" s="14" t="s">
        <v>38</v>
      </c>
      <c r="I484" s="2" t="s">
        <v>2152</v>
      </c>
      <c r="J484" s="2" t="s">
        <v>2153</v>
      </c>
      <c r="K484" s="12">
        <v>0.027777777777373558</v>
      </c>
      <c r="L484" s="12"/>
      <c r="M484" s="13">
        <f>CRF_3[[#This Row],[Time Spent on Configuration]]+CRF_3[[#This Row],[Time Spent on Review/Testing]]</f>
        <v>NaN</v>
      </c>
      <c r="O484" s="1" t="s">
        <v>574</v>
      </c>
      <c r="Q484" s="1" t="s">
        <v>488</v>
      </c>
      <c r="R484" s="11">
        <v>44145</v>
      </c>
      <c r="S484" s="1">
        <v>5</v>
      </c>
      <c r="U484" s="48"/>
    </row>
    <row r="485" ht="30" customHeight="1" spans="1:21" x14ac:dyDescent="0.25">
      <c r="A485" s="1" t="s">
        <v>3725</v>
      </c>
      <c r="B485" s="1">
        <v>2020</v>
      </c>
      <c r="C485" s="2" t="s">
        <v>1451</v>
      </c>
      <c r="D485" s="1" t="s">
        <v>287</v>
      </c>
      <c r="E485" s="1">
        <v>228183</v>
      </c>
      <c r="F485" s="1" t="s">
        <v>27</v>
      </c>
      <c r="G485" s="11">
        <v>44146</v>
      </c>
      <c r="H485" s="14" t="s">
        <v>38</v>
      </c>
      <c r="I485" s="2" t="s">
        <v>2155</v>
      </c>
      <c r="J485" s="2" t="s">
        <v>2156</v>
      </c>
      <c r="K485" s="12">
        <v>0.020833333332120674</v>
      </c>
      <c r="L485" s="12">
        <v>0.030555555556929903</v>
      </c>
      <c r="M485" s="13">
        <f>CRF_3[[#This Row],[Time Spent on Configuration]]+CRF_3[[#This Row],[Time Spent on Review/Testing]]</f>
        <v>NaN</v>
      </c>
      <c r="O485" s="1" t="s">
        <v>574</v>
      </c>
      <c r="P485" s="1" t="s">
        <v>32</v>
      </c>
      <c r="Q485" s="1" t="s">
        <v>484</v>
      </c>
      <c r="R485" s="11">
        <v>44146</v>
      </c>
      <c r="S485" s="1">
        <v>5</v>
      </c>
      <c r="U485" s="48"/>
    </row>
    <row r="486" ht="30" customHeight="1" spans="1:21" x14ac:dyDescent="0.25">
      <c r="A486" s="1" t="s">
        <v>3725</v>
      </c>
      <c r="B486" s="1">
        <v>2020</v>
      </c>
      <c r="C486" s="2" t="s">
        <v>616</v>
      </c>
      <c r="D486" s="1" t="s">
        <v>617</v>
      </c>
      <c r="E486" s="1">
        <v>230837</v>
      </c>
      <c r="F486" s="1" t="s">
        <v>37</v>
      </c>
      <c r="G486" s="11">
        <v>44149</v>
      </c>
      <c r="H486" s="11" t="s">
        <v>696</v>
      </c>
      <c r="I486" s="2" t="s">
        <v>2158</v>
      </c>
      <c r="J486" s="2" t="s">
        <v>2159</v>
      </c>
      <c r="K486" s="12">
        <v>0.020833333332120674</v>
      </c>
      <c r="L486" s="12">
        <v>0.030555555556929903</v>
      </c>
      <c r="M486" s="13">
        <f>CRF_3[[#This Row],[Time Spent on Configuration]]+CRF_3[[#This Row],[Time Spent on Review/Testing]]</f>
        <v>NaN</v>
      </c>
      <c r="O486" s="1" t="s">
        <v>54</v>
      </c>
      <c r="P486" s="1" t="s">
        <v>54</v>
      </c>
      <c r="Q486" s="1" t="s">
        <v>2160</v>
      </c>
      <c r="R486" s="11">
        <v>44149</v>
      </c>
      <c r="S486" s="1">
        <v>4</v>
      </c>
      <c r="U486" s="48"/>
    </row>
    <row r="487" ht="30" customHeight="1" spans="1:21" x14ac:dyDescent="0.25">
      <c r="A487" s="1" t="s">
        <v>4176</v>
      </c>
      <c r="B487" s="1">
        <v>2020</v>
      </c>
      <c r="C487" s="2" t="s">
        <v>1635</v>
      </c>
      <c r="D487" s="1" t="s">
        <v>186</v>
      </c>
      <c r="E487" s="1">
        <v>232048</v>
      </c>
      <c r="F487" s="1" t="s">
        <v>27</v>
      </c>
      <c r="G487" s="11">
        <v>44152</v>
      </c>
      <c r="H487" s="14" t="s">
        <v>28</v>
      </c>
      <c r="I487" s="2" t="s">
        <v>4177</v>
      </c>
      <c r="J487" s="2" t="s">
        <v>2163</v>
      </c>
      <c r="K487" s="12">
        <v>0.03125</v>
      </c>
      <c r="L487" s="12">
        <v>0.08333333333212067</v>
      </c>
      <c r="M487" s="13">
        <f>CRF_3[[#This Row],[Time Spent on Configuration]]+CRF_3[[#This Row],[Time Spent on Review/Testing]]</f>
        <v>NaN</v>
      </c>
      <c r="O487" s="1" t="s">
        <v>32</v>
      </c>
      <c r="P487" s="1" t="s">
        <v>483</v>
      </c>
      <c r="Q487" s="1" t="s">
        <v>488</v>
      </c>
      <c r="R487" s="11">
        <v>44153</v>
      </c>
      <c r="S487" s="1">
        <v>5</v>
      </c>
      <c r="U487" s="48"/>
    </row>
    <row r="488" ht="30" customHeight="1" spans="1:21" x14ac:dyDescent="0.25">
      <c r="A488" s="1" t="s">
        <v>4176</v>
      </c>
      <c r="B488" s="1">
        <v>2020</v>
      </c>
      <c r="C488" s="2" t="s">
        <v>529</v>
      </c>
      <c r="D488" s="62" t="s">
        <v>1924</v>
      </c>
      <c r="E488" s="1">
        <v>231474</v>
      </c>
      <c r="F488" s="1" t="s">
        <v>27</v>
      </c>
      <c r="G488" s="11">
        <v>44152</v>
      </c>
      <c r="H488" s="14" t="s">
        <v>28</v>
      </c>
      <c r="I488" s="2" t="s">
        <v>4178</v>
      </c>
      <c r="J488" s="2" t="s">
        <v>4179</v>
      </c>
      <c r="K488" s="12">
        <v>0.04861111110949423</v>
      </c>
      <c r="L488" s="12">
        <v>0.08680555555474712</v>
      </c>
      <c r="M488" s="13">
        <f>CRF_3[[#This Row],[Time Spent on Configuration]]+CRF_3[[#This Row],[Time Spent on Review/Testing]]</f>
        <v>NaN</v>
      </c>
      <c r="O488" s="1" t="s">
        <v>32</v>
      </c>
      <c r="P488" s="1" t="s">
        <v>483</v>
      </c>
      <c r="Q488" s="1" t="s">
        <v>2160</v>
      </c>
      <c r="R488" s="11">
        <v>44153</v>
      </c>
      <c r="S488" s="1">
        <v>5</v>
      </c>
      <c r="U488" s="48"/>
    </row>
    <row r="489" ht="105" customHeight="1" spans="1:21" x14ac:dyDescent="0.25">
      <c r="A489" s="1" t="s">
        <v>4176</v>
      </c>
      <c r="B489" s="1">
        <v>2020</v>
      </c>
      <c r="C489" s="2" t="s">
        <v>113</v>
      </c>
      <c r="D489" s="1" t="s">
        <v>25</v>
      </c>
      <c r="E489" s="1">
        <v>224965</v>
      </c>
      <c r="F489" s="1" t="s">
        <v>37</v>
      </c>
      <c r="G489" s="11">
        <v>44153</v>
      </c>
      <c r="H489" s="14" t="s">
        <v>38</v>
      </c>
      <c r="I489" s="2" t="s">
        <v>2168</v>
      </c>
      <c r="J489" s="2" t="s">
        <v>4180</v>
      </c>
      <c r="K489" s="12">
        <v>0.0625</v>
      </c>
      <c r="L489" s="12">
        <v>0.06944444444525288</v>
      </c>
      <c r="M489" s="13">
        <f>CRF_3[[#This Row],[Time Spent on Configuration]]+CRF_3[[#This Row],[Time Spent on Review/Testing]]</f>
        <v>NaN</v>
      </c>
      <c r="O489" s="1" t="s">
        <v>31</v>
      </c>
      <c r="P489" s="1" t="s">
        <v>483</v>
      </c>
      <c r="Q489" s="1" t="s">
        <v>484</v>
      </c>
      <c r="R489" s="11">
        <v>44153</v>
      </c>
      <c r="S489" s="1">
        <v>5</v>
      </c>
      <c r="U489" s="48"/>
    </row>
    <row r="490" spans="1:21" x14ac:dyDescent="0.25">
      <c r="A490" s="1" t="s">
        <v>4176</v>
      </c>
      <c r="B490" s="1">
        <v>2020</v>
      </c>
      <c r="C490" s="2" t="s">
        <v>185</v>
      </c>
      <c r="D490" s="1" t="s">
        <v>1924</v>
      </c>
      <c r="E490" s="1">
        <v>231391</v>
      </c>
      <c r="F490" s="1" t="s">
        <v>27</v>
      </c>
      <c r="G490" s="11">
        <v>44153</v>
      </c>
      <c r="H490" s="14" t="s">
        <v>38</v>
      </c>
      <c r="I490" s="2" t="s">
        <v>4181</v>
      </c>
      <c r="J490" s="2" t="s">
        <v>4181</v>
      </c>
      <c r="K490" s="12">
        <v>0.013888888890505768</v>
      </c>
      <c r="L490" s="12"/>
      <c r="M490" s="13">
        <f>CRF_3[[#This Row],[Time Spent on Configuration]]+CRF_3[[#This Row],[Time Spent on Review/Testing]]</f>
        <v>NaN</v>
      </c>
      <c r="O490" s="1" t="s">
        <v>574</v>
      </c>
      <c r="Q490" s="1" t="s">
        <v>488</v>
      </c>
      <c r="R490" s="11">
        <v>44153</v>
      </c>
      <c r="S490" s="1">
        <v>5</v>
      </c>
      <c r="U490" s="48"/>
    </row>
    <row r="491" spans="1:21" x14ac:dyDescent="0.25">
      <c r="A491" s="1" t="s">
        <v>4176</v>
      </c>
      <c r="B491" s="1">
        <v>2020</v>
      </c>
      <c r="C491" s="2" t="s">
        <v>616</v>
      </c>
      <c r="D491" s="1" t="s">
        <v>617</v>
      </c>
      <c r="E491" s="1">
        <v>231632</v>
      </c>
      <c r="F491" s="1" t="s">
        <v>27</v>
      </c>
      <c r="G491" s="11">
        <v>44158</v>
      </c>
      <c r="H491" s="14" t="s">
        <v>38</v>
      </c>
      <c r="I491" s="2" t="s">
        <v>4182</v>
      </c>
      <c r="J491" s="2" t="s">
        <v>4182</v>
      </c>
      <c r="K491" s="12">
        <v>0.020833333332120674</v>
      </c>
      <c r="L491" s="12">
        <v>0.041666666667879326</v>
      </c>
      <c r="M491" s="13">
        <f>CRF_3[[#This Row],[Time Spent on Configuration]]+CRF_3[[#This Row],[Time Spent on Review/Testing]]</f>
        <v>NaN</v>
      </c>
      <c r="O491" s="1" t="s">
        <v>574</v>
      </c>
      <c r="P491" s="1" t="s">
        <v>483</v>
      </c>
      <c r="Q491" s="1" t="s">
        <v>484</v>
      </c>
      <c r="R491" s="11">
        <v>44158</v>
      </c>
      <c r="S491" s="1">
        <v>5</v>
      </c>
      <c r="U491" s="48"/>
    </row>
    <row r="492" ht="30" customHeight="1" spans="1:21" x14ac:dyDescent="0.25">
      <c r="A492" s="1" t="s">
        <v>4176</v>
      </c>
      <c r="B492" s="1">
        <v>2020</v>
      </c>
      <c r="C492" s="2" t="s">
        <v>1635</v>
      </c>
      <c r="D492" s="1" t="s">
        <v>186</v>
      </c>
      <c r="E492" s="1">
        <v>231056</v>
      </c>
      <c r="F492" s="1" t="s">
        <v>27</v>
      </c>
      <c r="G492" s="11">
        <v>44161</v>
      </c>
      <c r="H492" s="14" t="s">
        <v>38</v>
      </c>
      <c r="I492" s="2" t="s">
        <v>2175</v>
      </c>
      <c r="J492" s="2" t="s">
        <v>2176</v>
      </c>
      <c r="K492" s="12">
        <v>0.020833333332120674</v>
      </c>
      <c r="L492" s="12">
        <v>0.020833333332120674</v>
      </c>
      <c r="M492" s="13">
        <f>CRF_3[[#This Row],[Time Spent on Configuration]]+CRF_3[[#This Row],[Time Spent on Review/Testing]]</f>
        <v>NaN</v>
      </c>
      <c r="O492" s="1" t="s">
        <v>54</v>
      </c>
      <c r="P492" s="1" t="s">
        <v>54</v>
      </c>
      <c r="Q492" s="1" t="s">
        <v>488</v>
      </c>
      <c r="R492" s="11">
        <v>44161</v>
      </c>
      <c r="S492" s="1">
        <v>5</v>
      </c>
      <c r="U492" s="48"/>
    </row>
    <row r="493" spans="1:21" x14ac:dyDescent="0.25">
      <c r="A493" s="1" t="s">
        <v>3733</v>
      </c>
      <c r="B493" s="1">
        <v>2020</v>
      </c>
      <c r="C493" s="2" t="s">
        <v>286</v>
      </c>
      <c r="D493" s="1" t="s">
        <v>974</v>
      </c>
      <c r="E493" s="1">
        <v>233005</v>
      </c>
      <c r="F493" s="1" t="s">
        <v>27</v>
      </c>
      <c r="G493" s="11">
        <v>44173</v>
      </c>
      <c r="H493" s="14" t="s">
        <v>38</v>
      </c>
      <c r="I493" s="2" t="s">
        <v>4183</v>
      </c>
      <c r="J493" s="2" t="s">
        <v>2180</v>
      </c>
      <c r="K493" s="12">
        <v>0.020833333332120674</v>
      </c>
      <c r="L493" s="12">
        <v>0.02708333333430346</v>
      </c>
      <c r="M493" s="13">
        <f>CRF_3[[#This Row],[Time Spent on Configuration]]+CRF_3[[#This Row],[Time Spent on Review/Testing]]</f>
        <v>NaN</v>
      </c>
      <c r="O493" s="1" t="s">
        <v>31</v>
      </c>
      <c r="P493" s="1" t="s">
        <v>32</v>
      </c>
      <c r="Q493" s="1" t="s">
        <v>484</v>
      </c>
      <c r="R493" s="11">
        <v>44173</v>
      </c>
      <c r="S493" s="1">
        <v>5</v>
      </c>
      <c r="U493" s="48"/>
    </row>
    <row r="494" ht="30" customHeight="1" spans="1:21" x14ac:dyDescent="0.25">
      <c r="A494" s="1" t="s">
        <v>3733</v>
      </c>
      <c r="B494" s="1">
        <v>2020</v>
      </c>
      <c r="C494" s="2" t="s">
        <v>1635</v>
      </c>
      <c r="D494" s="1" t="s">
        <v>186</v>
      </c>
      <c r="E494" s="1">
        <v>230615</v>
      </c>
      <c r="F494" s="1" t="s">
        <v>27</v>
      </c>
      <c r="G494" s="11">
        <v>44182</v>
      </c>
      <c r="H494" s="14" t="s">
        <v>38</v>
      </c>
      <c r="I494" s="2" t="s">
        <v>4184</v>
      </c>
      <c r="J494" s="2" t="s">
        <v>2183</v>
      </c>
      <c r="K494" s="12">
        <v>0</v>
      </c>
      <c r="L494" s="12">
        <v>0.03888888888832298</v>
      </c>
      <c r="M494" s="13">
        <f>CRF_3[[#This Row],[Time Spent on Configuration]]+CRF_3[[#This Row],[Time Spent on Review/Testing]]</f>
        <v>NaN</v>
      </c>
      <c r="O494" s="1" t="s">
        <v>31</v>
      </c>
      <c r="P494" s="1" t="s">
        <v>32</v>
      </c>
      <c r="Q494" s="1" t="s">
        <v>488</v>
      </c>
      <c r="R494" s="11">
        <v>44182</v>
      </c>
      <c r="S494" s="1">
        <v>5</v>
      </c>
      <c r="U494" s="48"/>
    </row>
    <row r="495" spans="1:21" x14ac:dyDescent="0.25">
      <c r="A495" s="1" t="s">
        <v>4185</v>
      </c>
      <c r="B495" s="1">
        <v>2020</v>
      </c>
      <c r="C495" s="2" t="s">
        <v>1093</v>
      </c>
      <c r="D495" s="1" t="s">
        <v>4186</v>
      </c>
      <c r="E495" s="1">
        <v>235918</v>
      </c>
      <c r="F495" s="1" t="s">
        <v>27</v>
      </c>
      <c r="G495" s="11">
        <v>44182</v>
      </c>
      <c r="H495" s="14" t="s">
        <v>38</v>
      </c>
      <c r="I495" s="2" t="s">
        <v>2186</v>
      </c>
      <c r="J495" s="2" t="s">
        <v>2187</v>
      </c>
      <c r="K495" s="12">
        <v>0.015277777776645962</v>
      </c>
      <c r="L495" s="12">
        <v>0.020833333332120674</v>
      </c>
      <c r="M495" s="13">
        <f>CRF_3[[#This Row],[Time Spent on Configuration]]+CRF_3[[#This Row],[Time Spent on Review/Testing]]</f>
        <v>NaN</v>
      </c>
      <c r="O495" s="1" t="s">
        <v>32</v>
      </c>
      <c r="P495" s="1" t="s">
        <v>4187</v>
      </c>
      <c r="Q495" s="1" t="s">
        <v>488</v>
      </c>
      <c r="R495" s="11">
        <v>44182</v>
      </c>
      <c r="S495" s="1">
        <v>5</v>
      </c>
      <c r="U495" s="48"/>
    </row>
    <row r="496" ht="36" customHeight="1" spans="1:21" x14ac:dyDescent="0.25">
      <c r="A496" s="1" t="s">
        <v>4185</v>
      </c>
      <c r="B496" s="1">
        <v>2020</v>
      </c>
      <c r="C496" s="2" t="s">
        <v>260</v>
      </c>
      <c r="D496" s="1" t="s">
        <v>1433</v>
      </c>
      <c r="E496" s="1">
        <v>236187</v>
      </c>
      <c r="F496" s="1" t="s">
        <v>27</v>
      </c>
      <c r="G496" s="11">
        <v>44188</v>
      </c>
      <c r="H496" s="14" t="s">
        <v>38</v>
      </c>
      <c r="I496" s="63" t="s">
        <v>2189</v>
      </c>
      <c r="J496" s="2" t="s">
        <v>4188</v>
      </c>
      <c r="K496" s="12">
        <v>0.006944444445252884</v>
      </c>
      <c r="L496" s="12">
        <v>0.01736111110949423</v>
      </c>
      <c r="M496" s="13">
        <f>CRF_3[[#This Row],[Time Spent on Configuration]]+CRF_3[[#This Row],[Time Spent on Review/Testing]]</f>
        <v>NaN</v>
      </c>
      <c r="O496" s="1" t="s">
        <v>32</v>
      </c>
      <c r="P496" s="1" t="s">
        <v>483</v>
      </c>
      <c r="Q496" s="1" t="s">
        <v>42</v>
      </c>
      <c r="R496" s="11">
        <v>44188</v>
      </c>
      <c r="S496" s="1">
        <v>5</v>
      </c>
      <c r="U496" s="48"/>
    </row>
    <row r="497" spans="1:21" x14ac:dyDescent="0.25">
      <c r="A497" s="1" t="s">
        <v>4185</v>
      </c>
      <c r="B497" s="1">
        <v>2020</v>
      </c>
      <c r="C497" s="2" t="s">
        <v>1040</v>
      </c>
      <c r="D497" s="1" t="s">
        <v>951</v>
      </c>
      <c r="E497" s="1">
        <v>236303</v>
      </c>
      <c r="F497" s="1" t="s">
        <v>37</v>
      </c>
      <c r="G497" s="11">
        <v>44189</v>
      </c>
      <c r="H497" s="14" t="s">
        <v>38</v>
      </c>
      <c r="I497" s="2" t="s">
        <v>2192</v>
      </c>
      <c r="J497" s="2" t="s">
        <v>2193</v>
      </c>
      <c r="K497" s="12">
        <v>0.020833333332120674</v>
      </c>
      <c r="L497" s="12">
        <v>0.03125</v>
      </c>
      <c r="M497" s="13">
        <f>CRF_3[[#This Row],[Time Spent on Configuration]]+CRF_3[[#This Row],[Time Spent on Review/Testing]]</f>
        <v>NaN</v>
      </c>
      <c r="O497" s="1" t="s">
        <v>53</v>
      </c>
      <c r="P497" s="1" t="s">
        <v>32</v>
      </c>
      <c r="Q497" s="1" t="s">
        <v>42</v>
      </c>
      <c r="R497" s="11">
        <v>44189</v>
      </c>
      <c r="S497" s="1">
        <v>5</v>
      </c>
      <c r="U497" s="48"/>
    </row>
    <row r="498" spans="1:21" x14ac:dyDescent="0.25">
      <c r="A498" s="1" t="s">
        <v>4185</v>
      </c>
      <c r="B498" s="1">
        <v>2020</v>
      </c>
      <c r="C498" s="2" t="s">
        <v>185</v>
      </c>
      <c r="D498" s="1" t="s">
        <v>186</v>
      </c>
      <c r="E498" s="1">
        <v>235807</v>
      </c>
      <c r="F498" s="1" t="s">
        <v>27</v>
      </c>
      <c r="G498" s="11">
        <v>44196</v>
      </c>
      <c r="H498" s="14" t="s">
        <v>255</v>
      </c>
      <c r="I498" s="2" t="s">
        <v>2195</v>
      </c>
      <c r="J498" s="2" t="s">
        <v>4189</v>
      </c>
      <c r="K498" s="12">
        <v>0.038194444445252884</v>
      </c>
      <c r="L498" s="12">
        <v>0.09375</v>
      </c>
      <c r="M498" s="13">
        <f>CRF_3[[#This Row],[Time Spent on Configuration]]+CRF_3[[#This Row],[Time Spent on Review/Testing]]</f>
        <v>NaN</v>
      </c>
      <c r="O498" s="1" t="s">
        <v>32</v>
      </c>
      <c r="P498" s="1" t="s">
        <v>4187</v>
      </c>
      <c r="Q498" s="1" t="s">
        <v>488</v>
      </c>
      <c r="R498" s="11">
        <v>44196</v>
      </c>
      <c r="S498" s="1">
        <v>5</v>
      </c>
      <c r="U498" s="48"/>
    </row>
    <row r="499" spans="1:21" x14ac:dyDescent="0.25">
      <c r="A499" s="1" t="s">
        <v>3576</v>
      </c>
      <c r="B499" s="1">
        <v>2021</v>
      </c>
      <c r="C499" s="2" t="s">
        <v>35</v>
      </c>
      <c r="D499" s="1" t="s">
        <v>25</v>
      </c>
      <c r="E499" s="1">
        <v>236786</v>
      </c>
      <c r="F499" s="1" t="s">
        <v>37</v>
      </c>
      <c r="G499" s="11">
        <v>44200</v>
      </c>
      <c r="H499" s="14" t="s">
        <v>38</v>
      </c>
      <c r="I499" s="2" t="s">
        <v>4190</v>
      </c>
      <c r="J499" s="2" t="s">
        <v>2200</v>
      </c>
      <c r="K499" s="12">
        <v>0.07986111110949423</v>
      </c>
      <c r="L499" s="12">
        <v>0.08680555555474712</v>
      </c>
      <c r="M499" s="13">
        <f>CRF_3[[#This Row],[Time Spent on Configuration]]+CRF_3[[#This Row],[Time Spent on Review/Testing]]</f>
        <v>NaN</v>
      </c>
      <c r="O499" s="1" t="s">
        <v>53</v>
      </c>
      <c r="P499" s="1" t="s">
        <v>4191</v>
      </c>
      <c r="Q499" s="1" t="s">
        <v>42</v>
      </c>
      <c r="R499" s="11">
        <v>44200</v>
      </c>
      <c r="S499" s="1">
        <v>3</v>
      </c>
      <c r="U499" s="48"/>
    </row>
    <row r="500" ht="90" customHeight="1" spans="1:21" x14ac:dyDescent="0.25">
      <c r="A500" s="1" t="s">
        <v>3576</v>
      </c>
      <c r="B500" s="1">
        <v>2021</v>
      </c>
      <c r="C500" s="2" t="s">
        <v>185</v>
      </c>
      <c r="D500" s="1" t="s">
        <v>186</v>
      </c>
      <c r="E500" s="1">
        <v>235807</v>
      </c>
      <c r="F500" s="1" t="s">
        <v>37</v>
      </c>
      <c r="G500" s="11">
        <v>44202</v>
      </c>
      <c r="H500" s="14" t="s">
        <v>38</v>
      </c>
      <c r="I500" s="2" t="s">
        <v>4192</v>
      </c>
      <c r="J500" s="2" t="s">
        <v>4193</v>
      </c>
      <c r="K500" s="12">
        <v>0.004166666665696539</v>
      </c>
      <c r="L500" s="12">
        <v>0.027777777777373558</v>
      </c>
      <c r="M500" s="13">
        <f>CRF_3[[#This Row],[Time Spent on Configuration]]+CRF_3[[#This Row],[Time Spent on Review/Testing]]</f>
        <v>NaN</v>
      </c>
      <c r="O500" s="1" t="s">
        <v>32</v>
      </c>
      <c r="P500" s="1" t="s">
        <v>4187</v>
      </c>
      <c r="Q500" s="1" t="s">
        <v>488</v>
      </c>
      <c r="R500" s="11">
        <v>44202</v>
      </c>
      <c r="S500" s="1">
        <v>5</v>
      </c>
      <c r="U500" s="48"/>
    </row>
    <row r="501" ht="45" customHeight="1" spans="1:21" x14ac:dyDescent="0.25">
      <c r="A501" s="1" t="s">
        <v>4194</v>
      </c>
      <c r="B501" s="1">
        <v>2021</v>
      </c>
      <c r="C501" s="2" t="s">
        <v>545</v>
      </c>
      <c r="D501" s="1" t="s">
        <v>963</v>
      </c>
      <c r="E501" s="1">
        <v>237707</v>
      </c>
      <c r="F501" s="1" t="s">
        <v>4195</v>
      </c>
      <c r="G501" s="11">
        <v>44204</v>
      </c>
      <c r="H501" s="14" t="s">
        <v>28</v>
      </c>
      <c r="I501" s="2" t="s">
        <v>4196</v>
      </c>
      <c r="J501" s="2" t="s">
        <v>4197</v>
      </c>
      <c r="K501" s="12">
        <v>0.015277777776645962</v>
      </c>
      <c r="L501" s="12">
        <v>0.04513888889050577</v>
      </c>
      <c r="M501" s="13">
        <f>CRF_3[[#This Row],[Time Spent on Configuration]]+CRF_3[[#This Row],[Time Spent on Review/Testing]]</f>
        <v>NaN</v>
      </c>
      <c r="O501" s="1" t="s">
        <v>32</v>
      </c>
      <c r="P501" s="1" t="s">
        <v>4187</v>
      </c>
      <c r="Q501" s="1" t="s">
        <v>484</v>
      </c>
      <c r="R501" s="11">
        <v>44204</v>
      </c>
      <c r="S501" s="1">
        <v>5</v>
      </c>
      <c r="U501" s="48"/>
    </row>
    <row r="502" ht="75" customHeight="1" spans="1:21" x14ac:dyDescent="0.25">
      <c r="A502" s="1" t="s">
        <v>4194</v>
      </c>
      <c r="B502" s="1">
        <v>2021</v>
      </c>
      <c r="C502" s="2" t="s">
        <v>113</v>
      </c>
      <c r="D502" s="1" t="s">
        <v>25</v>
      </c>
      <c r="E502" s="1">
        <v>236044</v>
      </c>
      <c r="F502" s="1" t="s">
        <v>4195</v>
      </c>
      <c r="G502" s="11">
        <v>44204</v>
      </c>
      <c r="H502" s="14" t="s">
        <v>38</v>
      </c>
      <c r="I502" s="2" t="s">
        <v>4198</v>
      </c>
      <c r="J502" s="2" t="s">
        <v>4199</v>
      </c>
      <c r="K502" s="12">
        <v>0.041666666667879326</v>
      </c>
      <c r="L502" s="12"/>
      <c r="M502" s="13">
        <f>CRF_3[[#This Row],[Time Spent on Configuration]]+CRF_3[[#This Row],[Time Spent on Review/Testing]]</f>
        <v>NaN</v>
      </c>
      <c r="O502" s="1" t="s">
        <v>574</v>
      </c>
      <c r="Q502" s="1" t="s">
        <v>484</v>
      </c>
      <c r="R502" s="11">
        <v>44204</v>
      </c>
      <c r="S502" s="1">
        <v>5</v>
      </c>
      <c r="U502" s="48"/>
    </row>
    <row r="503" ht="30" customHeight="1" spans="1:21" x14ac:dyDescent="0.25">
      <c r="A503" s="1" t="s">
        <v>4194</v>
      </c>
      <c r="B503" s="1">
        <v>2021</v>
      </c>
      <c r="C503" s="2" t="s">
        <v>1451</v>
      </c>
      <c r="D503" s="1" t="s">
        <v>287</v>
      </c>
      <c r="E503" s="1">
        <v>237611</v>
      </c>
      <c r="F503" s="1" t="s">
        <v>4195</v>
      </c>
      <c r="G503" s="11">
        <v>44208</v>
      </c>
      <c r="H503" s="14" t="s">
        <v>1368</v>
      </c>
      <c r="I503" s="2" t="s">
        <v>2210</v>
      </c>
      <c r="J503" s="2" t="s">
        <v>2211</v>
      </c>
      <c r="K503" s="12">
        <v>0.004861111112404615</v>
      </c>
      <c r="L503" s="12">
        <v>0.027777777777373558</v>
      </c>
      <c r="M503" s="13">
        <f>CRF_3[[#This Row],[Time Spent on Configuration]]+CRF_3[[#This Row],[Time Spent on Review/Testing]]</f>
        <v>NaN</v>
      </c>
      <c r="O503" s="1" t="s">
        <v>32</v>
      </c>
      <c r="P503" s="1" t="s">
        <v>4187</v>
      </c>
      <c r="Q503" s="1" t="s">
        <v>484</v>
      </c>
      <c r="R503" s="11">
        <v>44208</v>
      </c>
      <c r="S503" s="1">
        <v>5</v>
      </c>
      <c r="U503" s="48"/>
    </row>
    <row r="504" spans="1:21" x14ac:dyDescent="0.25">
      <c r="A504" s="1" t="s">
        <v>3576</v>
      </c>
      <c r="B504" s="1">
        <v>2021</v>
      </c>
      <c r="C504" s="2" t="s">
        <v>525</v>
      </c>
      <c r="D504" s="1" t="s">
        <v>25</v>
      </c>
      <c r="E504" s="1">
        <v>238414</v>
      </c>
      <c r="F504" s="1" t="s">
        <v>4195</v>
      </c>
      <c r="G504" s="11">
        <v>44211</v>
      </c>
      <c r="H504" s="14" t="s">
        <v>28</v>
      </c>
      <c r="I504" s="2" t="s">
        <v>2213</v>
      </c>
      <c r="J504" s="2" t="s">
        <v>2214</v>
      </c>
      <c r="K504" s="12">
        <v>0.018749999999272404</v>
      </c>
      <c r="L504" s="12">
        <v>0.05902777777737356</v>
      </c>
      <c r="M504" s="13">
        <f>CRF_3[[#This Row],[Time Spent on Configuration]]+CRF_3[[#This Row],[Time Spent on Review/Testing]]</f>
        <v>NaN</v>
      </c>
      <c r="O504" s="1" t="s">
        <v>32</v>
      </c>
      <c r="P504" s="1" t="s">
        <v>4187</v>
      </c>
      <c r="Q504" s="1" t="s">
        <v>484</v>
      </c>
      <c r="R504" s="11">
        <v>44211</v>
      </c>
      <c r="S504" s="1">
        <v>5</v>
      </c>
      <c r="U504" s="48"/>
    </row>
    <row r="505" ht="30" customHeight="1" spans="1:21" x14ac:dyDescent="0.25">
      <c r="A505" s="1" t="s">
        <v>3576</v>
      </c>
      <c r="B505" s="1">
        <v>2021</v>
      </c>
      <c r="C505" s="2" t="s">
        <v>616</v>
      </c>
      <c r="D505" s="1" t="s">
        <v>617</v>
      </c>
      <c r="E505" s="1">
        <v>231632</v>
      </c>
      <c r="F505" s="1" t="s">
        <v>27</v>
      </c>
      <c r="G505" s="11">
        <v>44211</v>
      </c>
      <c r="H505" s="14" t="s">
        <v>38</v>
      </c>
      <c r="I505" s="2" t="s">
        <v>2215</v>
      </c>
      <c r="J505" s="2" t="s">
        <v>2216</v>
      </c>
      <c r="K505" s="12">
        <v>0.10416666666787933</v>
      </c>
      <c r="L505" s="12">
        <v>0.03680555555547471</v>
      </c>
      <c r="M505" s="13">
        <f>CRF_3[[#This Row],[Time Spent on Configuration]]+CRF_3[[#This Row],[Time Spent on Review/Testing]]</f>
        <v>NaN</v>
      </c>
      <c r="O505" s="1" t="s">
        <v>31</v>
      </c>
      <c r="P505" s="1" t="s">
        <v>32</v>
      </c>
      <c r="Q505" s="1" t="s">
        <v>484</v>
      </c>
      <c r="R505" s="11">
        <v>44211</v>
      </c>
      <c r="S505" s="1">
        <v>5</v>
      </c>
      <c r="U505" s="48"/>
    </row>
    <row r="506" spans="1:21" x14ac:dyDescent="0.25">
      <c r="A506" s="1" t="s">
        <v>3576</v>
      </c>
      <c r="B506" s="1">
        <v>2021</v>
      </c>
      <c r="C506" s="2" t="s">
        <v>219</v>
      </c>
      <c r="D506" s="1" t="s">
        <v>186</v>
      </c>
      <c r="E506" s="1">
        <v>237443</v>
      </c>
      <c r="F506" s="1" t="s">
        <v>27</v>
      </c>
      <c r="G506" s="11">
        <v>44213</v>
      </c>
      <c r="H506" s="14" t="s">
        <v>50</v>
      </c>
      <c r="I506" s="2" t="s">
        <v>4200</v>
      </c>
      <c r="J506" s="2" t="s">
        <v>2219</v>
      </c>
      <c r="K506" s="12">
        <v>0.020833333332120674</v>
      </c>
      <c r="L506" s="12">
        <v>0.02361111111167702</v>
      </c>
      <c r="M506" s="13">
        <f>CRF_3[[#This Row],[Time Spent on Configuration]]+CRF_3[[#This Row],[Time Spent on Review/Testing]]</f>
        <v>NaN</v>
      </c>
      <c r="O506" s="1" t="s">
        <v>574</v>
      </c>
      <c r="P506" s="1" t="s">
        <v>32</v>
      </c>
      <c r="Q506" s="1" t="s">
        <v>488</v>
      </c>
      <c r="R506" s="11">
        <v>44213</v>
      </c>
      <c r="S506" s="1">
        <v>5</v>
      </c>
      <c r="U506" s="48"/>
    </row>
    <row r="507" ht="60" customHeight="1" spans="1:21" x14ac:dyDescent="0.25">
      <c r="A507" s="1" t="s">
        <v>4194</v>
      </c>
      <c r="B507" s="1">
        <v>2021</v>
      </c>
      <c r="C507" s="2" t="s">
        <v>99</v>
      </c>
      <c r="D507" s="1" t="s">
        <v>25</v>
      </c>
      <c r="E507" s="1">
        <v>238774</v>
      </c>
      <c r="F507" s="1" t="s">
        <v>27</v>
      </c>
      <c r="G507" s="11">
        <v>44216</v>
      </c>
      <c r="H507" s="14" t="s">
        <v>28</v>
      </c>
      <c r="I507" s="2" t="s">
        <v>2221</v>
      </c>
      <c r="J507" s="2" t="s">
        <v>4201</v>
      </c>
      <c r="K507" s="12">
        <v>0.027777777777373558</v>
      </c>
      <c r="L507" s="12">
        <v>0.055555555554747116</v>
      </c>
      <c r="M507" s="13">
        <f>CRF_3[[#This Row],[Time Spent on Configuration]]+CRF_3[[#This Row],[Time Spent on Review/Testing]]</f>
        <v>NaN</v>
      </c>
      <c r="O507" s="1" t="s">
        <v>32</v>
      </c>
      <c r="P507" s="1" t="s">
        <v>4187</v>
      </c>
      <c r="Q507" s="1" t="s">
        <v>484</v>
      </c>
      <c r="R507" s="11">
        <v>44216</v>
      </c>
      <c r="S507" s="1">
        <v>5</v>
      </c>
      <c r="U507" s="48"/>
    </row>
    <row r="508" ht="30" customHeight="1" spans="1:21" x14ac:dyDescent="0.25">
      <c r="A508" s="1" t="s">
        <v>4194</v>
      </c>
      <c r="B508" s="1">
        <v>2021</v>
      </c>
      <c r="C508" s="2" t="s">
        <v>1635</v>
      </c>
      <c r="D508" s="1" t="s">
        <v>186</v>
      </c>
      <c r="E508" s="1">
        <v>238796</v>
      </c>
      <c r="F508" s="1" t="s">
        <v>27</v>
      </c>
      <c r="G508" s="11">
        <v>44216</v>
      </c>
      <c r="H508" s="14" t="s">
        <v>28</v>
      </c>
      <c r="I508" s="2" t="s">
        <v>2224</v>
      </c>
      <c r="J508" s="2" t="s">
        <v>2224</v>
      </c>
      <c r="K508" s="12">
        <v>0.041666666667879326</v>
      </c>
      <c r="L508" s="12">
        <v>0.0625</v>
      </c>
      <c r="M508" s="13">
        <f>CRF_3[[#This Row],[Time Spent on Configuration]]+CRF_3[[#This Row],[Time Spent on Review/Testing]]</f>
        <v>NaN</v>
      </c>
      <c r="O508" s="1" t="s">
        <v>574</v>
      </c>
      <c r="P508" s="1" t="s">
        <v>379</v>
      </c>
      <c r="Q508" s="1" t="s">
        <v>488</v>
      </c>
      <c r="R508" s="11">
        <v>44216</v>
      </c>
      <c r="S508" s="1">
        <v>5</v>
      </c>
      <c r="U508" s="48"/>
    </row>
    <row r="509" ht="60" customHeight="1" spans="1:21" x14ac:dyDescent="0.25">
      <c r="A509" s="1" t="s">
        <v>4194</v>
      </c>
      <c r="B509" s="1">
        <v>2021</v>
      </c>
      <c r="C509" s="2" t="s">
        <v>35</v>
      </c>
      <c r="D509" s="1" t="s">
        <v>25</v>
      </c>
      <c r="E509" s="1">
        <v>238714</v>
      </c>
      <c r="F509" s="1" t="s">
        <v>27</v>
      </c>
      <c r="G509" s="11">
        <v>44216</v>
      </c>
      <c r="H509" s="14" t="s">
        <v>28</v>
      </c>
      <c r="I509" s="2" t="s">
        <v>4202</v>
      </c>
      <c r="J509" s="2" t="s">
        <v>4203</v>
      </c>
      <c r="K509" s="12">
        <v>0.024305555554747116</v>
      </c>
      <c r="L509" s="12">
        <v>0.0625</v>
      </c>
      <c r="M509" s="13">
        <f>CRF_3[[#This Row],[Time Spent on Configuration]]+CRF_3[[#This Row],[Time Spent on Review/Testing]]</f>
        <v>NaN</v>
      </c>
      <c r="O509" s="1" t="s">
        <v>32</v>
      </c>
      <c r="P509" s="1" t="s">
        <v>4187</v>
      </c>
      <c r="Q509" s="1" t="s">
        <v>42</v>
      </c>
      <c r="R509" s="11">
        <v>44216</v>
      </c>
      <c r="S509" s="1">
        <v>5</v>
      </c>
      <c r="U509" s="48"/>
    </row>
    <row r="510" spans="1:21" x14ac:dyDescent="0.25">
      <c r="A510" s="1" t="s">
        <v>4194</v>
      </c>
      <c r="B510" s="1">
        <v>2021</v>
      </c>
      <c r="C510" s="2" t="s">
        <v>4204</v>
      </c>
      <c r="D510" s="1" t="s">
        <v>44</v>
      </c>
      <c r="E510" s="1">
        <v>238820</v>
      </c>
      <c r="F510" s="1" t="s">
        <v>27</v>
      </c>
      <c r="G510" s="11">
        <v>44218</v>
      </c>
      <c r="H510" s="14" t="s">
        <v>50</v>
      </c>
      <c r="I510" s="2" t="s">
        <v>2229</v>
      </c>
      <c r="J510" s="2" t="s">
        <v>2230</v>
      </c>
      <c r="K510" s="12">
        <v>0.006944444445252884</v>
      </c>
      <c r="L510" s="12">
        <v>0.010416666667879326</v>
      </c>
      <c r="M510" s="13">
        <f>CRF_3[[#This Row],[Time Spent on Configuration]]+CRF_3[[#This Row],[Time Spent on Review/Testing]]</f>
        <v>NaN</v>
      </c>
      <c r="O510" s="1" t="s">
        <v>4205</v>
      </c>
      <c r="P510" s="1" t="s">
        <v>32</v>
      </c>
      <c r="Q510" s="1" t="s">
        <v>488</v>
      </c>
      <c r="R510" s="11">
        <v>44218</v>
      </c>
      <c r="S510" s="1">
        <v>5</v>
      </c>
      <c r="U510" s="48"/>
    </row>
    <row r="511" ht="30" customHeight="1" spans="1:21" x14ac:dyDescent="0.25">
      <c r="A511" s="1" t="s">
        <v>3576</v>
      </c>
      <c r="B511" s="1">
        <v>2021</v>
      </c>
      <c r="C511" s="2" t="s">
        <v>35</v>
      </c>
      <c r="D511" s="1" t="s">
        <v>25</v>
      </c>
      <c r="E511" s="1">
        <v>236870</v>
      </c>
      <c r="F511" s="1" t="s">
        <v>27</v>
      </c>
      <c r="G511" s="11">
        <v>44219</v>
      </c>
      <c r="H511" s="14" t="s">
        <v>50</v>
      </c>
      <c r="I511" s="2" t="s">
        <v>2232</v>
      </c>
      <c r="J511" s="2" t="s">
        <v>4206</v>
      </c>
      <c r="K511" s="12">
        <v>0.041666666667879326</v>
      </c>
      <c r="L511" s="12">
        <v>0.05833333333430346</v>
      </c>
      <c r="M511" s="13">
        <f>CRF_3[[#This Row],[Time Spent on Configuration]]+CRF_3[[#This Row],[Time Spent on Review/Testing]]</f>
        <v>NaN</v>
      </c>
      <c r="O511" s="1" t="s">
        <v>4207</v>
      </c>
      <c r="P511" s="1" t="s">
        <v>32</v>
      </c>
      <c r="Q511" s="1" t="s">
        <v>42</v>
      </c>
      <c r="R511" s="11">
        <v>44219</v>
      </c>
      <c r="S511" s="1">
        <v>5</v>
      </c>
      <c r="U511" s="48"/>
    </row>
    <row r="512" spans="1:21" x14ac:dyDescent="0.25">
      <c r="A512" s="1" t="s">
        <v>3576</v>
      </c>
      <c r="B512" s="1">
        <v>2021</v>
      </c>
      <c r="C512" s="2" t="s">
        <v>170</v>
      </c>
      <c r="D512" s="1" t="s">
        <v>25</v>
      </c>
      <c r="E512" s="1">
        <v>239456</v>
      </c>
      <c r="F512" s="1" t="s">
        <v>27</v>
      </c>
      <c r="G512" s="11">
        <v>44222</v>
      </c>
      <c r="H512" s="14" t="s">
        <v>50</v>
      </c>
      <c r="I512" s="2" t="s">
        <v>4208</v>
      </c>
      <c r="J512" s="2" t="s">
        <v>4208</v>
      </c>
      <c r="K512" s="12">
        <v>0.01736111110949423</v>
      </c>
      <c r="L512" s="12">
        <v>0.01736111110949423</v>
      </c>
      <c r="M512" s="13">
        <f>CRF_3[[#This Row],[Time Spent on Configuration]]+CRF_3[[#This Row],[Time Spent on Review/Testing]]</f>
        <v>NaN</v>
      </c>
      <c r="O512" s="1" t="s">
        <v>574</v>
      </c>
      <c r="P512" s="1" t="s">
        <v>4187</v>
      </c>
      <c r="Q512" s="1" t="s">
        <v>488</v>
      </c>
      <c r="R512" s="11">
        <v>44222</v>
      </c>
      <c r="S512" s="1">
        <v>5</v>
      </c>
      <c r="U512" s="48"/>
    </row>
    <row r="513" ht="60" customHeight="1" spans="1:21" x14ac:dyDescent="0.25">
      <c r="A513" s="1" t="s">
        <v>4194</v>
      </c>
      <c r="B513" s="1">
        <v>2021</v>
      </c>
      <c r="C513" s="2" t="s">
        <v>35</v>
      </c>
      <c r="D513" s="1" t="s">
        <v>25</v>
      </c>
      <c r="E513" s="1">
        <v>239308</v>
      </c>
      <c r="F513" s="1" t="s">
        <v>27</v>
      </c>
      <c r="G513" s="11">
        <v>44223</v>
      </c>
      <c r="H513" s="14" t="s">
        <v>74</v>
      </c>
      <c r="I513" s="2" t="s">
        <v>4209</v>
      </c>
      <c r="J513" s="2" t="s">
        <v>4210</v>
      </c>
      <c r="K513" s="12">
        <v>0.04097222222117125</v>
      </c>
      <c r="L513" s="12">
        <v>0.05902777777737356</v>
      </c>
      <c r="M513" s="13">
        <f>CRF_3[[#This Row],[Time Spent on Configuration]]+CRF_3[[#This Row],[Time Spent on Review/Testing]]</f>
        <v>NaN</v>
      </c>
      <c r="O513" s="1" t="s">
        <v>32</v>
      </c>
      <c r="P513" s="1" t="s">
        <v>4187</v>
      </c>
      <c r="Q513" s="1" t="s">
        <v>42</v>
      </c>
      <c r="R513" s="11">
        <v>44223</v>
      </c>
      <c r="S513" s="1">
        <v>5</v>
      </c>
      <c r="U513" s="48"/>
    </row>
    <row r="514" ht="45" customHeight="1" spans="1:21" x14ac:dyDescent="0.25">
      <c r="A514" s="1" t="s">
        <v>4194</v>
      </c>
      <c r="B514" s="1">
        <v>2021</v>
      </c>
      <c r="C514" s="2" t="s">
        <v>99</v>
      </c>
      <c r="D514" s="1" t="s">
        <v>25</v>
      </c>
      <c r="E514" s="1">
        <v>239540</v>
      </c>
      <c r="F514" s="1" t="s">
        <v>27</v>
      </c>
      <c r="G514" s="11">
        <v>44224</v>
      </c>
      <c r="H514" s="14" t="s">
        <v>28</v>
      </c>
      <c r="I514" s="2" t="s">
        <v>2240</v>
      </c>
      <c r="J514" s="2" t="s">
        <v>4211</v>
      </c>
      <c r="K514" s="12">
        <v>0.020138888889050577</v>
      </c>
      <c r="L514" s="12">
        <v>0.0625</v>
      </c>
      <c r="M514" s="13">
        <f>CRF_3[[#This Row],[Time Spent on Configuration]]+CRF_3[[#This Row],[Time Spent on Review/Testing]]</f>
        <v>NaN</v>
      </c>
      <c r="O514" s="1" t="s">
        <v>32</v>
      </c>
      <c r="P514" s="1" t="s">
        <v>4187</v>
      </c>
      <c r="Q514" s="1" t="s">
        <v>484</v>
      </c>
      <c r="R514" s="11">
        <v>44224</v>
      </c>
      <c r="S514" s="1">
        <v>5</v>
      </c>
      <c r="U514" s="48"/>
    </row>
    <row r="515" spans="1:21" x14ac:dyDescent="0.25">
      <c r="A515" s="1" t="s">
        <v>3594</v>
      </c>
      <c r="B515" s="1">
        <v>2021</v>
      </c>
      <c r="C515" s="2" t="s">
        <v>616</v>
      </c>
      <c r="D515" s="1" t="s">
        <v>617</v>
      </c>
      <c r="E515" s="1">
        <v>239834</v>
      </c>
      <c r="F515" s="1" t="s">
        <v>27</v>
      </c>
      <c r="G515" s="11">
        <v>44228</v>
      </c>
      <c r="H515" s="14" t="s">
        <v>1073</v>
      </c>
      <c r="I515" s="2" t="s">
        <v>4212</v>
      </c>
      <c r="J515" s="2" t="s">
        <v>2245</v>
      </c>
      <c r="K515" s="12">
        <v>0.020138888889050577</v>
      </c>
      <c r="L515" s="12"/>
      <c r="M515" s="13">
        <f>CRF_3[[#This Row],[Time Spent on Configuration]]+CRF_3[[#This Row],[Time Spent on Review/Testing]]</f>
        <v>NaN</v>
      </c>
      <c r="O515" s="1" t="s">
        <v>53</v>
      </c>
      <c r="Q515" s="1" t="s">
        <v>484</v>
      </c>
      <c r="R515" s="11">
        <v>44228</v>
      </c>
      <c r="S515" s="1">
        <v>5</v>
      </c>
      <c r="U515" s="48"/>
    </row>
    <row r="516" ht="45" customHeight="1" spans="1:21" x14ac:dyDescent="0.25">
      <c r="A516" s="1" t="s">
        <v>3594</v>
      </c>
      <c r="B516" s="1">
        <v>2021</v>
      </c>
      <c r="C516" s="2" t="s">
        <v>616</v>
      </c>
      <c r="D516" s="1" t="s">
        <v>617</v>
      </c>
      <c r="E516" s="1">
        <v>232486</v>
      </c>
      <c r="F516" s="1" t="s">
        <v>27</v>
      </c>
      <c r="G516" s="11">
        <v>44228</v>
      </c>
      <c r="H516" s="14" t="s">
        <v>50</v>
      </c>
      <c r="I516" s="2" t="s">
        <v>2247</v>
      </c>
      <c r="J516" s="2" t="s">
        <v>4213</v>
      </c>
      <c r="K516" s="12">
        <v>0.0020833333328482695</v>
      </c>
      <c r="L516" s="12">
        <v>0.010416666667879326</v>
      </c>
      <c r="M516" s="13">
        <f>CRF_3[[#This Row],[Time Spent on Configuration]]+CRF_3[[#This Row],[Time Spent on Review/Testing]]</f>
        <v>NaN</v>
      </c>
      <c r="O516" s="1" t="s">
        <v>32</v>
      </c>
      <c r="P516" s="1" t="s">
        <v>4187</v>
      </c>
      <c r="Q516" s="1" t="s">
        <v>484</v>
      </c>
      <c r="R516" s="11">
        <v>44228</v>
      </c>
      <c r="S516" s="1">
        <v>5</v>
      </c>
      <c r="U516" s="48"/>
    </row>
    <row r="517" ht="60" customHeight="1" spans="1:21" x14ac:dyDescent="0.25">
      <c r="A517" s="1" t="s">
        <v>3594</v>
      </c>
      <c r="B517" s="1">
        <v>2021</v>
      </c>
      <c r="C517" s="2" t="s">
        <v>616</v>
      </c>
      <c r="D517" s="1" t="s">
        <v>617</v>
      </c>
      <c r="E517" s="1">
        <v>239289</v>
      </c>
      <c r="F517" s="1" t="s">
        <v>37</v>
      </c>
      <c r="G517" s="11">
        <v>44230</v>
      </c>
      <c r="H517" s="14" t="s">
        <v>953</v>
      </c>
      <c r="I517" s="2" t="s">
        <v>4214</v>
      </c>
      <c r="J517" s="2" t="s">
        <v>4215</v>
      </c>
      <c r="K517" s="12">
        <v>0.10416666666787933</v>
      </c>
      <c r="L517" s="12">
        <v>0.06944444444525288</v>
      </c>
      <c r="M517" s="13">
        <f>CRF_3[[#This Row],[Time Spent on Configuration]]+CRF_3[[#This Row],[Time Spent on Review/Testing]]</f>
        <v>NaN</v>
      </c>
      <c r="O517" s="1" t="s">
        <v>31</v>
      </c>
      <c r="P517" s="1" t="s">
        <v>483</v>
      </c>
      <c r="Q517" s="1" t="s">
        <v>484</v>
      </c>
      <c r="R517" s="11">
        <v>44230</v>
      </c>
      <c r="S517" s="1">
        <v>5</v>
      </c>
      <c r="U517" s="48"/>
    </row>
    <row r="518" ht="30" customHeight="1" spans="1:21" x14ac:dyDescent="0.25">
      <c r="A518" s="1" t="s">
        <v>3594</v>
      </c>
      <c r="B518" s="1">
        <v>2021</v>
      </c>
      <c r="C518" s="2" t="s">
        <v>1603</v>
      </c>
      <c r="D518" s="1" t="s">
        <v>1659</v>
      </c>
      <c r="E518" s="1">
        <v>240377</v>
      </c>
      <c r="F518" s="1" t="s">
        <v>37</v>
      </c>
      <c r="G518" s="11">
        <v>44231</v>
      </c>
      <c r="H518" s="11" t="s">
        <v>670</v>
      </c>
      <c r="I518" s="2" t="s">
        <v>2253</v>
      </c>
      <c r="J518" s="2" t="s">
        <v>2254</v>
      </c>
      <c r="K518" s="12">
        <v>0.0625</v>
      </c>
      <c r="L518" s="12">
        <v>0.027777777777373558</v>
      </c>
      <c r="M518" s="13">
        <f>CRF_3[[#This Row],[Time Spent on Configuration]]+CRF_3[[#This Row],[Time Spent on Review/Testing]]</f>
        <v>NaN</v>
      </c>
      <c r="O518" s="1" t="s">
        <v>574</v>
      </c>
      <c r="P518" s="1" t="s">
        <v>483</v>
      </c>
      <c r="Q518" s="1" t="s">
        <v>488</v>
      </c>
      <c r="R518" s="11">
        <v>44231</v>
      </c>
      <c r="S518" s="1">
        <v>5</v>
      </c>
      <c r="U518" s="48"/>
    </row>
    <row r="519" ht="90" customHeight="1" spans="1:21" x14ac:dyDescent="0.25">
      <c r="A519" s="1" t="s">
        <v>3594</v>
      </c>
      <c r="B519" s="1">
        <v>2021</v>
      </c>
      <c r="C519" s="2" t="s">
        <v>525</v>
      </c>
      <c r="D519" s="1" t="s">
        <v>25</v>
      </c>
      <c r="E519" s="1">
        <v>240466</v>
      </c>
      <c r="F519" s="1" t="s">
        <v>27</v>
      </c>
      <c r="G519" s="11">
        <v>44233</v>
      </c>
      <c r="H519" s="14" t="s">
        <v>28</v>
      </c>
      <c r="I519" s="2" t="s">
        <v>4216</v>
      </c>
      <c r="J519" s="2" t="s">
        <v>2257</v>
      </c>
      <c r="K519" s="12">
        <v>0.015277777776645962</v>
      </c>
      <c r="L519" s="12">
        <v>0.06944444444525288</v>
      </c>
      <c r="M519" s="13">
        <f>CRF_3[[#This Row],[Time Spent on Configuration]]+CRF_3[[#This Row],[Time Spent on Review/Testing]]</f>
        <v>NaN</v>
      </c>
      <c r="N519" s="12"/>
      <c r="O519" s="1" t="s">
        <v>32</v>
      </c>
      <c r="P519" s="1" t="s">
        <v>483</v>
      </c>
      <c r="Q519" s="1" t="s">
        <v>484</v>
      </c>
      <c r="R519" s="11">
        <v>44233</v>
      </c>
      <c r="S519" s="1">
        <v>5</v>
      </c>
      <c r="U519" s="48"/>
    </row>
    <row r="520" ht="105" customHeight="1" spans="1:21" x14ac:dyDescent="0.25">
      <c r="A520" s="1" t="s">
        <v>3594</v>
      </c>
      <c r="B520" s="1">
        <v>2021</v>
      </c>
      <c r="C520" s="2" t="s">
        <v>4204</v>
      </c>
      <c r="D520" s="1" t="s">
        <v>44</v>
      </c>
      <c r="E520" s="1">
        <v>239145</v>
      </c>
      <c r="F520" s="1" t="s">
        <v>27</v>
      </c>
      <c r="G520" s="11">
        <v>44237</v>
      </c>
      <c r="H520" s="14" t="s">
        <v>28</v>
      </c>
      <c r="I520" s="2" t="s">
        <v>4217</v>
      </c>
      <c r="J520" s="2" t="s">
        <v>2260</v>
      </c>
      <c r="K520" s="12">
        <v>0.08333333333212067</v>
      </c>
      <c r="L520" s="12">
        <v>0.07986111110949423</v>
      </c>
      <c r="M520" s="13">
        <f>CRF_3[[#This Row],[Time Spent on Configuration]]+CRF_3[[#This Row],[Time Spent on Review/Testing]]</f>
        <v>NaN</v>
      </c>
      <c r="O520" s="1" t="s">
        <v>31</v>
      </c>
      <c r="P520" s="1" t="s">
        <v>483</v>
      </c>
      <c r="Q520" s="1" t="s">
        <v>488</v>
      </c>
      <c r="R520" s="11"/>
      <c r="S520" s="1">
        <v>5</v>
      </c>
      <c r="U520" s="48"/>
    </row>
    <row r="521" spans="1:21" x14ac:dyDescent="0.25">
      <c r="A521" s="1" t="s">
        <v>4218</v>
      </c>
      <c r="B521" s="1">
        <v>2021</v>
      </c>
      <c r="C521" s="2" t="s">
        <v>529</v>
      </c>
      <c r="D521" s="1" t="s">
        <v>1924</v>
      </c>
      <c r="E521" s="1">
        <v>241721</v>
      </c>
      <c r="F521" s="1" t="s">
        <v>27</v>
      </c>
      <c r="G521" s="11">
        <v>44246</v>
      </c>
      <c r="H521" s="14" t="s">
        <v>28</v>
      </c>
      <c r="I521" s="2" t="s">
        <v>2262</v>
      </c>
      <c r="J521" s="2" t="s">
        <v>4219</v>
      </c>
      <c r="K521" s="12">
        <v>0.004166666665696539</v>
      </c>
      <c r="L521" s="12">
        <v>0.027777777777373558</v>
      </c>
      <c r="M521" s="13">
        <f>CRF_3[[#This Row],[Time Spent on Configuration]]+CRF_3[[#This Row],[Time Spent on Review/Testing]]</f>
        <v>NaN</v>
      </c>
      <c r="O521" s="1" t="s">
        <v>32</v>
      </c>
      <c r="P521" s="1" t="s">
        <v>4187</v>
      </c>
      <c r="Q521" s="1" t="s">
        <v>488</v>
      </c>
      <c r="R521" s="11">
        <v>44246</v>
      </c>
      <c r="S521" s="1">
        <v>5</v>
      </c>
      <c r="U521" s="48"/>
    </row>
    <row r="522" spans="1:21" x14ac:dyDescent="0.25">
      <c r="A522" s="1" t="s">
        <v>4218</v>
      </c>
      <c r="B522" s="1">
        <v>2021</v>
      </c>
      <c r="C522" s="2" t="s">
        <v>118</v>
      </c>
      <c r="D522" s="1" t="s">
        <v>25</v>
      </c>
      <c r="E522" s="1">
        <v>240261</v>
      </c>
      <c r="F522" s="1" t="s">
        <v>27</v>
      </c>
      <c r="G522" s="11">
        <v>44246</v>
      </c>
      <c r="H522" s="14" t="s">
        <v>38</v>
      </c>
      <c r="I522" s="2" t="s">
        <v>2265</v>
      </c>
      <c r="J522" s="2" t="s">
        <v>2266</v>
      </c>
      <c r="K522" s="12">
        <v>0.4166666666678793</v>
      </c>
      <c r="L522" s="12"/>
      <c r="M522" s="13">
        <f>CRF_3[[#This Row],[Time Spent on Configuration]]+CRF_3[[#This Row],[Time Spent on Review/Testing]]</f>
        <v>NaN</v>
      </c>
      <c r="O522" s="1" t="s">
        <v>31</v>
      </c>
      <c r="P522" s="1" t="s">
        <v>4187</v>
      </c>
      <c r="Q522" s="1" t="s">
        <v>484</v>
      </c>
      <c r="R522" s="11">
        <v>44246</v>
      </c>
      <c r="S522" s="1">
        <v>5</v>
      </c>
      <c r="U522" s="48"/>
    </row>
    <row r="523" ht="30" customHeight="1" spans="1:21" x14ac:dyDescent="0.25">
      <c r="A523" s="1" t="s">
        <v>4218</v>
      </c>
      <c r="B523" s="1">
        <v>2021</v>
      </c>
      <c r="C523" s="2" t="s">
        <v>616</v>
      </c>
      <c r="D523" s="1" t="s">
        <v>617</v>
      </c>
      <c r="E523" s="1">
        <v>241503</v>
      </c>
      <c r="F523" s="1" t="s">
        <v>37</v>
      </c>
      <c r="G523" s="11">
        <v>44246</v>
      </c>
      <c r="H523" s="14" t="s">
        <v>28</v>
      </c>
      <c r="I523" s="2" t="s">
        <v>2268</v>
      </c>
      <c r="J523" s="2" t="s">
        <v>2269</v>
      </c>
      <c r="K523" s="12">
        <v>0.013888888890505768</v>
      </c>
      <c r="L523" s="12">
        <v>0.01736111110949423</v>
      </c>
      <c r="M523" s="13">
        <f>CRF_3[[#This Row],[Time Spent on Configuration]]+CRF_3[[#This Row],[Time Spent on Review/Testing]]</f>
        <v>NaN</v>
      </c>
      <c r="O523" s="1" t="s">
        <v>31</v>
      </c>
      <c r="P523" s="1" t="s">
        <v>4187</v>
      </c>
      <c r="Q523" s="1" t="s">
        <v>484</v>
      </c>
      <c r="R523" s="11">
        <v>44246</v>
      </c>
      <c r="S523" s="1">
        <v>5</v>
      </c>
      <c r="U523" s="48"/>
    </row>
    <row r="524" spans="1:21" x14ac:dyDescent="0.25">
      <c r="A524" s="1" t="s">
        <v>4218</v>
      </c>
      <c r="B524" s="1">
        <v>2021</v>
      </c>
      <c r="C524" s="2" t="s">
        <v>1038</v>
      </c>
      <c r="D524" s="1" t="s">
        <v>1659</v>
      </c>
      <c r="E524" s="1">
        <v>240712</v>
      </c>
      <c r="F524" s="1" t="s">
        <v>37</v>
      </c>
      <c r="G524" s="11">
        <v>44250</v>
      </c>
      <c r="H524" s="14" t="s">
        <v>2088</v>
      </c>
      <c r="I524" s="2" t="s">
        <v>2271</v>
      </c>
      <c r="J524" s="2" t="s">
        <v>2272</v>
      </c>
      <c r="K524" s="12">
        <v>0.027777777777373558</v>
      </c>
      <c r="L524" s="12"/>
      <c r="M524" s="13">
        <f>CRF_3[[#This Row],[Time Spent on Configuration]]+CRF_3[[#This Row],[Time Spent on Review/Testing]]</f>
        <v>NaN</v>
      </c>
      <c r="O524" s="1" t="s">
        <v>53</v>
      </c>
      <c r="Q524" s="1" t="s">
        <v>488</v>
      </c>
      <c r="R524" s="11">
        <v>44250</v>
      </c>
      <c r="S524" s="1">
        <v>5</v>
      </c>
      <c r="U524" s="48"/>
    </row>
    <row r="525" ht="300" customHeight="1" spans="1:21" x14ac:dyDescent="0.25">
      <c r="A525" s="1" t="s">
        <v>3594</v>
      </c>
      <c r="B525" s="1">
        <v>2021</v>
      </c>
      <c r="C525" s="2" t="s">
        <v>4204</v>
      </c>
      <c r="D525" s="1" t="s">
        <v>44</v>
      </c>
      <c r="E525" s="1">
        <v>241117</v>
      </c>
      <c r="F525" s="1" t="s">
        <v>27</v>
      </c>
      <c r="G525" s="11">
        <v>44250</v>
      </c>
      <c r="H525" s="14" t="s">
        <v>28</v>
      </c>
      <c r="I525" s="2" t="s">
        <v>4220</v>
      </c>
      <c r="J525" s="2" t="s">
        <v>4221</v>
      </c>
      <c r="K525" s="12">
        <v>0.06597222222262644</v>
      </c>
      <c r="L525" s="12">
        <v>0.10763888889050577</v>
      </c>
      <c r="M525" s="13">
        <f>CRF_3[[#This Row],[Time Spent on Configuration]]+CRF_3[[#This Row],[Time Spent on Review/Testing]]</f>
        <v>NaN</v>
      </c>
      <c r="O525" s="1" t="s">
        <v>32</v>
      </c>
      <c r="P525" s="1" t="s">
        <v>483</v>
      </c>
      <c r="Q525" s="1" t="s">
        <v>488</v>
      </c>
      <c r="R525" s="11">
        <v>44250</v>
      </c>
      <c r="S525" s="1">
        <v>5</v>
      </c>
      <c r="U525" s="48"/>
    </row>
    <row r="526" ht="60" customHeight="1" spans="1:21" x14ac:dyDescent="0.25">
      <c r="A526" s="1" t="s">
        <v>4218</v>
      </c>
      <c r="B526" s="1">
        <v>2021</v>
      </c>
      <c r="C526" s="2" t="s">
        <v>4222</v>
      </c>
      <c r="D526" s="1" t="s">
        <v>541</v>
      </c>
      <c r="E526" s="1">
        <v>241463</v>
      </c>
      <c r="F526" s="1" t="s">
        <v>27</v>
      </c>
      <c r="G526" s="11">
        <v>44251</v>
      </c>
      <c r="H526" s="14" t="s">
        <v>74</v>
      </c>
      <c r="I526" s="2" t="s">
        <v>4223</v>
      </c>
      <c r="J526" s="2" t="s">
        <v>2278</v>
      </c>
      <c r="K526" s="12">
        <v>0.005555555555474712</v>
      </c>
      <c r="L526" s="12">
        <v>0.027777777777373558</v>
      </c>
      <c r="M526" s="13">
        <f>CRF_3[[#This Row],[Time Spent on Configuration]]+CRF_3[[#This Row],[Time Spent on Review/Testing]]</f>
        <v>NaN</v>
      </c>
      <c r="O526" s="1" t="s">
        <v>32</v>
      </c>
      <c r="P526" s="1" t="s">
        <v>4187</v>
      </c>
      <c r="Q526" s="1" t="s">
        <v>488</v>
      </c>
      <c r="R526" s="11">
        <v>44251</v>
      </c>
      <c r="S526" s="1">
        <v>5</v>
      </c>
      <c r="U526" s="48"/>
    </row>
    <row r="527" ht="30" customHeight="1" spans="1:21" x14ac:dyDescent="0.25">
      <c r="A527" s="1" t="s">
        <v>4218</v>
      </c>
      <c r="B527" s="1">
        <v>2021</v>
      </c>
      <c r="C527" s="2" t="s">
        <v>1635</v>
      </c>
      <c r="D527" s="1" t="s">
        <v>186</v>
      </c>
      <c r="E527" s="1">
        <v>242118</v>
      </c>
      <c r="F527" s="1" t="s">
        <v>37</v>
      </c>
      <c r="G527" s="11">
        <v>44251</v>
      </c>
      <c r="H527" s="14" t="s">
        <v>28</v>
      </c>
      <c r="I527" s="2" t="s">
        <v>2280</v>
      </c>
      <c r="J527" s="2" t="s">
        <v>2281</v>
      </c>
      <c r="K527" s="12">
        <v>0.027777777777373558</v>
      </c>
      <c r="L527" s="12">
        <v>0.0625</v>
      </c>
      <c r="M527" s="13">
        <f>CRF_3[[#This Row],[Time Spent on Configuration]]+CRF_3[[#This Row],[Time Spent on Review/Testing]]</f>
        <v>NaN</v>
      </c>
      <c r="O527" s="1" t="s">
        <v>31</v>
      </c>
      <c r="P527" s="1" t="s">
        <v>4187</v>
      </c>
      <c r="Q527" s="1" t="s">
        <v>488</v>
      </c>
      <c r="R527" s="11">
        <v>44251</v>
      </c>
      <c r="S527" s="1">
        <v>5</v>
      </c>
      <c r="U527" s="48"/>
    </row>
    <row r="528" ht="60" customHeight="1" spans="1:21" x14ac:dyDescent="0.25">
      <c r="A528" s="1" t="s">
        <v>4218</v>
      </c>
      <c r="B528" s="1">
        <v>2021</v>
      </c>
      <c r="C528" s="2" t="s">
        <v>199</v>
      </c>
      <c r="D528" s="1" t="s">
        <v>541</v>
      </c>
      <c r="E528" s="1">
        <v>241463</v>
      </c>
      <c r="F528" s="1" t="s">
        <v>37</v>
      </c>
      <c r="G528" s="11">
        <v>44251</v>
      </c>
      <c r="H528" s="14" t="s">
        <v>74</v>
      </c>
      <c r="I528" s="2" t="s">
        <v>4224</v>
      </c>
      <c r="J528" s="2" t="s">
        <v>4225</v>
      </c>
      <c r="K528" s="12">
        <v>0.027777777777373558</v>
      </c>
      <c r="L528" s="12">
        <v>0.036111111112404615</v>
      </c>
      <c r="M528" s="13">
        <f>CRF_3[[#This Row],[Time Spent on Configuration]]+CRF_3[[#This Row],[Time Spent on Review/Testing]]</f>
        <v>NaN</v>
      </c>
      <c r="O528" s="1" t="s">
        <v>53</v>
      </c>
      <c r="P528" s="1" t="s">
        <v>4187</v>
      </c>
      <c r="Q528" s="1" t="s">
        <v>488</v>
      </c>
      <c r="R528" s="11">
        <v>44251</v>
      </c>
      <c r="S528" s="1">
        <v>5</v>
      </c>
      <c r="U528" s="48"/>
    </row>
    <row r="529" ht="135" customHeight="1" spans="1:21" x14ac:dyDescent="0.25">
      <c r="A529" s="1" t="s">
        <v>4218</v>
      </c>
      <c r="B529" s="1">
        <v>2021</v>
      </c>
      <c r="C529" s="2" t="s">
        <v>616</v>
      </c>
      <c r="D529" s="1" t="s">
        <v>617</v>
      </c>
      <c r="E529" s="1">
        <v>242031</v>
      </c>
      <c r="F529" s="1" t="s">
        <v>37</v>
      </c>
      <c r="G529" s="11">
        <v>44251</v>
      </c>
      <c r="H529" s="14" t="s">
        <v>28</v>
      </c>
      <c r="I529" s="2" t="s">
        <v>4226</v>
      </c>
      <c r="J529" s="2" t="s">
        <v>4227</v>
      </c>
      <c r="K529" s="12">
        <v>0.020833333332120674</v>
      </c>
      <c r="L529" s="12">
        <v>0.03125</v>
      </c>
      <c r="M529" s="13">
        <f>CRF_3[[#This Row],[Time Spent on Configuration]]+CRF_3[[#This Row],[Time Spent on Review/Testing]]</f>
        <v>NaN</v>
      </c>
      <c r="O529" s="1" t="s">
        <v>53</v>
      </c>
      <c r="P529" s="1" t="s">
        <v>4187</v>
      </c>
      <c r="Q529" s="1" t="s">
        <v>484</v>
      </c>
      <c r="R529" s="11">
        <v>44251</v>
      </c>
      <c r="S529" s="1">
        <v>5</v>
      </c>
      <c r="U529" s="48"/>
    </row>
    <row r="530" spans="1:21" x14ac:dyDescent="0.25">
      <c r="A530" s="1" t="s">
        <v>4228</v>
      </c>
      <c r="B530" s="1">
        <v>2021</v>
      </c>
      <c r="C530" s="2" t="s">
        <v>525</v>
      </c>
      <c r="D530" s="1" t="s">
        <v>25</v>
      </c>
      <c r="E530" s="1">
        <v>242327</v>
      </c>
      <c r="F530" s="1" t="s">
        <v>27</v>
      </c>
      <c r="G530" s="11">
        <v>44259</v>
      </c>
      <c r="H530" s="14" t="s">
        <v>28</v>
      </c>
      <c r="I530" s="2" t="s">
        <v>2289</v>
      </c>
      <c r="J530" s="2" t="s">
        <v>4229</v>
      </c>
      <c r="K530" s="12">
        <v>0.015277777776645962</v>
      </c>
      <c r="L530" s="12">
        <v>0.06944444444525288</v>
      </c>
      <c r="M530" s="13">
        <f>CRF_3[[#This Row],[Time Spent on Configuration]]+CRF_3[[#This Row],[Time Spent on Review/Testing]]</f>
        <v>NaN</v>
      </c>
      <c r="O530" s="1" t="s">
        <v>32</v>
      </c>
      <c r="P530" s="1" t="s">
        <v>4187</v>
      </c>
      <c r="Q530" s="1" t="s">
        <v>484</v>
      </c>
      <c r="R530" s="11">
        <v>44259</v>
      </c>
      <c r="S530" s="1">
        <v>5</v>
      </c>
      <c r="U530" s="48"/>
    </row>
    <row r="531" spans="1:21" x14ac:dyDescent="0.25">
      <c r="A531" s="1" t="s">
        <v>4228</v>
      </c>
      <c r="B531" s="1">
        <v>2021</v>
      </c>
      <c r="C531" s="2" t="s">
        <v>43</v>
      </c>
      <c r="D531" s="1" t="s">
        <v>44</v>
      </c>
      <c r="E531" s="1">
        <v>242383</v>
      </c>
      <c r="F531" s="1" t="s">
        <v>27</v>
      </c>
      <c r="G531" s="11">
        <v>44259</v>
      </c>
      <c r="H531" s="14" t="s">
        <v>255</v>
      </c>
      <c r="I531" s="2" t="s">
        <v>2292</v>
      </c>
      <c r="J531" s="2" t="s">
        <v>4230</v>
      </c>
      <c r="K531" s="12">
        <v>0.020833333332120674</v>
      </c>
      <c r="L531" s="12">
        <v>0.027777777777373558</v>
      </c>
      <c r="M531" s="13">
        <f>CRF_3[[#This Row],[Time Spent on Configuration]]+CRF_3[[#This Row],[Time Spent on Review/Testing]]</f>
        <v>NaN</v>
      </c>
      <c r="O531" s="1" t="s">
        <v>574</v>
      </c>
      <c r="P531" s="1" t="s">
        <v>483</v>
      </c>
      <c r="Q531" s="1" t="s">
        <v>488</v>
      </c>
      <c r="R531" s="11">
        <v>44258</v>
      </c>
      <c r="S531" s="1">
        <v>5</v>
      </c>
      <c r="U531" s="48"/>
    </row>
    <row r="532" spans="1:21" x14ac:dyDescent="0.25">
      <c r="A532" s="1" t="s">
        <v>4228</v>
      </c>
      <c r="B532" s="1">
        <v>2021</v>
      </c>
      <c r="C532" s="2" t="s">
        <v>796</v>
      </c>
      <c r="D532" s="1" t="s">
        <v>186</v>
      </c>
      <c r="E532" s="1">
        <v>240290</v>
      </c>
      <c r="F532" s="1" t="s">
        <v>27</v>
      </c>
      <c r="G532" s="11">
        <v>44259</v>
      </c>
      <c r="H532" s="11" t="s">
        <v>670</v>
      </c>
      <c r="I532" s="2" t="s">
        <v>2295</v>
      </c>
      <c r="J532" s="2" t="s">
        <v>2296</v>
      </c>
      <c r="K532" s="12">
        <v>0.10416666666787933</v>
      </c>
      <c r="L532" s="12">
        <v>0.041666666667879326</v>
      </c>
      <c r="M532" s="13">
        <f>CRF_3[[#This Row],[Time Spent on Configuration]]+CRF_3[[#This Row],[Time Spent on Review/Testing]]</f>
        <v>NaN</v>
      </c>
      <c r="O532" s="1" t="s">
        <v>574</v>
      </c>
      <c r="P532" s="1" t="s">
        <v>4231</v>
      </c>
      <c r="Q532" s="1" t="s">
        <v>484</v>
      </c>
      <c r="R532" s="11">
        <v>44259</v>
      </c>
      <c r="S532" s="1">
        <v>5</v>
      </c>
      <c r="U532" s="48"/>
    </row>
    <row r="533" spans="1:21" x14ac:dyDescent="0.25">
      <c r="A533" s="1" t="s">
        <v>4228</v>
      </c>
      <c r="B533" s="1">
        <v>2021</v>
      </c>
      <c r="C533" s="2" t="s">
        <v>35</v>
      </c>
      <c r="D533" s="1" t="s">
        <v>25</v>
      </c>
      <c r="E533" s="1">
        <v>242877</v>
      </c>
      <c r="F533" s="1" t="s">
        <v>27</v>
      </c>
      <c r="G533" s="11">
        <v>44259</v>
      </c>
      <c r="H533" s="14" t="s">
        <v>28</v>
      </c>
      <c r="I533" s="2" t="s">
        <v>2298</v>
      </c>
      <c r="J533" s="2" t="s">
        <v>4232</v>
      </c>
      <c r="K533" s="12">
        <v>0.16666666666787933</v>
      </c>
      <c r="L533" s="12">
        <v>0.10416666666787933</v>
      </c>
      <c r="M533" s="13">
        <f>CRF_3[[#This Row],[Time Spent on Configuration]]+CRF_3[[#This Row],[Time Spent on Review/Testing]]</f>
        <v>NaN</v>
      </c>
      <c r="O533" s="1" t="s">
        <v>4207</v>
      </c>
      <c r="P533" s="1" t="s">
        <v>32</v>
      </c>
      <c r="Q533" s="1" t="s">
        <v>42</v>
      </c>
      <c r="R533" s="11">
        <v>44260</v>
      </c>
      <c r="S533" s="1">
        <v>5</v>
      </c>
      <c r="U533" s="48"/>
    </row>
    <row r="534" ht="90" customHeight="1" spans="1:21" x14ac:dyDescent="0.25">
      <c r="A534" s="1" t="s">
        <v>4228</v>
      </c>
      <c r="B534" s="1">
        <v>2021</v>
      </c>
      <c r="C534" s="2" t="s">
        <v>118</v>
      </c>
      <c r="D534" s="1" t="s">
        <v>25</v>
      </c>
      <c r="E534" s="1">
        <v>243314</v>
      </c>
      <c r="F534" s="1" t="s">
        <v>37</v>
      </c>
      <c r="G534" s="11">
        <v>44264</v>
      </c>
      <c r="H534" s="14" t="s">
        <v>96</v>
      </c>
      <c r="I534" s="2" t="s">
        <v>4233</v>
      </c>
      <c r="J534" s="2" t="s">
        <v>4234</v>
      </c>
      <c r="K534" s="12">
        <v>0.03125</v>
      </c>
      <c r="L534" s="12">
        <v>0.08680555555474712</v>
      </c>
      <c r="M534" s="13">
        <f>CRF_3[[#This Row],[Time Spent on Configuration]]+CRF_3[[#This Row],[Time Spent on Review/Testing]]</f>
        <v>NaN</v>
      </c>
      <c r="O534" s="1" t="s">
        <v>31</v>
      </c>
      <c r="P534" s="1" t="s">
        <v>483</v>
      </c>
      <c r="Q534" s="1" t="s">
        <v>484</v>
      </c>
      <c r="R534" s="11">
        <v>44264</v>
      </c>
      <c r="S534" s="1">
        <v>5</v>
      </c>
      <c r="U534" s="48"/>
    </row>
    <row r="535" spans="1:21" x14ac:dyDescent="0.25">
      <c r="A535" s="1" t="s">
        <v>4228</v>
      </c>
      <c r="B535" s="1">
        <v>2021</v>
      </c>
      <c r="C535" s="2" t="s">
        <v>35</v>
      </c>
      <c r="D535" s="1" t="s">
        <v>25</v>
      </c>
      <c r="E535" s="1">
        <v>243623</v>
      </c>
      <c r="F535" s="1" t="s">
        <v>27</v>
      </c>
      <c r="G535" s="11">
        <v>44265</v>
      </c>
      <c r="H535" s="14" t="s">
        <v>255</v>
      </c>
      <c r="I535" s="2" t="s">
        <v>4235</v>
      </c>
      <c r="J535" s="2" t="s">
        <v>4236</v>
      </c>
      <c r="K535" s="12">
        <v>0.041666666667879326</v>
      </c>
      <c r="L535" s="12">
        <v>0.10416666666787933</v>
      </c>
      <c r="M535" s="13">
        <f>CRF_3[[#This Row],[Time Spent on Configuration]]+CRF_3[[#This Row],[Time Spent on Review/Testing]]</f>
        <v>NaN</v>
      </c>
      <c r="O535" s="1" t="s">
        <v>54</v>
      </c>
      <c r="P535" s="1" t="s">
        <v>379</v>
      </c>
      <c r="Q535" s="1" t="s">
        <v>42</v>
      </c>
      <c r="R535" s="11">
        <v>44266</v>
      </c>
      <c r="S535" s="1">
        <v>5</v>
      </c>
      <c r="U535" s="48"/>
    </row>
    <row r="536" ht="45" customHeight="1" spans="1:21" x14ac:dyDescent="0.25">
      <c r="A536" s="1" t="s">
        <v>4228</v>
      </c>
      <c r="B536" s="1">
        <v>2021</v>
      </c>
      <c r="C536" s="2" t="s">
        <v>2306</v>
      </c>
      <c r="D536" s="1" t="s">
        <v>25</v>
      </c>
      <c r="E536" s="1">
        <v>241016</v>
      </c>
      <c r="F536" s="1" t="s">
        <v>27</v>
      </c>
      <c r="G536" s="11">
        <v>44270</v>
      </c>
      <c r="H536" s="14" t="s">
        <v>74</v>
      </c>
      <c r="I536" s="2" t="s">
        <v>4237</v>
      </c>
      <c r="J536" s="2" t="s">
        <v>4238</v>
      </c>
      <c r="K536" s="12">
        <v>0.013888888890505768</v>
      </c>
      <c r="L536" s="12">
        <v>0.024305555554747116</v>
      </c>
      <c r="M536" s="13">
        <f>CRF_3[[#This Row],[Time Spent on Configuration]]+CRF_3[[#This Row],[Time Spent on Review/Testing]]</f>
        <v>NaN</v>
      </c>
      <c r="O536" s="1" t="s">
        <v>31</v>
      </c>
      <c r="P536" s="1" t="s">
        <v>483</v>
      </c>
      <c r="Q536" s="1" t="s">
        <v>488</v>
      </c>
      <c r="R536" s="11">
        <v>44270</v>
      </c>
      <c r="S536" s="1">
        <v>5</v>
      </c>
      <c r="U536" s="48"/>
    </row>
    <row r="537" spans="1:21" x14ac:dyDescent="0.25">
      <c r="A537" s="1" t="s">
        <v>4228</v>
      </c>
      <c r="B537" s="1">
        <v>2021</v>
      </c>
      <c r="C537" s="2" t="s">
        <v>43</v>
      </c>
      <c r="D537" s="1" t="s">
        <v>44</v>
      </c>
      <c r="E537" s="1">
        <v>242383</v>
      </c>
      <c r="F537" s="1" t="s">
        <v>27</v>
      </c>
      <c r="G537" s="11">
        <v>44271</v>
      </c>
      <c r="H537" s="14" t="s">
        <v>255</v>
      </c>
      <c r="I537" s="2" t="s">
        <v>2310</v>
      </c>
      <c r="J537" s="2" t="s">
        <v>2311</v>
      </c>
      <c r="K537" s="12">
        <v>0.013888888890505768</v>
      </c>
      <c r="L537" s="12">
        <v>0.027777777777373558</v>
      </c>
      <c r="M537" s="13">
        <f>CRF_3[[#This Row],[Time Spent on Configuration]]+CRF_3[[#This Row],[Time Spent on Review/Testing]]</f>
        <v>NaN</v>
      </c>
      <c r="O537" s="1" t="s">
        <v>31</v>
      </c>
      <c r="P537" s="1" t="s">
        <v>483</v>
      </c>
      <c r="Q537" s="1" t="s">
        <v>488</v>
      </c>
      <c r="R537" s="11">
        <v>44271</v>
      </c>
      <c r="S537" s="1">
        <v>5</v>
      </c>
      <c r="U537" s="48"/>
    </row>
    <row r="538" ht="45" customHeight="1" spans="1:21" x14ac:dyDescent="0.25">
      <c r="A538" s="1" t="s">
        <v>4228</v>
      </c>
      <c r="B538" s="1">
        <v>2021</v>
      </c>
      <c r="C538" s="2" t="s">
        <v>2306</v>
      </c>
      <c r="D538" s="1" t="s">
        <v>25</v>
      </c>
      <c r="E538" s="1">
        <v>244199</v>
      </c>
      <c r="F538" s="1" t="s">
        <v>27</v>
      </c>
      <c r="G538" s="11">
        <v>44272</v>
      </c>
      <c r="H538" s="14" t="s">
        <v>28</v>
      </c>
      <c r="I538" s="2" t="s">
        <v>4239</v>
      </c>
      <c r="J538" s="2" t="s">
        <v>4240</v>
      </c>
      <c r="K538" s="12">
        <v>0.09722222222262644</v>
      </c>
      <c r="L538" s="12">
        <v>0.10069444444525288</v>
      </c>
      <c r="M538" s="13">
        <f>CRF_3[[#This Row],[Time Spent on Configuration]]+CRF_3[[#This Row],[Time Spent on Review/Testing]]</f>
        <v>NaN</v>
      </c>
      <c r="O538" s="1" t="s">
        <v>31</v>
      </c>
      <c r="P538" s="1" t="s">
        <v>483</v>
      </c>
      <c r="Q538" s="1" t="s">
        <v>488</v>
      </c>
      <c r="R538" s="11">
        <v>44272</v>
      </c>
      <c r="S538" s="1">
        <v>5</v>
      </c>
      <c r="U538" s="48"/>
    </row>
    <row r="539" ht="105" customHeight="1" spans="1:21" x14ac:dyDescent="0.25">
      <c r="A539" s="1" t="s">
        <v>4228</v>
      </c>
      <c r="B539" s="1">
        <v>2021</v>
      </c>
      <c r="C539" s="2" t="s">
        <v>2315</v>
      </c>
      <c r="D539" s="1" t="s">
        <v>25</v>
      </c>
      <c r="E539" s="1">
        <v>243491</v>
      </c>
      <c r="F539" s="1" t="s">
        <v>37</v>
      </c>
      <c r="G539" s="11">
        <v>44274</v>
      </c>
      <c r="H539" s="14" t="s">
        <v>28</v>
      </c>
      <c r="I539" s="2" t="s">
        <v>4241</v>
      </c>
      <c r="J539" s="2" t="s">
        <v>4242</v>
      </c>
      <c r="K539" s="12">
        <v>0.125</v>
      </c>
      <c r="L539" s="12">
        <v>0.10763888889050577</v>
      </c>
      <c r="M539" s="13">
        <f>CRF_3[[#This Row],[Time Spent on Configuration]]+CRF_3[[#This Row],[Time Spent on Review/Testing]]</f>
        <v>NaN</v>
      </c>
      <c r="O539" s="1" t="s">
        <v>31</v>
      </c>
      <c r="P539" s="1" t="s">
        <v>483</v>
      </c>
      <c r="Q539" s="1" t="s">
        <v>488</v>
      </c>
      <c r="R539" s="11">
        <v>44274</v>
      </c>
      <c r="S539" s="1">
        <v>5</v>
      </c>
      <c r="U539" s="48"/>
    </row>
    <row r="540" ht="165" customHeight="1" spans="1:21" x14ac:dyDescent="0.25">
      <c r="A540" s="1" t="s">
        <v>4228</v>
      </c>
      <c r="B540" s="1">
        <v>2021</v>
      </c>
      <c r="C540" s="2" t="s">
        <v>2315</v>
      </c>
      <c r="D540" s="1" t="s">
        <v>25</v>
      </c>
      <c r="E540" s="1">
        <v>237769</v>
      </c>
      <c r="F540" s="1" t="s">
        <v>37</v>
      </c>
      <c r="G540" s="11">
        <v>44278</v>
      </c>
      <c r="H540" s="14" t="s">
        <v>28</v>
      </c>
      <c r="I540" s="2" t="s">
        <v>4243</v>
      </c>
      <c r="J540" s="2" t="s">
        <v>4244</v>
      </c>
      <c r="K540" s="12">
        <v>0.020833333332120674</v>
      </c>
      <c r="L540" s="12">
        <v>0.06944444444525288</v>
      </c>
      <c r="M540" s="13">
        <f>CRF_3[[#This Row],[Time Spent on Configuration]]+CRF_3[[#This Row],[Time Spent on Review/Testing]]</f>
        <v>NaN</v>
      </c>
      <c r="O540" s="1" t="s">
        <v>31</v>
      </c>
      <c r="P540" s="1" t="s">
        <v>483</v>
      </c>
      <c r="Q540" s="1" t="s">
        <v>488</v>
      </c>
      <c r="R540" s="11">
        <v>44278</v>
      </c>
      <c r="S540" s="1">
        <v>5</v>
      </c>
      <c r="U540" s="48"/>
    </row>
    <row r="541" ht="30" customHeight="1" spans="1:21" x14ac:dyDescent="0.25">
      <c r="A541" s="1" t="s">
        <v>4228</v>
      </c>
      <c r="B541" s="1">
        <v>2021</v>
      </c>
      <c r="C541" s="2" t="s">
        <v>1451</v>
      </c>
      <c r="D541" s="1" t="s">
        <v>287</v>
      </c>
      <c r="E541" s="1">
        <v>244533</v>
      </c>
      <c r="F541" s="1" t="s">
        <v>27</v>
      </c>
      <c r="G541" s="11">
        <v>44279</v>
      </c>
      <c r="H541" s="14" t="s">
        <v>133</v>
      </c>
      <c r="I541" s="2" t="s">
        <v>2323</v>
      </c>
      <c r="J541" s="2" t="s">
        <v>2324</v>
      </c>
      <c r="K541" s="12">
        <v>0.01736111110949423</v>
      </c>
      <c r="L541" s="12">
        <v>0.04513888889050577</v>
      </c>
      <c r="M541" s="13">
        <f>CRF_3[[#This Row],[Time Spent on Configuration]]+CRF_3[[#This Row],[Time Spent on Review/Testing]]</f>
        <v>NaN</v>
      </c>
      <c r="O541" s="1" t="s">
        <v>32</v>
      </c>
      <c r="P541" s="1" t="s">
        <v>4187</v>
      </c>
      <c r="Q541" s="1" t="s">
        <v>484</v>
      </c>
      <c r="R541" s="11">
        <v>44279</v>
      </c>
      <c r="S541" s="1">
        <v>5</v>
      </c>
      <c r="U541" s="48"/>
    </row>
    <row r="542" ht="45" customHeight="1" spans="1:21" x14ac:dyDescent="0.25">
      <c r="A542" s="1" t="s">
        <v>4228</v>
      </c>
      <c r="B542" s="1">
        <v>2021</v>
      </c>
      <c r="C542" s="2" t="s">
        <v>286</v>
      </c>
      <c r="D542" s="1" t="s">
        <v>974</v>
      </c>
      <c r="E542" s="1">
        <v>241862</v>
      </c>
      <c r="F542" s="1" t="s">
        <v>27</v>
      </c>
      <c r="G542" s="11">
        <v>44279</v>
      </c>
      <c r="H542" s="14" t="s">
        <v>28</v>
      </c>
      <c r="I542" s="2" t="s">
        <v>4245</v>
      </c>
      <c r="J542" s="2" t="s">
        <v>2327</v>
      </c>
      <c r="K542" s="12">
        <v>0.041666666667879326</v>
      </c>
      <c r="L542" s="12">
        <v>0.06597222222262644</v>
      </c>
      <c r="M542" s="13">
        <f>CRF_3[[#This Row],[Time Spent on Configuration]]+CRF_3[[#This Row],[Time Spent on Review/Testing]]</f>
        <v>NaN</v>
      </c>
      <c r="O542" s="1" t="s">
        <v>574</v>
      </c>
      <c r="P542" s="1" t="s">
        <v>483</v>
      </c>
      <c r="Q542" s="1" t="s">
        <v>484</v>
      </c>
      <c r="R542" s="11">
        <v>44279</v>
      </c>
      <c r="S542" s="1">
        <v>5</v>
      </c>
      <c r="U542" s="48"/>
    </row>
    <row r="543" ht="30" customHeight="1" spans="1:21" x14ac:dyDescent="0.25">
      <c r="A543" s="1" t="s">
        <v>4228</v>
      </c>
      <c r="B543" s="1">
        <v>2021</v>
      </c>
      <c r="C543" s="2" t="s">
        <v>1038</v>
      </c>
      <c r="D543" s="1" t="s">
        <v>1659</v>
      </c>
      <c r="E543" s="1">
        <v>242841</v>
      </c>
      <c r="F543" s="1" t="s">
        <v>27</v>
      </c>
      <c r="G543" s="11">
        <v>44285</v>
      </c>
      <c r="H543" s="14" t="s">
        <v>28</v>
      </c>
      <c r="I543" s="2" t="s">
        <v>4246</v>
      </c>
      <c r="J543" s="2" t="s">
        <v>4247</v>
      </c>
      <c r="K543" s="12">
        <v>0.020833333332120674</v>
      </c>
      <c r="L543" s="12">
        <v>0.04861111110949423</v>
      </c>
      <c r="M543" s="13">
        <f>CRF_3[[#This Row],[Time Spent on Configuration]]+CRF_3[[#This Row],[Time Spent on Review/Testing]]</f>
        <v>NaN</v>
      </c>
      <c r="O543" s="1" t="s">
        <v>574</v>
      </c>
      <c r="P543" s="1" t="s">
        <v>4187</v>
      </c>
      <c r="Q543" s="1" t="s">
        <v>488</v>
      </c>
      <c r="R543" s="11">
        <v>44285</v>
      </c>
      <c r="S543" s="1">
        <v>5</v>
      </c>
      <c r="U543" s="48"/>
    </row>
    <row r="544" ht="75" customHeight="1" spans="1:21" x14ac:dyDescent="0.25">
      <c r="A544" s="1" t="s">
        <v>4228</v>
      </c>
      <c r="B544" s="1">
        <v>2021</v>
      </c>
      <c r="C544" s="2" t="s">
        <v>4204</v>
      </c>
      <c r="D544" s="1" t="s">
        <v>44</v>
      </c>
      <c r="E544" s="1">
        <v>244495</v>
      </c>
      <c r="F544" s="1" t="s">
        <v>27</v>
      </c>
      <c r="G544" s="11">
        <v>44285</v>
      </c>
      <c r="H544" s="14" t="s">
        <v>133</v>
      </c>
      <c r="I544" s="2" t="s">
        <v>2332</v>
      </c>
      <c r="J544" s="2" t="s">
        <v>4248</v>
      </c>
      <c r="K544" s="12">
        <v>0.011111111110949423</v>
      </c>
      <c r="L544" s="12">
        <v>0.04513888889050577</v>
      </c>
      <c r="M544" s="13">
        <f>CRF_3[[#This Row],[Time Spent on Configuration]]+CRF_3[[#This Row],[Time Spent on Review/Testing]]</f>
        <v>NaN</v>
      </c>
      <c r="O544" s="1" t="s">
        <v>32</v>
      </c>
      <c r="P544" s="1" t="s">
        <v>4187</v>
      </c>
      <c r="Q544" s="1" t="s">
        <v>488</v>
      </c>
      <c r="R544" s="11">
        <v>44285</v>
      </c>
      <c r="S544" s="1">
        <v>5</v>
      </c>
      <c r="U544" s="48"/>
    </row>
    <row r="545" ht="120" customHeight="1" spans="1:21" x14ac:dyDescent="0.25">
      <c r="A545" s="1" t="s">
        <v>4249</v>
      </c>
      <c r="B545" s="1">
        <v>2021</v>
      </c>
      <c r="C545" s="2" t="s">
        <v>4204</v>
      </c>
      <c r="D545" s="1" t="s">
        <v>44</v>
      </c>
      <c r="E545" s="1">
        <v>245719</v>
      </c>
      <c r="F545" s="1" t="s">
        <v>4195</v>
      </c>
      <c r="G545" s="11">
        <v>44291</v>
      </c>
      <c r="H545" s="14" t="s">
        <v>28</v>
      </c>
      <c r="I545" s="2" t="s">
        <v>4250</v>
      </c>
      <c r="J545" s="2" t="s">
        <v>4251</v>
      </c>
      <c r="K545" s="12">
        <v>0.03125</v>
      </c>
      <c r="L545" s="12">
        <v>0.05902777777737356</v>
      </c>
      <c r="M545" s="13">
        <f>CRF_3[[#This Row],[Time Spent on Configuration]]+CRF_3[[#This Row],[Time Spent on Review/Testing]]</f>
        <v>NaN</v>
      </c>
      <c r="O545" s="1" t="s">
        <v>32</v>
      </c>
      <c r="P545" s="1" t="s">
        <v>4187</v>
      </c>
      <c r="Q545" s="1" t="s">
        <v>488</v>
      </c>
      <c r="R545" s="11">
        <v>44291</v>
      </c>
      <c r="S545" s="1">
        <v>5</v>
      </c>
      <c r="U545" s="48"/>
    </row>
    <row r="546" spans="1:21" x14ac:dyDescent="0.25">
      <c r="A546" s="1" t="s">
        <v>4249</v>
      </c>
      <c r="B546" s="1">
        <v>2021</v>
      </c>
      <c r="C546" s="2" t="s">
        <v>4204</v>
      </c>
      <c r="D546" s="1" t="s">
        <v>44</v>
      </c>
      <c r="E546" s="1">
        <v>243098</v>
      </c>
      <c r="F546" s="1" t="s">
        <v>4195</v>
      </c>
      <c r="G546" s="11">
        <v>44295</v>
      </c>
      <c r="H546" s="14" t="s">
        <v>38</v>
      </c>
      <c r="I546" s="2" t="s">
        <v>4252</v>
      </c>
      <c r="J546" s="2" t="s">
        <v>2340</v>
      </c>
      <c r="K546" s="12">
        <v>0.027777777777373558</v>
      </c>
      <c r="L546" s="12">
        <v>0.08680555555474712</v>
      </c>
      <c r="M546" s="13">
        <f>CRF_3[[#This Row],[Time Spent on Configuration]]+CRF_3[[#This Row],[Time Spent on Review/Testing]]</f>
        <v>NaN</v>
      </c>
      <c r="O546" s="1" t="s">
        <v>31</v>
      </c>
      <c r="P546" s="1" t="s">
        <v>32</v>
      </c>
      <c r="Q546" s="1" t="s">
        <v>488</v>
      </c>
      <c r="R546" s="11">
        <v>44295</v>
      </c>
      <c r="S546" s="1">
        <v>5</v>
      </c>
      <c r="U546" s="48"/>
    </row>
    <row r="547" ht="75" customHeight="1" spans="1:21" x14ac:dyDescent="0.25">
      <c r="A547" s="1" t="s">
        <v>4249</v>
      </c>
      <c r="B547" s="1">
        <v>2021</v>
      </c>
      <c r="C547" s="2" t="s">
        <v>2315</v>
      </c>
      <c r="D547" s="1" t="s">
        <v>25</v>
      </c>
      <c r="E547" s="1">
        <v>246690</v>
      </c>
      <c r="F547" s="1" t="s">
        <v>4195</v>
      </c>
      <c r="G547" s="11">
        <v>44301</v>
      </c>
      <c r="H547" s="14" t="s">
        <v>255</v>
      </c>
      <c r="I547" s="2" t="s">
        <v>4253</v>
      </c>
      <c r="J547" s="2" t="s">
        <v>4254</v>
      </c>
      <c r="K547" s="12">
        <v>0.03472222222262644</v>
      </c>
      <c r="L547" s="12">
        <v>0.05902777777737356</v>
      </c>
      <c r="M547" s="13">
        <f>CRF_3[[#This Row],[Time Spent on Configuration]]+CRF_3[[#This Row],[Time Spent on Review/Testing]]</f>
        <v>NaN</v>
      </c>
      <c r="O547" s="1" t="s">
        <v>31</v>
      </c>
      <c r="P547" s="1" t="s">
        <v>4187</v>
      </c>
      <c r="Q547" s="1" t="s">
        <v>488</v>
      </c>
      <c r="R547" s="11">
        <v>44301</v>
      </c>
      <c r="S547" s="1">
        <v>5</v>
      </c>
      <c r="U547" s="48"/>
    </row>
    <row r="548" ht="45" customHeight="1" spans="1:21" x14ac:dyDescent="0.25">
      <c r="A548" s="1" t="s">
        <v>4249</v>
      </c>
      <c r="B548" s="1">
        <v>2021</v>
      </c>
      <c r="C548" s="2" t="s">
        <v>1635</v>
      </c>
      <c r="D548" s="1" t="s">
        <v>186</v>
      </c>
      <c r="E548" s="1">
        <v>246584</v>
      </c>
      <c r="F548" s="1" t="s">
        <v>27</v>
      </c>
      <c r="G548" s="11">
        <v>44313</v>
      </c>
      <c r="H548" s="14" t="s">
        <v>2088</v>
      </c>
      <c r="I548" s="2" t="s">
        <v>4255</v>
      </c>
      <c r="J548" s="2" t="s">
        <v>4256</v>
      </c>
      <c r="K548" s="12">
        <v>0.041666666667879326</v>
      </c>
      <c r="L548" s="12">
        <v>0.015972222223354038</v>
      </c>
      <c r="M548" s="13">
        <f>CRF_3[[#This Row],[Time Spent on Configuration]]+CRF_3[[#This Row],[Time Spent on Review/Testing]]</f>
        <v>NaN</v>
      </c>
      <c r="O548" s="1" t="s">
        <v>574</v>
      </c>
      <c r="P548" s="1" t="s">
        <v>4191</v>
      </c>
      <c r="Q548" s="1" t="s">
        <v>488</v>
      </c>
      <c r="R548" s="11">
        <v>44313</v>
      </c>
      <c r="S548" s="1">
        <v>5</v>
      </c>
      <c r="U548" s="48"/>
    </row>
    <row r="549" spans="1:21" x14ac:dyDescent="0.25">
      <c r="A549" s="1" t="s">
        <v>4249</v>
      </c>
      <c r="B549" s="1">
        <v>2021</v>
      </c>
      <c r="C549" s="2" t="s">
        <v>43</v>
      </c>
      <c r="D549" s="1" t="s">
        <v>44</v>
      </c>
      <c r="E549" s="1">
        <v>247145</v>
      </c>
      <c r="F549" s="1" t="s">
        <v>27</v>
      </c>
      <c r="G549" s="11">
        <v>44315</v>
      </c>
      <c r="H549" s="14" t="s">
        <v>74</v>
      </c>
      <c r="I549" s="2" t="s">
        <v>4257</v>
      </c>
      <c r="J549" s="2" t="s">
        <v>2349</v>
      </c>
      <c r="K549" s="12">
        <v>0.041666666667879326</v>
      </c>
      <c r="L549" s="12">
        <v>0.041666666667879326</v>
      </c>
      <c r="M549" s="13">
        <f>CRF_3[[#This Row],[Time Spent on Configuration]]+CRF_3[[#This Row],[Time Spent on Review/Testing]]</f>
        <v>NaN</v>
      </c>
      <c r="O549" s="1" t="s">
        <v>2350</v>
      </c>
      <c r="P549" s="1" t="s">
        <v>483</v>
      </c>
      <c r="Q549" s="1" t="s">
        <v>484</v>
      </c>
      <c r="R549" s="11">
        <v>44315</v>
      </c>
      <c r="S549" s="1">
        <v>5</v>
      </c>
      <c r="U549" s="48"/>
    </row>
    <row r="550" spans="1:21" x14ac:dyDescent="0.25">
      <c r="A550" s="1" t="s">
        <v>4249</v>
      </c>
      <c r="B550" s="1">
        <v>2021</v>
      </c>
      <c r="C550" s="2" t="s">
        <v>99</v>
      </c>
      <c r="D550" s="1" t="s">
        <v>25</v>
      </c>
      <c r="E550" s="1">
        <v>245390</v>
      </c>
      <c r="F550" s="1" t="s">
        <v>37</v>
      </c>
      <c r="G550" s="11">
        <v>44315</v>
      </c>
      <c r="H550" s="14" t="s">
        <v>74</v>
      </c>
      <c r="I550" s="2" t="s">
        <v>2352</v>
      </c>
      <c r="J550" s="2" t="s">
        <v>4258</v>
      </c>
      <c r="K550" s="12">
        <v>0.0625</v>
      </c>
      <c r="L550" s="12">
        <v>0.07083333333503106</v>
      </c>
      <c r="M550" s="13">
        <f>CRF_3[[#This Row],[Time Spent on Configuration]]+CRF_3[[#This Row],[Time Spent on Review/Testing]]</f>
        <v>NaN</v>
      </c>
      <c r="O550" s="1" t="s">
        <v>574</v>
      </c>
      <c r="P550" s="1" t="s">
        <v>32</v>
      </c>
      <c r="Q550" s="1" t="s">
        <v>484</v>
      </c>
      <c r="R550" s="11">
        <v>44315</v>
      </c>
      <c r="S550" s="1">
        <v>5</v>
      </c>
      <c r="U550" s="48"/>
    </row>
    <row r="551" spans="1:21" x14ac:dyDescent="0.25">
      <c r="A551" s="1" t="s">
        <v>3646</v>
      </c>
      <c r="B551" s="1">
        <v>2021</v>
      </c>
      <c r="C551" s="2" t="s">
        <v>1038</v>
      </c>
      <c r="D551" s="2" t="s">
        <v>1659</v>
      </c>
      <c r="E551" s="1">
        <v>247850</v>
      </c>
      <c r="F551" s="1" t="s">
        <v>37</v>
      </c>
      <c r="G551" s="11">
        <v>44320</v>
      </c>
      <c r="H551" s="14" t="s">
        <v>74</v>
      </c>
      <c r="I551" s="2" t="s">
        <v>2356</v>
      </c>
      <c r="J551" s="2" t="s">
        <v>2357</v>
      </c>
      <c r="K551" s="12">
        <v>0.03125</v>
      </c>
      <c r="L551" s="12">
        <v>0.027777777777373558</v>
      </c>
      <c r="M551" s="13">
        <f>CRF_3[[#This Row],[Time Spent on Configuration]]+CRF_3[[#This Row],[Time Spent on Review/Testing]]</f>
        <v>NaN</v>
      </c>
      <c r="O551" s="1" t="s">
        <v>574</v>
      </c>
      <c r="P551" s="1" t="s">
        <v>2358</v>
      </c>
      <c r="Q551" s="1" t="s">
        <v>488</v>
      </c>
      <c r="R551" s="11">
        <v>44320</v>
      </c>
      <c r="S551" s="1">
        <v>5</v>
      </c>
      <c r="U551" s="48"/>
    </row>
    <row r="552" spans="1:21" x14ac:dyDescent="0.25">
      <c r="A552" s="1" t="s">
        <v>4259</v>
      </c>
      <c r="B552" s="1">
        <v>2021</v>
      </c>
      <c r="C552" s="2" t="s">
        <v>99</v>
      </c>
      <c r="D552" s="1" t="s">
        <v>25</v>
      </c>
      <c r="E552" s="1">
        <v>249591</v>
      </c>
      <c r="F552" s="1" t="s">
        <v>4195</v>
      </c>
      <c r="G552" s="11">
        <v>44321</v>
      </c>
      <c r="H552" s="14" t="s">
        <v>28</v>
      </c>
      <c r="I552" s="2" t="s">
        <v>4260</v>
      </c>
      <c r="J552" s="2" t="s">
        <v>2361</v>
      </c>
      <c r="K552" s="12">
        <v>0.018749999999272404</v>
      </c>
      <c r="L552" s="12">
        <v>0.07013888888832298</v>
      </c>
      <c r="M552" s="13">
        <f>CRF_3[[#This Row],[Time Spent on Configuration]]+CRF_3[[#This Row],[Time Spent on Review/Testing]]</f>
        <v>NaN</v>
      </c>
      <c r="O552" s="1" t="s">
        <v>32</v>
      </c>
      <c r="P552" s="1" t="s">
        <v>4187</v>
      </c>
      <c r="Q552" s="1" t="s">
        <v>484</v>
      </c>
      <c r="R552" s="11">
        <v>44321</v>
      </c>
      <c r="S552" s="1">
        <v>5</v>
      </c>
      <c r="U552" s="48"/>
    </row>
    <row r="553" ht="30" customHeight="1" spans="1:21" x14ac:dyDescent="0.25">
      <c r="A553" s="1" t="s">
        <v>4259</v>
      </c>
      <c r="B553" s="1">
        <v>2021</v>
      </c>
      <c r="C553" s="2" t="s">
        <v>185</v>
      </c>
      <c r="D553" s="1" t="s">
        <v>186</v>
      </c>
      <c r="E553" s="1">
        <v>250101</v>
      </c>
      <c r="F553" s="1" t="s">
        <v>27</v>
      </c>
      <c r="G553" s="11">
        <v>44327</v>
      </c>
      <c r="H553" s="14" t="s">
        <v>28</v>
      </c>
      <c r="I553" s="2" t="s">
        <v>2363</v>
      </c>
      <c r="J553" s="2" t="s">
        <v>4261</v>
      </c>
      <c r="K553" s="12">
        <v>0.03125</v>
      </c>
      <c r="L553" s="12">
        <v>0.03888888888832298</v>
      </c>
      <c r="M553" s="13">
        <f>CRF_3[[#This Row],[Time Spent on Configuration]]+CRF_3[[#This Row],[Time Spent on Review/Testing]]</f>
        <v>NaN</v>
      </c>
      <c r="O553" s="1" t="s">
        <v>574</v>
      </c>
      <c r="P553" s="1" t="s">
        <v>32</v>
      </c>
      <c r="Q553" s="1" t="s">
        <v>488</v>
      </c>
      <c r="R553" s="11">
        <v>44327</v>
      </c>
      <c r="S553" s="1">
        <v>5</v>
      </c>
      <c r="U553" s="48"/>
    </row>
    <row r="554" spans="1:21" x14ac:dyDescent="0.25">
      <c r="A554" s="1" t="s">
        <v>4259</v>
      </c>
      <c r="B554" s="1">
        <v>2021</v>
      </c>
      <c r="C554" s="2" t="s">
        <v>259</v>
      </c>
      <c r="D554" s="1" t="s">
        <v>25</v>
      </c>
      <c r="E554" s="1">
        <v>248886</v>
      </c>
      <c r="F554" s="1" t="s">
        <v>27</v>
      </c>
      <c r="G554" s="11">
        <v>44327</v>
      </c>
      <c r="H554" s="14" t="s">
        <v>953</v>
      </c>
      <c r="I554" s="64" t="s">
        <v>2366</v>
      </c>
      <c r="J554" s="64" t="s">
        <v>2367</v>
      </c>
      <c r="K554" s="12">
        <v>0.08333333333212067</v>
      </c>
      <c r="L554" s="12">
        <v>0.0625</v>
      </c>
      <c r="M554" s="13">
        <f>CRF_3[[#This Row],[Time Spent on Configuration]]+CRF_3[[#This Row],[Time Spent on Review/Testing]]</f>
        <v>NaN</v>
      </c>
      <c r="O554" s="1" t="s">
        <v>574</v>
      </c>
      <c r="P554" s="1" t="s">
        <v>31</v>
      </c>
      <c r="Q554" s="1" t="s">
        <v>488</v>
      </c>
      <c r="R554" s="11">
        <v>44327</v>
      </c>
      <c r="S554" s="1">
        <v>5</v>
      </c>
      <c r="U554" s="48"/>
    </row>
    <row r="555" spans="1:21" x14ac:dyDescent="0.25">
      <c r="A555" s="1" t="s">
        <v>4259</v>
      </c>
      <c r="B555" s="1">
        <v>2021</v>
      </c>
      <c r="C555" s="2" t="s">
        <v>4262</v>
      </c>
      <c r="D555" s="1" t="s">
        <v>25</v>
      </c>
      <c r="E555" s="1">
        <v>251133</v>
      </c>
      <c r="F555" s="1" t="s">
        <v>27</v>
      </c>
      <c r="G555" s="11">
        <v>44330</v>
      </c>
      <c r="H555" s="14" t="s">
        <v>74</v>
      </c>
      <c r="I555" s="2" t="s">
        <v>2369</v>
      </c>
      <c r="J555" s="2" t="s">
        <v>2370</v>
      </c>
      <c r="K555" s="12">
        <v>0.00972222222117125</v>
      </c>
      <c r="L555" s="12">
        <v>0.03125</v>
      </c>
      <c r="M555" s="13">
        <f>CRF_3[[#This Row],[Time Spent on Configuration]]+CRF_3[[#This Row],[Time Spent on Review/Testing]]</f>
        <v>NaN</v>
      </c>
      <c r="O555" s="1" t="s">
        <v>32</v>
      </c>
      <c r="P555" s="1" t="s">
        <v>4187</v>
      </c>
      <c r="Q555" s="1" t="s">
        <v>488</v>
      </c>
      <c r="R555" s="11">
        <v>44330</v>
      </c>
      <c r="S555" s="1">
        <v>5</v>
      </c>
      <c r="U555" s="48"/>
    </row>
    <row r="556" ht="225" customHeight="1" spans="1:21" x14ac:dyDescent="0.25">
      <c r="A556" s="1" t="s">
        <v>4259</v>
      </c>
      <c r="B556" s="1">
        <v>2021</v>
      </c>
      <c r="C556" s="2" t="s">
        <v>4262</v>
      </c>
      <c r="D556" s="1" t="s">
        <v>25</v>
      </c>
      <c r="E556" s="1">
        <v>250106</v>
      </c>
      <c r="F556" s="1" t="s">
        <v>27</v>
      </c>
      <c r="G556" s="11">
        <v>44330</v>
      </c>
      <c r="H556" s="14" t="s">
        <v>953</v>
      </c>
      <c r="I556" s="2" t="s">
        <v>4263</v>
      </c>
      <c r="J556" s="2" t="s">
        <v>4264</v>
      </c>
      <c r="K556" s="12">
        <v>0.013888888890505768</v>
      </c>
      <c r="L556" s="12">
        <v>0.01736111110949423</v>
      </c>
      <c r="M556" s="13">
        <f>CRF_3[[#This Row],[Time Spent on Configuration]]+CRF_3[[#This Row],[Time Spent on Review/Testing]]</f>
        <v>NaN</v>
      </c>
      <c r="O556" s="1" t="s">
        <v>4205</v>
      </c>
      <c r="P556" s="1" t="s">
        <v>4265</v>
      </c>
      <c r="Q556" s="1" t="s">
        <v>488</v>
      </c>
      <c r="R556" s="11">
        <v>44330</v>
      </c>
      <c r="S556" s="1">
        <v>5</v>
      </c>
      <c r="U556" s="48"/>
    </row>
    <row r="557" spans="1:21" x14ac:dyDescent="0.25">
      <c r="A557" s="1" t="s">
        <v>4259</v>
      </c>
      <c r="B557" s="1">
        <v>2021</v>
      </c>
      <c r="C557" s="2" t="s">
        <v>99</v>
      </c>
      <c r="D557" s="1" t="s">
        <v>25</v>
      </c>
      <c r="E557" s="1">
        <v>251706</v>
      </c>
      <c r="F557" s="1" t="s">
        <v>27</v>
      </c>
      <c r="G557" s="11">
        <v>44335</v>
      </c>
      <c r="H557" s="14" t="s">
        <v>28</v>
      </c>
      <c r="I557" s="2" t="s">
        <v>4266</v>
      </c>
      <c r="J557" s="2" t="s">
        <v>2376</v>
      </c>
      <c r="K557" s="12">
        <v>0.041666666667879326</v>
      </c>
      <c r="L557" s="12">
        <v>0.04722222222335404</v>
      </c>
      <c r="M557" s="13">
        <f>CRF_3[[#This Row],[Time Spent on Configuration]]+CRF_3[[#This Row],[Time Spent on Review/Testing]]</f>
        <v>NaN</v>
      </c>
      <c r="O557" s="1" t="s">
        <v>574</v>
      </c>
      <c r="P557" s="1" t="s">
        <v>32</v>
      </c>
      <c r="Q557" s="1" t="s">
        <v>484</v>
      </c>
      <c r="R557" s="11">
        <v>44335</v>
      </c>
      <c r="S557" s="1">
        <v>5</v>
      </c>
      <c r="U557" s="48"/>
    </row>
    <row r="558" spans="1:21" x14ac:dyDescent="0.25">
      <c r="A558" s="1" t="s">
        <v>4259</v>
      </c>
      <c r="B558" s="1">
        <v>2021</v>
      </c>
      <c r="C558" s="2" t="s">
        <v>525</v>
      </c>
      <c r="D558" s="1" t="s">
        <v>25</v>
      </c>
      <c r="E558" s="1">
        <v>251244</v>
      </c>
      <c r="F558" s="1" t="s">
        <v>27</v>
      </c>
      <c r="G558" s="11">
        <v>44335</v>
      </c>
      <c r="H558" s="14" t="s">
        <v>28</v>
      </c>
      <c r="I558" s="2" t="s">
        <v>4267</v>
      </c>
      <c r="J558" s="2" t="s">
        <v>2379</v>
      </c>
      <c r="K558" s="12">
        <v>0.041666666667879326</v>
      </c>
      <c r="L558" s="12">
        <v>0.043750000000727596</v>
      </c>
      <c r="M558" s="13">
        <f>CRF_3[[#This Row],[Time Spent on Configuration]]+CRF_3[[#This Row],[Time Spent on Review/Testing]]</f>
        <v>NaN</v>
      </c>
      <c r="O558" s="1" t="s">
        <v>574</v>
      </c>
      <c r="P558" s="1" t="s">
        <v>32</v>
      </c>
      <c r="Q558" s="1" t="s">
        <v>484</v>
      </c>
      <c r="R558" s="11">
        <v>44335</v>
      </c>
      <c r="S558" s="1">
        <v>5</v>
      </c>
      <c r="U558" s="48"/>
    </row>
    <row r="559" ht="30" customHeight="1" spans="1:21" x14ac:dyDescent="0.25">
      <c r="A559" s="1" t="s">
        <v>4259</v>
      </c>
      <c r="B559" s="1">
        <v>2021</v>
      </c>
      <c r="C559" s="2" t="s">
        <v>199</v>
      </c>
      <c r="D559" s="1" t="s">
        <v>541</v>
      </c>
      <c r="E559" s="1">
        <v>251042</v>
      </c>
      <c r="F559" s="1" t="s">
        <v>27</v>
      </c>
      <c r="G559" s="11">
        <v>44336</v>
      </c>
      <c r="H559" s="14" t="s">
        <v>28</v>
      </c>
      <c r="I559" s="2" t="s">
        <v>4268</v>
      </c>
      <c r="J559" s="2" t="s">
        <v>4269</v>
      </c>
      <c r="K559" s="12">
        <v>0.041666666667879326</v>
      </c>
      <c r="L559" s="12">
        <v>0.0750000000007276</v>
      </c>
      <c r="M559" s="13">
        <f>CRF_3[[#This Row],[Time Spent on Configuration]]+CRF_3[[#This Row],[Time Spent on Review/Testing]]</f>
        <v>NaN</v>
      </c>
      <c r="O559" s="1" t="s">
        <v>574</v>
      </c>
      <c r="P559" s="1" t="s">
        <v>483</v>
      </c>
      <c r="Q559" s="1" t="s">
        <v>488</v>
      </c>
      <c r="R559" s="11">
        <v>44336</v>
      </c>
      <c r="S559" s="1">
        <v>5</v>
      </c>
      <c r="U559" s="48"/>
    </row>
    <row r="560" ht="30" customHeight="1" spans="1:21" x14ac:dyDescent="0.25">
      <c r="A560" s="1" t="s">
        <v>4259</v>
      </c>
      <c r="B560" s="1">
        <v>2021</v>
      </c>
      <c r="C560" s="2" t="s">
        <v>113</v>
      </c>
      <c r="D560" s="1" t="s">
        <v>25</v>
      </c>
      <c r="E560" s="1">
        <v>249958</v>
      </c>
      <c r="F560" s="1" t="s">
        <v>27</v>
      </c>
      <c r="G560" s="11">
        <v>44340</v>
      </c>
      <c r="H560" s="14" t="s">
        <v>133</v>
      </c>
      <c r="I560" s="2" t="s">
        <v>2384</v>
      </c>
      <c r="J560" s="2" t="s">
        <v>2385</v>
      </c>
      <c r="K560" s="12">
        <v>0.004861111112404615</v>
      </c>
      <c r="L560" s="12">
        <v>0.0319444444430701</v>
      </c>
      <c r="M560" s="13">
        <f>CRF_3[[#This Row],[Time Spent on Configuration]]+CRF_3[[#This Row],[Time Spent on Review/Testing]]</f>
        <v>NaN</v>
      </c>
      <c r="O560" s="1" t="s">
        <v>4191</v>
      </c>
      <c r="P560" s="1" t="s">
        <v>4187</v>
      </c>
      <c r="Q560" s="1" t="s">
        <v>484</v>
      </c>
      <c r="R560" s="11">
        <v>44340</v>
      </c>
      <c r="S560" s="1">
        <v>5</v>
      </c>
      <c r="U560" s="48"/>
    </row>
    <row r="561" ht="60" customHeight="1" spans="1:21" x14ac:dyDescent="0.25">
      <c r="A561" s="1" t="s">
        <v>4259</v>
      </c>
      <c r="B561" s="1">
        <v>2021</v>
      </c>
      <c r="C561" s="2" t="s">
        <v>284</v>
      </c>
      <c r="D561" s="1" t="s">
        <v>285</v>
      </c>
      <c r="E561" s="1">
        <v>252004</v>
      </c>
      <c r="F561" s="1" t="s">
        <v>27</v>
      </c>
      <c r="G561" s="11">
        <v>44341</v>
      </c>
      <c r="H561" s="14" t="s">
        <v>28</v>
      </c>
      <c r="I561" s="2" t="s">
        <v>4270</v>
      </c>
      <c r="J561" s="2" t="s">
        <v>4271</v>
      </c>
      <c r="K561" s="12">
        <v>0.03125</v>
      </c>
      <c r="L561" s="12">
        <v>0.03749999999854481</v>
      </c>
      <c r="M561" s="13">
        <f>CRF_3[[#This Row],[Time Spent on Configuration]]+CRF_3[[#This Row],[Time Spent on Review/Testing]]</f>
        <v>NaN</v>
      </c>
      <c r="O561" s="1" t="s">
        <v>574</v>
      </c>
      <c r="P561" s="1" t="s">
        <v>483</v>
      </c>
      <c r="Q561" s="1" t="s">
        <v>484</v>
      </c>
      <c r="R561" s="11">
        <v>44341</v>
      </c>
      <c r="S561" s="1">
        <v>5</v>
      </c>
      <c r="U561" s="48"/>
    </row>
    <row r="562" spans="1:21" x14ac:dyDescent="0.25">
      <c r="A562" s="1" t="s">
        <v>4259</v>
      </c>
      <c r="B562" s="1">
        <v>2021</v>
      </c>
      <c r="C562" s="2" t="s">
        <v>99</v>
      </c>
      <c r="D562" s="1" t="s">
        <v>25</v>
      </c>
      <c r="E562" s="1">
        <v>252433</v>
      </c>
      <c r="F562" s="1" t="s">
        <v>27</v>
      </c>
      <c r="G562" s="11">
        <v>44342</v>
      </c>
      <c r="H562" s="14" t="s">
        <v>28</v>
      </c>
      <c r="I562" s="2" t="s">
        <v>2390</v>
      </c>
      <c r="J562" s="2" t="s">
        <v>2391</v>
      </c>
      <c r="K562" s="12">
        <v>0.041666666667879326</v>
      </c>
      <c r="L562" s="12">
        <v>0.04305555555401952</v>
      </c>
      <c r="M562" s="13">
        <f>CRF_3[[#This Row],[Time Spent on Configuration]]+CRF_3[[#This Row],[Time Spent on Review/Testing]]</f>
        <v>NaN</v>
      </c>
      <c r="O562" s="1" t="s">
        <v>574</v>
      </c>
      <c r="P562" s="1" t="s">
        <v>4191</v>
      </c>
      <c r="Q562" s="1" t="s">
        <v>484</v>
      </c>
      <c r="R562" s="11">
        <v>44342</v>
      </c>
      <c r="S562" s="1">
        <v>5</v>
      </c>
      <c r="U562" s="48"/>
    </row>
    <row r="563" ht="105" customHeight="1" spans="1:21" x14ac:dyDescent="0.25">
      <c r="A563" s="1" t="s">
        <v>4259</v>
      </c>
      <c r="B563" s="1">
        <v>2021</v>
      </c>
      <c r="C563" s="2" t="s">
        <v>35</v>
      </c>
      <c r="D563" s="1" t="s">
        <v>25</v>
      </c>
      <c r="E563" s="1">
        <v>252589</v>
      </c>
      <c r="F563" s="1" t="s">
        <v>27</v>
      </c>
      <c r="G563" s="11">
        <v>44343</v>
      </c>
      <c r="H563" s="14" t="s">
        <v>255</v>
      </c>
      <c r="I563" s="2" t="s">
        <v>4272</v>
      </c>
      <c r="J563" s="2" t="s">
        <v>2394</v>
      </c>
      <c r="K563" s="12">
        <v>0.002777777779556345</v>
      </c>
      <c r="L563" s="12">
        <v>0.013888888890505768</v>
      </c>
      <c r="M563" s="13">
        <f>CRF_3[[#This Row],[Time Spent on Configuration]]+CRF_3[[#This Row],[Time Spent on Review/Testing]]</f>
        <v>NaN</v>
      </c>
      <c r="O563" s="1" t="s">
        <v>32</v>
      </c>
      <c r="P563" s="1" t="s">
        <v>483</v>
      </c>
      <c r="Q563" s="1" t="s">
        <v>42</v>
      </c>
      <c r="R563" s="11">
        <v>44343</v>
      </c>
      <c r="S563" s="1">
        <v>5</v>
      </c>
      <c r="U563" s="48"/>
    </row>
    <row r="564" ht="30" customHeight="1" spans="1:21" x14ac:dyDescent="0.25">
      <c r="A564" s="1" t="s">
        <v>4259</v>
      </c>
      <c r="B564" s="1">
        <v>2021</v>
      </c>
      <c r="C564" s="2" t="s">
        <v>113</v>
      </c>
      <c r="D564" s="1" t="s">
        <v>25</v>
      </c>
      <c r="E564" s="1">
        <v>252614</v>
      </c>
      <c r="F564" s="1" t="s">
        <v>27</v>
      </c>
      <c r="G564" s="11">
        <v>44343</v>
      </c>
      <c r="H564" s="14" t="s">
        <v>953</v>
      </c>
      <c r="I564" s="2" t="s">
        <v>2396</v>
      </c>
      <c r="J564" s="2" t="s">
        <v>2396</v>
      </c>
      <c r="K564" s="12">
        <v>0.020833333332120674</v>
      </c>
      <c r="L564" s="12">
        <v>0.018055555556202307</v>
      </c>
      <c r="M564" s="13">
        <f>CRF_3[[#This Row],[Time Spent on Configuration]]+CRF_3[[#This Row],[Time Spent on Review/Testing]]</f>
        <v>NaN</v>
      </c>
      <c r="O564" s="1" t="s">
        <v>574</v>
      </c>
      <c r="P564" s="1" t="s">
        <v>4187</v>
      </c>
      <c r="Q564" s="1" t="s">
        <v>484</v>
      </c>
      <c r="R564" s="11">
        <v>44344</v>
      </c>
      <c r="S564" s="1">
        <v>5</v>
      </c>
      <c r="U564" s="48"/>
    </row>
    <row r="565" ht="30" customHeight="1" spans="1:21" x14ac:dyDescent="0.25">
      <c r="A565" s="1" t="s">
        <v>4259</v>
      </c>
      <c r="B565" s="1">
        <v>2021</v>
      </c>
      <c r="C565" s="2" t="s">
        <v>4262</v>
      </c>
      <c r="D565" s="1" t="s">
        <v>25</v>
      </c>
      <c r="E565" s="1">
        <v>252625</v>
      </c>
      <c r="F565" s="1" t="s">
        <v>27</v>
      </c>
      <c r="G565" s="11">
        <v>44344</v>
      </c>
      <c r="H565" s="14" t="s">
        <v>28</v>
      </c>
      <c r="I565" s="2" t="s">
        <v>2398</v>
      </c>
      <c r="J565" s="2" t="s">
        <v>2399</v>
      </c>
      <c r="K565" s="12">
        <v>0.01944444444598048</v>
      </c>
      <c r="L565" s="12">
        <v>0.055555555554747116</v>
      </c>
      <c r="M565" s="13">
        <f>CRF_3[[#This Row],[Time Spent on Configuration]]+CRF_3[[#This Row],[Time Spent on Review/Testing]]</f>
        <v>NaN</v>
      </c>
      <c r="O565" s="1" t="s">
        <v>32</v>
      </c>
      <c r="P565" s="1" t="s">
        <v>4187</v>
      </c>
      <c r="Q565" s="1" t="s">
        <v>488</v>
      </c>
      <c r="R565" s="11">
        <v>44344</v>
      </c>
      <c r="S565" s="1">
        <v>5</v>
      </c>
      <c r="U565" s="48"/>
    </row>
    <row r="566" spans="1:21" x14ac:dyDescent="0.25">
      <c r="A566" s="1" t="s">
        <v>4259</v>
      </c>
      <c r="B566" s="1">
        <v>2021</v>
      </c>
      <c r="C566" s="2" t="s">
        <v>4262</v>
      </c>
      <c r="D566" s="1" t="s">
        <v>25</v>
      </c>
      <c r="E566" s="1">
        <v>247318</v>
      </c>
      <c r="F566" s="1" t="s">
        <v>27</v>
      </c>
      <c r="G566" s="11">
        <v>44345</v>
      </c>
      <c r="H566" s="14" t="s">
        <v>50</v>
      </c>
      <c r="I566" s="2" t="s">
        <v>2401</v>
      </c>
      <c r="J566" s="2" t="s">
        <v>2402</v>
      </c>
      <c r="K566" s="12">
        <v>0.02916666666715173</v>
      </c>
      <c r="L566" s="12">
        <v>0.08055555555620231</v>
      </c>
      <c r="M566" s="13">
        <f>CRF_3[[#This Row],[Time Spent on Configuration]]+CRF_3[[#This Row],[Time Spent on Review/Testing]]</f>
        <v>NaN</v>
      </c>
      <c r="O566" s="1" t="s">
        <v>32</v>
      </c>
      <c r="P566" s="1" t="s">
        <v>4187</v>
      </c>
      <c r="Q566" s="1" t="s">
        <v>488</v>
      </c>
      <c r="R566" s="11">
        <v>44345</v>
      </c>
      <c r="S566" s="1">
        <v>5</v>
      </c>
      <c r="U566" s="48"/>
    </row>
    <row r="567" ht="45" customHeight="1" spans="1:21" x14ac:dyDescent="0.25">
      <c r="A567" s="1" t="s">
        <v>4273</v>
      </c>
      <c r="B567" s="1">
        <v>2021</v>
      </c>
      <c r="C567" s="2" t="s">
        <v>1040</v>
      </c>
      <c r="D567" s="1" t="s">
        <v>951</v>
      </c>
      <c r="E567" s="1">
        <v>253490</v>
      </c>
      <c r="F567" s="1" t="s">
        <v>27</v>
      </c>
      <c r="G567" s="11">
        <v>44350</v>
      </c>
      <c r="H567" s="14" t="s">
        <v>50</v>
      </c>
      <c r="I567" s="40" t="s">
        <v>4274</v>
      </c>
      <c r="J567" s="40" t="s">
        <v>2406</v>
      </c>
      <c r="K567" s="12">
        <v>0.03125</v>
      </c>
      <c r="L567" s="12">
        <v>0.049999999999272404</v>
      </c>
      <c r="M567" s="13">
        <f>CRF_3[[#This Row],[Time Spent on Configuration]]+CRF_3[[#This Row],[Time Spent on Review/Testing]]</f>
        <v>NaN</v>
      </c>
      <c r="O567" s="65" t="s">
        <v>716</v>
      </c>
      <c r="P567" s="65" t="s">
        <v>4191</v>
      </c>
      <c r="Q567" s="1" t="s">
        <v>2022</v>
      </c>
      <c r="R567" s="11">
        <v>44350</v>
      </c>
      <c r="S567" s="1">
        <v>5</v>
      </c>
      <c r="U567" s="48"/>
    </row>
    <row r="568" ht="60" customHeight="1" spans="1:21" x14ac:dyDescent="0.25">
      <c r="A568" s="1" t="s">
        <v>4273</v>
      </c>
      <c r="B568" s="1">
        <v>2021</v>
      </c>
      <c r="C568" s="2" t="s">
        <v>1451</v>
      </c>
      <c r="D568" s="1" t="s">
        <v>287</v>
      </c>
      <c r="E568" s="1">
        <v>253523</v>
      </c>
      <c r="F568" s="1" t="s">
        <v>27</v>
      </c>
      <c r="G568" s="11">
        <v>44354</v>
      </c>
      <c r="H568" s="14" t="s">
        <v>28</v>
      </c>
      <c r="I568" s="40" t="s">
        <v>4275</v>
      </c>
      <c r="J568" s="40" t="s">
        <v>2409</v>
      </c>
      <c r="K568" s="12">
        <v>0.016666666666424135</v>
      </c>
      <c r="L568" s="12">
        <v>0.05416666666496894</v>
      </c>
      <c r="M568" s="13">
        <f>CRF_3[[#This Row],[Time Spent on Configuration]]+CRF_3[[#This Row],[Time Spent on Review/Testing]]</f>
        <v>NaN</v>
      </c>
      <c r="O568" s="65" t="s">
        <v>32</v>
      </c>
      <c r="P568" s="65" t="s">
        <v>4187</v>
      </c>
      <c r="Q568" s="1" t="s">
        <v>484</v>
      </c>
      <c r="R568" s="11">
        <v>44354</v>
      </c>
      <c r="S568" s="1">
        <v>5</v>
      </c>
      <c r="U568" s="48"/>
    </row>
    <row r="569" ht="105" customHeight="1" spans="1:21" x14ac:dyDescent="0.25">
      <c r="A569" s="1" t="s">
        <v>4273</v>
      </c>
      <c r="B569" s="1">
        <v>2021</v>
      </c>
      <c r="C569" s="2" t="s">
        <v>4204</v>
      </c>
      <c r="D569" s="1" t="s">
        <v>44</v>
      </c>
      <c r="E569" s="1">
        <v>250270</v>
      </c>
      <c r="F569" s="1" t="s">
        <v>27</v>
      </c>
      <c r="G569" s="11">
        <v>44355</v>
      </c>
      <c r="H569" s="14" t="s">
        <v>28</v>
      </c>
      <c r="I569" s="2" t="s">
        <v>4276</v>
      </c>
      <c r="J569" s="2" t="s">
        <v>4277</v>
      </c>
      <c r="K569" s="12">
        <v>0.02152777777882875</v>
      </c>
      <c r="L569" s="12"/>
      <c r="M569" s="13">
        <f>CRF_3[[#This Row],[Time Spent on Configuration]]+CRF_3[[#This Row],[Time Spent on Review/Testing]]</f>
        <v>NaN</v>
      </c>
      <c r="O569" s="1" t="s">
        <v>2413</v>
      </c>
      <c r="P569" s="1" t="s">
        <v>4278</v>
      </c>
      <c r="Q569" s="1" t="s">
        <v>484</v>
      </c>
      <c r="R569" s="11">
        <v>44355</v>
      </c>
      <c r="S569" s="1">
        <v>5</v>
      </c>
      <c r="U569" s="48"/>
    </row>
    <row r="570" ht="45" customHeight="1" spans="1:21" x14ac:dyDescent="0.25">
      <c r="A570" s="1" t="s">
        <v>4273</v>
      </c>
      <c r="B570" s="1">
        <v>2021</v>
      </c>
      <c r="C570" s="2" t="s">
        <v>1442</v>
      </c>
      <c r="D570" s="1" t="s">
        <v>186</v>
      </c>
      <c r="E570" s="1">
        <v>254094</v>
      </c>
      <c r="F570" s="1" t="s">
        <v>27</v>
      </c>
      <c r="G570" s="11">
        <v>44358</v>
      </c>
      <c r="H570" s="14" t="s">
        <v>28</v>
      </c>
      <c r="I570" s="2" t="s">
        <v>4279</v>
      </c>
      <c r="J570" s="2" t="s">
        <v>4280</v>
      </c>
      <c r="K570" s="12">
        <v>0.125</v>
      </c>
      <c r="L570" s="12"/>
      <c r="M570" s="13">
        <f>CRF_3[[#This Row],[Time Spent on Configuration]]+CRF_3[[#This Row],[Time Spent on Review/Testing]]</f>
        <v>NaN</v>
      </c>
      <c r="O570" s="1" t="s">
        <v>31</v>
      </c>
      <c r="P570" s="1" t="s">
        <v>31</v>
      </c>
      <c r="Q570" s="1" t="s">
        <v>488</v>
      </c>
      <c r="R570" s="11">
        <v>44358</v>
      </c>
      <c r="S570" s="1">
        <v>5</v>
      </c>
      <c r="U570" s="48"/>
    </row>
    <row r="571" ht="90" customHeight="1" spans="1:21" x14ac:dyDescent="0.25">
      <c r="A571" s="1" t="s">
        <v>4273</v>
      </c>
      <c r="B571" s="1">
        <v>2021</v>
      </c>
      <c r="C571" s="2" t="s">
        <v>1040</v>
      </c>
      <c r="D571" s="1" t="s">
        <v>1631</v>
      </c>
      <c r="E571" s="1">
        <v>242359</v>
      </c>
      <c r="F571" s="1" t="s">
        <v>27</v>
      </c>
      <c r="G571" s="11">
        <v>44362</v>
      </c>
      <c r="H571" s="14" t="s">
        <v>28</v>
      </c>
      <c r="I571" s="2" t="s">
        <v>2418</v>
      </c>
      <c r="J571" s="2" t="s">
        <v>4281</v>
      </c>
      <c r="K571" s="12">
        <v>0.03125</v>
      </c>
      <c r="L571" s="12">
        <v>0.055555555554747116</v>
      </c>
      <c r="M571" s="13">
        <f>CRF_3[[#This Row],[Time Spent on Configuration]]+CRF_3[[#This Row],[Time Spent on Review/Testing]]</f>
        <v>NaN</v>
      </c>
      <c r="O571" s="1" t="s">
        <v>53</v>
      </c>
      <c r="P571" s="1" t="s">
        <v>483</v>
      </c>
      <c r="Q571" s="1" t="s">
        <v>484</v>
      </c>
      <c r="R571" s="11">
        <v>44362</v>
      </c>
      <c r="U571" s="48"/>
    </row>
    <row r="572" ht="45" customHeight="1" spans="1:21" x14ac:dyDescent="0.25">
      <c r="A572" s="1" t="s">
        <v>4273</v>
      </c>
      <c r="B572" s="1">
        <v>2021</v>
      </c>
      <c r="C572" s="2" t="s">
        <v>1635</v>
      </c>
      <c r="D572" s="1" t="s">
        <v>186</v>
      </c>
      <c r="E572" s="1">
        <v>253948</v>
      </c>
      <c r="F572" s="1" t="s">
        <v>27</v>
      </c>
      <c r="G572" s="11">
        <v>44365</v>
      </c>
      <c r="H572" s="14" t="s">
        <v>133</v>
      </c>
      <c r="I572" s="2" t="s">
        <v>2421</v>
      </c>
      <c r="J572" s="2" t="s">
        <v>4282</v>
      </c>
      <c r="K572" s="12">
        <v>0.01736111110949423</v>
      </c>
      <c r="L572" s="12">
        <v>0.020833333332120674</v>
      </c>
      <c r="M572" s="13">
        <f>CRF_3[[#This Row],[Time Spent on Configuration]]+CRF_3[[#This Row],[Time Spent on Review/Testing]]</f>
        <v>NaN</v>
      </c>
      <c r="O572" s="1" t="s">
        <v>32</v>
      </c>
      <c r="P572" s="1" t="s">
        <v>4187</v>
      </c>
      <c r="Q572" s="1" t="s">
        <v>488</v>
      </c>
      <c r="R572" s="11">
        <v>44365</v>
      </c>
      <c r="S572" s="1">
        <v>5</v>
      </c>
      <c r="U572" s="48"/>
    </row>
    <row r="573" ht="90" customHeight="1" spans="1:21" x14ac:dyDescent="0.25">
      <c r="A573" s="1" t="s">
        <v>4273</v>
      </c>
      <c r="B573" s="1">
        <v>2021</v>
      </c>
      <c r="C573" s="2" t="s">
        <v>4204</v>
      </c>
      <c r="D573" s="1" t="s">
        <v>44</v>
      </c>
      <c r="E573" s="1">
        <v>242383</v>
      </c>
      <c r="F573" s="1" t="s">
        <v>27</v>
      </c>
      <c r="G573" s="11">
        <v>44368</v>
      </c>
      <c r="H573" s="14" t="s">
        <v>50</v>
      </c>
      <c r="I573" s="2" t="s">
        <v>4283</v>
      </c>
      <c r="J573" s="2" t="s">
        <v>4284</v>
      </c>
      <c r="K573" s="12">
        <v>0.003472222222626442</v>
      </c>
      <c r="L573" s="12">
        <v>0.027777777777373558</v>
      </c>
      <c r="M573" s="13">
        <f>CRF_3[[#This Row],[Time Spent on Configuration]]+CRF_3[[#This Row],[Time Spent on Review/Testing]]</f>
        <v>NaN</v>
      </c>
      <c r="O573" s="1" t="s">
        <v>32</v>
      </c>
      <c r="P573" s="1" t="s">
        <v>4187</v>
      </c>
      <c r="Q573" s="1" t="s">
        <v>488</v>
      </c>
      <c r="R573" s="11">
        <v>44368</v>
      </c>
      <c r="S573" s="1">
        <v>5</v>
      </c>
      <c r="U573" s="48"/>
    </row>
    <row r="574" spans="1:21" x14ac:dyDescent="0.25">
      <c r="A574" s="1" t="s">
        <v>4273</v>
      </c>
      <c r="B574" s="1">
        <v>2021</v>
      </c>
      <c r="C574" s="2" t="s">
        <v>35</v>
      </c>
      <c r="D574" s="1" t="s">
        <v>25</v>
      </c>
      <c r="E574" s="1">
        <v>255708</v>
      </c>
      <c r="F574" s="1" t="s">
        <v>27</v>
      </c>
      <c r="G574" s="11">
        <v>44376</v>
      </c>
      <c r="H574" s="14" t="s">
        <v>38</v>
      </c>
      <c r="I574" s="2" t="s">
        <v>2426</v>
      </c>
      <c r="J574" s="2" t="s">
        <v>4285</v>
      </c>
      <c r="K574" s="12">
        <v>0.006944444445252884</v>
      </c>
      <c r="L574" s="12">
        <v>0.02916666666715173</v>
      </c>
      <c r="M574" s="13">
        <f>CRF_3[[#This Row],[Time Spent on Configuration]]+CRF_3[[#This Row],[Time Spent on Review/Testing]]</f>
        <v>NaN</v>
      </c>
      <c r="O574" s="1" t="s">
        <v>4207</v>
      </c>
      <c r="P574" s="1" t="s">
        <v>4187</v>
      </c>
      <c r="Q574" s="1" t="s">
        <v>42</v>
      </c>
      <c r="R574" s="11">
        <v>44376</v>
      </c>
      <c r="S574" s="1">
        <v>5</v>
      </c>
      <c r="U574" s="48"/>
    </row>
    <row r="575" ht="45" customHeight="1" spans="1:21" x14ac:dyDescent="0.25">
      <c r="A575" s="1" t="s">
        <v>4273</v>
      </c>
      <c r="B575" s="1">
        <v>2021</v>
      </c>
      <c r="C575" s="2" t="s">
        <v>35</v>
      </c>
      <c r="D575" s="1" t="s">
        <v>25</v>
      </c>
      <c r="E575" s="1">
        <v>255452</v>
      </c>
      <c r="F575" s="1" t="s">
        <v>27</v>
      </c>
      <c r="G575" s="11">
        <v>44377</v>
      </c>
      <c r="H575" s="14" t="s">
        <v>28</v>
      </c>
      <c r="I575" s="2" t="s">
        <v>4286</v>
      </c>
      <c r="J575" s="2" t="s">
        <v>2430</v>
      </c>
      <c r="K575" s="12">
        <v>0.03263888888977817</v>
      </c>
      <c r="L575" s="12">
        <v>0.125</v>
      </c>
      <c r="M575" s="13">
        <f>CRF_3[[#This Row],[Time Spent on Configuration]]+CRF_3[[#This Row],[Time Spent on Review/Testing]]</f>
        <v>NaN</v>
      </c>
      <c r="O575" s="1" t="s">
        <v>4191</v>
      </c>
      <c r="P575" s="1" t="s">
        <v>4187</v>
      </c>
      <c r="Q575" s="1" t="s">
        <v>42</v>
      </c>
      <c r="R575" s="11">
        <v>44377</v>
      </c>
      <c r="S575" s="1">
        <v>5</v>
      </c>
      <c r="U575" s="48"/>
    </row>
    <row r="576" ht="45" customHeight="1" spans="1:21" x14ac:dyDescent="0.25">
      <c r="A576" s="1" t="s">
        <v>4273</v>
      </c>
      <c r="B576" s="1">
        <v>2021</v>
      </c>
      <c r="C576" s="2" t="s">
        <v>334</v>
      </c>
      <c r="D576" s="1" t="s">
        <v>25</v>
      </c>
      <c r="E576" s="1">
        <v>255690</v>
      </c>
      <c r="F576" s="1" t="s">
        <v>27</v>
      </c>
      <c r="G576" s="11">
        <v>44377</v>
      </c>
      <c r="H576" s="14" t="s">
        <v>28</v>
      </c>
      <c r="I576" s="2" t="s">
        <v>2432</v>
      </c>
      <c r="J576" s="2" t="s">
        <v>4287</v>
      </c>
      <c r="K576" s="12">
        <v>0.020833333332120674</v>
      </c>
      <c r="L576" s="12">
        <v>0.02569444444452529</v>
      </c>
      <c r="M576" s="13">
        <f>CRF_3[[#This Row],[Time Spent on Configuration]]+CRF_3[[#This Row],[Time Spent on Review/Testing]]</f>
        <v>NaN</v>
      </c>
      <c r="O576" s="1" t="s">
        <v>53</v>
      </c>
      <c r="P576" s="1" t="s">
        <v>483</v>
      </c>
      <c r="Q576" s="1" t="s">
        <v>488</v>
      </c>
      <c r="R576" s="11">
        <v>44377</v>
      </c>
      <c r="S576" s="1">
        <v>5</v>
      </c>
      <c r="U576" s="48"/>
    </row>
    <row r="577" ht="270" customHeight="1" spans="1:21" x14ac:dyDescent="0.25">
      <c r="A577" s="1" t="s">
        <v>4288</v>
      </c>
      <c r="B577" s="1">
        <v>2021</v>
      </c>
      <c r="C577" s="2" t="s">
        <v>99</v>
      </c>
      <c r="D577" s="1" t="s">
        <v>25</v>
      </c>
      <c r="E577" s="1">
        <v>256212</v>
      </c>
      <c r="F577" s="1" t="s">
        <v>27</v>
      </c>
      <c r="G577" s="11">
        <v>44379</v>
      </c>
      <c r="H577" s="11" t="s">
        <v>3842</v>
      </c>
      <c r="I577" s="2" t="s">
        <v>4289</v>
      </c>
      <c r="J577" s="2" t="s">
        <v>4290</v>
      </c>
      <c r="K577" s="12">
        <v>0.07291666666787933</v>
      </c>
      <c r="L577" s="12">
        <v>0.015972222223354038</v>
      </c>
      <c r="M577" s="13">
        <f>CRF_3[[#This Row],[Time Spent on Configuration]]+CRF_3[[#This Row],[Time Spent on Review/Testing]]</f>
        <v>NaN</v>
      </c>
      <c r="O577" s="1" t="s">
        <v>4205</v>
      </c>
      <c r="P577" s="1" t="s">
        <v>4187</v>
      </c>
      <c r="Q577" s="1" t="s">
        <v>484</v>
      </c>
      <c r="R577" s="11">
        <v>44379</v>
      </c>
      <c r="S577" s="1">
        <v>5</v>
      </c>
      <c r="U577" s="48"/>
    </row>
    <row r="578" ht="150" customHeight="1" spans="1:21" x14ac:dyDescent="0.25">
      <c r="A578" s="1" t="s">
        <v>3676</v>
      </c>
      <c r="B578" s="1">
        <v>2021</v>
      </c>
      <c r="C578" s="2" t="s">
        <v>2315</v>
      </c>
      <c r="D578" s="1" t="s">
        <v>25</v>
      </c>
      <c r="E578" s="1">
        <v>256320</v>
      </c>
      <c r="F578" s="1" t="s">
        <v>37</v>
      </c>
      <c r="G578" s="11">
        <v>44382</v>
      </c>
      <c r="H578" s="14" t="s">
        <v>255</v>
      </c>
      <c r="I578" s="2" t="s">
        <v>4291</v>
      </c>
      <c r="J578" s="2" t="s">
        <v>2440</v>
      </c>
      <c r="K578" s="12">
        <v>0.10763888889050577</v>
      </c>
      <c r="L578" s="12">
        <v>0.038194444445252884</v>
      </c>
      <c r="M578" s="13">
        <f>CRF_3[[#This Row],[Time Spent on Configuration]]+CRF_3[[#This Row],[Time Spent on Review/Testing]]</f>
        <v>NaN</v>
      </c>
      <c r="O578" s="1" t="s">
        <v>31</v>
      </c>
      <c r="P578" s="1" t="s">
        <v>483</v>
      </c>
      <c r="Q578" s="1" t="s">
        <v>2441</v>
      </c>
      <c r="R578" s="11">
        <v>44382</v>
      </c>
      <c r="S578" s="1">
        <v>5</v>
      </c>
      <c r="U578" s="48"/>
    </row>
    <row r="579" spans="1:21" x14ac:dyDescent="0.25">
      <c r="A579" s="1" t="s">
        <v>3676</v>
      </c>
      <c r="B579" s="1">
        <v>2021</v>
      </c>
      <c r="C579" s="2" t="s">
        <v>185</v>
      </c>
      <c r="D579" s="1" t="s">
        <v>186</v>
      </c>
      <c r="E579" s="1">
        <v>257067</v>
      </c>
      <c r="F579" s="1" t="s">
        <v>37</v>
      </c>
      <c r="G579" s="11">
        <v>44387</v>
      </c>
      <c r="H579" s="14" t="s">
        <v>133</v>
      </c>
      <c r="I579" s="2" t="s">
        <v>4292</v>
      </c>
      <c r="J579" s="2" t="s">
        <v>4293</v>
      </c>
      <c r="K579" s="12">
        <v>0.006944444445252884</v>
      </c>
      <c r="L579" s="12">
        <v>0.02361111111167702</v>
      </c>
      <c r="M579" s="13">
        <f>CRF_3[[#This Row],[Time Spent on Configuration]]+CRF_3[[#This Row],[Time Spent on Review/Testing]]</f>
        <v>NaN</v>
      </c>
      <c r="O579" s="1" t="s">
        <v>31</v>
      </c>
      <c r="P579" s="1" t="s">
        <v>4191</v>
      </c>
      <c r="Q579" s="1" t="s">
        <v>488</v>
      </c>
      <c r="R579" s="11">
        <v>44387</v>
      </c>
      <c r="S579" s="1">
        <v>5</v>
      </c>
      <c r="U579" s="48"/>
    </row>
    <row r="580" ht="75" customHeight="1" spans="1:21" x14ac:dyDescent="0.25">
      <c r="A580" s="1" t="s">
        <v>4288</v>
      </c>
      <c r="B580" s="1">
        <v>2021</v>
      </c>
      <c r="C580" s="2" t="s">
        <v>122</v>
      </c>
      <c r="D580" s="1" t="s">
        <v>4294</v>
      </c>
      <c r="E580" s="1">
        <v>257827</v>
      </c>
      <c r="F580" s="1" t="s">
        <v>27</v>
      </c>
      <c r="G580" s="11">
        <v>44398</v>
      </c>
      <c r="H580" s="14" t="s">
        <v>74</v>
      </c>
      <c r="I580" s="2" t="s">
        <v>4295</v>
      </c>
      <c r="J580" s="2" t="s">
        <v>4296</v>
      </c>
      <c r="K580" s="12">
        <v>0.01736111110949423</v>
      </c>
      <c r="L580" s="12">
        <v>0.015277777776645962</v>
      </c>
      <c r="M580" s="13">
        <f>CRF_3[[#This Row],[Time Spent on Configuration]]+CRF_3[[#This Row],[Time Spent on Review/Testing]]</f>
        <v>NaN</v>
      </c>
      <c r="O580" s="1" t="s">
        <v>32</v>
      </c>
      <c r="P580" s="1" t="s">
        <v>4187</v>
      </c>
      <c r="Q580" s="1" t="s">
        <v>484</v>
      </c>
      <c r="R580" s="11">
        <v>44398</v>
      </c>
      <c r="S580" s="1">
        <v>5</v>
      </c>
      <c r="U580" s="48"/>
    </row>
    <row r="581" ht="120" customHeight="1" spans="1:21" x14ac:dyDescent="0.25">
      <c r="A581" s="1" t="s">
        <v>4288</v>
      </c>
      <c r="B581" s="1">
        <v>2021</v>
      </c>
      <c r="C581" s="2" t="s">
        <v>616</v>
      </c>
      <c r="D581" s="1" t="s">
        <v>617</v>
      </c>
      <c r="E581" s="1">
        <v>249957</v>
      </c>
      <c r="F581" s="1" t="s">
        <v>27</v>
      </c>
      <c r="G581" s="11">
        <v>44405</v>
      </c>
      <c r="H581" s="14" t="s">
        <v>255</v>
      </c>
      <c r="I581" s="2" t="s">
        <v>2449</v>
      </c>
      <c r="J581" s="2" t="s">
        <v>4297</v>
      </c>
      <c r="K581" s="12">
        <v>0.04861111110949423</v>
      </c>
      <c r="L581" s="12">
        <v>0.05138888888905058</v>
      </c>
      <c r="M581" s="13">
        <f>CRF_3[[#This Row],[Time Spent on Configuration]]+CRF_3[[#This Row],[Time Spent on Review/Testing]]</f>
        <v>NaN</v>
      </c>
      <c r="O581" s="1" t="s">
        <v>4191</v>
      </c>
      <c r="P581" s="1" t="s">
        <v>4187</v>
      </c>
      <c r="Q581" s="1" t="s">
        <v>484</v>
      </c>
      <c r="R581" s="11">
        <v>44405</v>
      </c>
      <c r="S581" s="1">
        <v>5</v>
      </c>
      <c r="U581" s="48"/>
    </row>
    <row r="582" ht="90" customHeight="1" spans="1:21" x14ac:dyDescent="0.25">
      <c r="A582" s="1" t="s">
        <v>4288</v>
      </c>
      <c r="B582" s="1">
        <v>2021</v>
      </c>
      <c r="C582" s="2" t="s">
        <v>1040</v>
      </c>
      <c r="D582" s="1" t="s">
        <v>951</v>
      </c>
      <c r="E582" s="1">
        <v>258921</v>
      </c>
      <c r="F582" s="1" t="s">
        <v>27</v>
      </c>
      <c r="G582" s="11">
        <v>44406</v>
      </c>
      <c r="H582" s="14" t="s">
        <v>255</v>
      </c>
      <c r="I582" s="2" t="s">
        <v>4298</v>
      </c>
      <c r="J582" s="2" t="s">
        <v>4299</v>
      </c>
      <c r="K582" s="12">
        <v>0.004166666665696539</v>
      </c>
      <c r="L582" s="12">
        <v>0.013888888890505768</v>
      </c>
      <c r="M582" s="13">
        <f>CRF_3[[#This Row],[Time Spent on Configuration]]+CRF_3[[#This Row],[Time Spent on Review/Testing]]</f>
        <v>NaN</v>
      </c>
      <c r="O582" s="1" t="s">
        <v>4191</v>
      </c>
      <c r="P582" s="1" t="s">
        <v>4187</v>
      </c>
      <c r="Q582" s="1" t="s">
        <v>484</v>
      </c>
      <c r="R582" s="11">
        <v>44406</v>
      </c>
      <c r="S582" s="1">
        <v>5</v>
      </c>
      <c r="U582" s="48"/>
    </row>
    <row r="583" ht="60" customHeight="1" spans="1:21" x14ac:dyDescent="0.25">
      <c r="A583" s="1" t="s">
        <v>4288</v>
      </c>
      <c r="B583" s="1">
        <v>2021</v>
      </c>
      <c r="C583" s="2" t="s">
        <v>4204</v>
      </c>
      <c r="D583" s="1" t="s">
        <v>44</v>
      </c>
      <c r="E583" s="1">
        <v>258951</v>
      </c>
      <c r="F583" s="1" t="s">
        <v>27</v>
      </c>
      <c r="G583" s="11">
        <v>44406</v>
      </c>
      <c r="H583" s="14" t="s">
        <v>133</v>
      </c>
      <c r="I583" s="2" t="s">
        <v>4300</v>
      </c>
      <c r="J583" s="2" t="s">
        <v>4301</v>
      </c>
      <c r="K583" s="12">
        <v>0.012500000000727596</v>
      </c>
      <c r="L583" s="12">
        <v>0.020833333332120674</v>
      </c>
      <c r="M583" s="13">
        <f>CRF_3[[#This Row],[Time Spent on Configuration]]+CRF_3[[#This Row],[Time Spent on Review/Testing]]</f>
        <v>NaN</v>
      </c>
      <c r="O583" s="1" t="s">
        <v>4191</v>
      </c>
      <c r="P583" s="1" t="s">
        <v>4187</v>
      </c>
      <c r="Q583" s="1" t="s">
        <v>484</v>
      </c>
      <c r="R583" s="11">
        <v>44406</v>
      </c>
      <c r="S583" s="1">
        <v>5</v>
      </c>
      <c r="U583" s="48"/>
    </row>
    <row r="584" spans="1:21" x14ac:dyDescent="0.25">
      <c r="A584" s="1" t="s">
        <v>4302</v>
      </c>
      <c r="B584" s="1">
        <v>2021</v>
      </c>
      <c r="C584" s="2" t="s">
        <v>2315</v>
      </c>
      <c r="D584" s="1" t="s">
        <v>25</v>
      </c>
      <c r="E584" s="1">
        <v>259376</v>
      </c>
      <c r="F584" s="1" t="s">
        <v>27</v>
      </c>
      <c r="G584" s="11">
        <v>44411</v>
      </c>
      <c r="H584" s="14" t="s">
        <v>255</v>
      </c>
      <c r="I584" s="2" t="s">
        <v>4303</v>
      </c>
      <c r="J584" s="2" t="s">
        <v>4304</v>
      </c>
      <c r="K584" s="12">
        <v>0.03125</v>
      </c>
      <c r="L584" s="12">
        <v>0.03958333333503106</v>
      </c>
      <c r="M584" s="13">
        <f>CRF_3[[#This Row],[Time Spent on Configuration]]+CRF_3[[#This Row],[Time Spent on Review/Testing]]</f>
        <v>NaN</v>
      </c>
      <c r="O584" s="1" t="s">
        <v>31</v>
      </c>
      <c r="P584" s="1" t="s">
        <v>32</v>
      </c>
      <c r="Q584" s="1" t="s">
        <v>488</v>
      </c>
      <c r="R584" s="11">
        <v>44411</v>
      </c>
      <c r="S584" s="1">
        <v>5</v>
      </c>
      <c r="U584" s="48"/>
    </row>
    <row r="585" ht="30" customHeight="1" spans="1:21" x14ac:dyDescent="0.25">
      <c r="A585" s="1" t="s">
        <v>4302</v>
      </c>
      <c r="B585" s="1">
        <v>2021</v>
      </c>
      <c r="C585" s="2" t="s">
        <v>35</v>
      </c>
      <c r="D585" s="1" t="s">
        <v>25</v>
      </c>
      <c r="E585" s="1">
        <v>259931</v>
      </c>
      <c r="F585" s="1" t="s">
        <v>27</v>
      </c>
      <c r="G585" s="11">
        <v>44420</v>
      </c>
      <c r="H585" s="14" t="s">
        <v>50</v>
      </c>
      <c r="I585" s="2" t="s">
        <v>4305</v>
      </c>
      <c r="J585" s="2" t="s">
        <v>2463</v>
      </c>
      <c r="K585" s="12">
        <v>0.006944444445252884</v>
      </c>
      <c r="L585" s="12">
        <v>0.01944444444598048</v>
      </c>
      <c r="M585" s="13">
        <f>CRF_3[[#This Row],[Time Spent on Configuration]]+CRF_3[[#This Row],[Time Spent on Review/Testing]]</f>
        <v>NaN</v>
      </c>
      <c r="O585" s="1" t="s">
        <v>4207</v>
      </c>
      <c r="P585" s="1" t="s">
        <v>4187</v>
      </c>
      <c r="Q585" s="1" t="s">
        <v>42</v>
      </c>
      <c r="R585" s="11">
        <v>44420</v>
      </c>
      <c r="S585" s="1">
        <v>5</v>
      </c>
      <c r="U585" s="48"/>
    </row>
    <row r="586" ht="30" customHeight="1" spans="1:21" x14ac:dyDescent="0.25">
      <c r="A586" s="1" t="s">
        <v>4302</v>
      </c>
      <c r="B586" s="1">
        <v>2021</v>
      </c>
      <c r="C586" s="2" t="s">
        <v>35</v>
      </c>
      <c r="D586" s="1" t="s">
        <v>25</v>
      </c>
      <c r="E586" s="1">
        <v>260637</v>
      </c>
      <c r="F586" s="1" t="s">
        <v>27</v>
      </c>
      <c r="G586" s="11">
        <v>44424</v>
      </c>
      <c r="H586" s="14" t="s">
        <v>133</v>
      </c>
      <c r="I586" s="2" t="s">
        <v>4306</v>
      </c>
      <c r="J586" s="2" t="s">
        <v>4307</v>
      </c>
      <c r="K586" s="12">
        <v>0.018749999999272404</v>
      </c>
      <c r="L586" s="12">
        <v>0.02361111111167702</v>
      </c>
      <c r="M586" s="13">
        <f>CRF_3[[#This Row],[Time Spent on Configuration]]+CRF_3[[#This Row],[Time Spent on Review/Testing]]</f>
        <v>NaN</v>
      </c>
      <c r="O586" s="1" t="s">
        <v>32</v>
      </c>
      <c r="P586" s="1" t="s">
        <v>4187</v>
      </c>
      <c r="Q586" s="1" t="s">
        <v>42</v>
      </c>
      <c r="R586" s="11">
        <v>44424</v>
      </c>
      <c r="S586" s="1">
        <v>5</v>
      </c>
      <c r="U586" s="48"/>
    </row>
    <row r="587" spans="1:21" x14ac:dyDescent="0.25">
      <c r="A587" s="1" t="s">
        <v>4302</v>
      </c>
      <c r="B587" s="1">
        <v>2021</v>
      </c>
      <c r="C587" s="2" t="s">
        <v>616</v>
      </c>
      <c r="D587" s="1" t="s">
        <v>617</v>
      </c>
      <c r="E587" s="1">
        <v>261446</v>
      </c>
      <c r="F587" s="1" t="s">
        <v>27</v>
      </c>
      <c r="G587" s="11">
        <v>44428</v>
      </c>
      <c r="H587" s="14" t="s">
        <v>28</v>
      </c>
      <c r="I587" s="2" t="s">
        <v>4308</v>
      </c>
      <c r="J587" s="2" t="s">
        <v>2469</v>
      </c>
      <c r="K587" s="12">
        <v>0.018749999999272404</v>
      </c>
      <c r="L587" s="12">
        <v>0.0631944444430701</v>
      </c>
      <c r="M587" s="13">
        <f>CRF_3[[#This Row],[Time Spent on Configuration]]+CRF_3[[#This Row],[Time Spent on Review/Testing]]</f>
        <v>NaN</v>
      </c>
      <c r="O587" s="1" t="s">
        <v>53</v>
      </c>
      <c r="P587" s="1" t="s">
        <v>32</v>
      </c>
      <c r="Q587" s="1" t="s">
        <v>484</v>
      </c>
      <c r="R587" s="11">
        <v>44429</v>
      </c>
      <c r="S587" s="1">
        <v>5</v>
      </c>
      <c r="U587" s="48"/>
    </row>
    <row r="588" spans="1:21" x14ac:dyDescent="0.25">
      <c r="A588" s="1" t="s">
        <v>4302</v>
      </c>
      <c r="B588" s="1">
        <v>2021</v>
      </c>
      <c r="C588" s="2" t="s">
        <v>185</v>
      </c>
      <c r="D588" s="1" t="s">
        <v>186</v>
      </c>
      <c r="E588" s="1">
        <v>261711</v>
      </c>
      <c r="F588" s="1" t="s">
        <v>27</v>
      </c>
      <c r="G588" s="11">
        <v>44432</v>
      </c>
      <c r="H588" s="14" t="s">
        <v>255</v>
      </c>
      <c r="I588" s="2" t="s">
        <v>2471</v>
      </c>
      <c r="J588" s="2" t="s">
        <v>2472</v>
      </c>
      <c r="K588" s="12">
        <v>0.018749999999272404</v>
      </c>
      <c r="L588" s="12">
        <v>0.055555555554747116</v>
      </c>
      <c r="M588" s="13">
        <f>CRF_3[[#This Row],[Time Spent on Configuration]]+CRF_3[[#This Row],[Time Spent on Review/Testing]]</f>
        <v>NaN</v>
      </c>
      <c r="O588" s="1" t="s">
        <v>53</v>
      </c>
      <c r="P588" s="1" t="s">
        <v>483</v>
      </c>
      <c r="Q588" s="1" t="s">
        <v>488</v>
      </c>
      <c r="R588" s="11">
        <v>44432</v>
      </c>
      <c r="S588" s="1">
        <v>5</v>
      </c>
      <c r="U588" s="48"/>
    </row>
    <row r="589" spans="1:21" x14ac:dyDescent="0.25">
      <c r="A589" s="1" t="s">
        <v>4302</v>
      </c>
      <c r="B589" s="1">
        <v>2021</v>
      </c>
      <c r="C589" s="2" t="s">
        <v>2473</v>
      </c>
      <c r="D589" s="1" t="s">
        <v>1924</v>
      </c>
      <c r="E589" s="1">
        <v>261536</v>
      </c>
      <c r="F589" s="1" t="s">
        <v>27</v>
      </c>
      <c r="G589" s="11">
        <v>44432</v>
      </c>
      <c r="H589" s="14" t="s">
        <v>28</v>
      </c>
      <c r="I589" s="2" t="s">
        <v>2475</v>
      </c>
      <c r="J589" s="2" t="s">
        <v>2476</v>
      </c>
      <c r="K589" s="12">
        <v>0.018749999999272404</v>
      </c>
      <c r="L589" s="12">
        <v>0.052083333332120674</v>
      </c>
      <c r="M589" s="13">
        <f>CRF_3[[#This Row],[Time Spent on Configuration]]+CRF_3[[#This Row],[Time Spent on Review/Testing]]</f>
        <v>NaN</v>
      </c>
      <c r="O589" s="1" t="s">
        <v>53</v>
      </c>
      <c r="P589" s="1" t="s">
        <v>483</v>
      </c>
      <c r="Q589" s="1" t="s">
        <v>484</v>
      </c>
      <c r="R589" s="11">
        <v>44432</v>
      </c>
      <c r="S589" s="1">
        <v>5</v>
      </c>
      <c r="U589" s="48"/>
    </row>
    <row r="590" spans="1:21" x14ac:dyDescent="0.25">
      <c r="A590" s="1" t="s">
        <v>3699</v>
      </c>
      <c r="B590" s="1">
        <v>2021</v>
      </c>
      <c r="C590" s="2" t="s">
        <v>2315</v>
      </c>
      <c r="D590" s="1" t="s">
        <v>25</v>
      </c>
      <c r="E590" s="66">
        <v>259376</v>
      </c>
      <c r="F590" s="1" t="s">
        <v>27</v>
      </c>
      <c r="G590" s="67">
        <v>44442</v>
      </c>
      <c r="H590" s="14" t="s">
        <v>255</v>
      </c>
      <c r="I590" s="41" t="s">
        <v>2478</v>
      </c>
      <c r="J590" s="41" t="s">
        <v>2479</v>
      </c>
      <c r="K590" s="12">
        <v>0.03125</v>
      </c>
      <c r="L590" s="12">
        <v>0.016666666666424135</v>
      </c>
      <c r="M590" s="13">
        <f>CRF_3[[#This Row],[Time Spent on Configuration]]+CRF_3[[#This Row],[Time Spent on Review/Testing]]</f>
        <v>NaN</v>
      </c>
      <c r="O590" s="1" t="s">
        <v>31</v>
      </c>
      <c r="P590" s="1" t="s">
        <v>32</v>
      </c>
      <c r="Q590" s="1" t="s">
        <v>484</v>
      </c>
      <c r="R590" s="11">
        <v>44442</v>
      </c>
      <c r="S590" s="1">
        <v>5</v>
      </c>
      <c r="U590" s="48"/>
    </row>
    <row r="591" ht="75" customHeight="1" spans="1:21" x14ac:dyDescent="0.25">
      <c r="A591" s="1" t="s">
        <v>3699</v>
      </c>
      <c r="B591" s="1">
        <v>2021</v>
      </c>
      <c r="C591" s="2" t="s">
        <v>118</v>
      </c>
      <c r="D591" s="1" t="s">
        <v>25</v>
      </c>
      <c r="E591" s="1">
        <v>262958</v>
      </c>
      <c r="F591" s="1" t="s">
        <v>27</v>
      </c>
      <c r="G591" s="67">
        <v>44443</v>
      </c>
      <c r="H591" s="14" t="s">
        <v>38</v>
      </c>
      <c r="I591" s="2" t="s">
        <v>2481</v>
      </c>
      <c r="J591" s="2" t="s">
        <v>2482</v>
      </c>
      <c r="K591" s="12">
        <v>0.0625</v>
      </c>
      <c r="L591" s="12">
        <v>0.03888888888832298</v>
      </c>
      <c r="M591" s="13">
        <f>CRF_3[[#This Row],[Time Spent on Configuration]]+CRF_3[[#This Row],[Time Spent on Review/Testing]]</f>
        <v>NaN</v>
      </c>
      <c r="O591" s="1" t="s">
        <v>574</v>
      </c>
      <c r="P591" s="1" t="s">
        <v>483</v>
      </c>
      <c r="Q591" s="1" t="s">
        <v>484</v>
      </c>
      <c r="R591" s="11">
        <v>44447</v>
      </c>
      <c r="S591" s="1">
        <v>4</v>
      </c>
      <c r="T591" s="1" t="s">
        <v>2483</v>
      </c>
      <c r="U591" s="48"/>
    </row>
    <row r="592" spans="1:21" x14ac:dyDescent="0.25">
      <c r="A592" s="1" t="s">
        <v>3699</v>
      </c>
      <c r="B592" s="1">
        <v>2021</v>
      </c>
      <c r="C592" s="2" t="s">
        <v>616</v>
      </c>
      <c r="D592" s="1" t="s">
        <v>617</v>
      </c>
      <c r="E592" s="1">
        <v>263547</v>
      </c>
      <c r="F592" s="1" t="s">
        <v>27</v>
      </c>
      <c r="G592" s="11">
        <v>44452</v>
      </c>
      <c r="H592" s="14" t="s">
        <v>28</v>
      </c>
      <c r="I592" s="2" t="s">
        <v>2485</v>
      </c>
      <c r="J592" s="2" t="s">
        <v>2485</v>
      </c>
      <c r="K592" s="12">
        <v>0.020833333332120674</v>
      </c>
      <c r="L592" s="12">
        <v>0.06111111111022183</v>
      </c>
      <c r="M592" s="13">
        <f>CRF_3[[#This Row],[Time Spent on Configuration]]+CRF_3[[#This Row],[Time Spent on Review/Testing]]</f>
        <v>NaN</v>
      </c>
      <c r="O592" s="1" t="s">
        <v>53</v>
      </c>
      <c r="P592" s="1" t="s">
        <v>32</v>
      </c>
      <c r="Q592" s="1" t="s">
        <v>484</v>
      </c>
      <c r="R592" s="11">
        <v>44452</v>
      </c>
      <c r="S592" s="1">
        <v>5</v>
      </c>
      <c r="U592" s="48"/>
    </row>
    <row r="593" spans="1:21" x14ac:dyDescent="0.25">
      <c r="A593" s="1" t="s">
        <v>3699</v>
      </c>
      <c r="B593" s="1">
        <v>2021</v>
      </c>
      <c r="C593" s="2" t="s">
        <v>163</v>
      </c>
      <c r="D593" s="1" t="s">
        <v>25</v>
      </c>
      <c r="E593" s="1">
        <v>263552</v>
      </c>
      <c r="F593" s="1" t="s">
        <v>27</v>
      </c>
      <c r="G593" s="11">
        <v>44452</v>
      </c>
      <c r="H593" s="14" t="s">
        <v>1368</v>
      </c>
      <c r="I593" s="2" t="s">
        <v>4309</v>
      </c>
      <c r="J593" s="2" t="s">
        <v>2488</v>
      </c>
      <c r="K593" s="12">
        <v>0.020833333332120674</v>
      </c>
      <c r="L593" s="12">
        <v>0.030555555556929903</v>
      </c>
      <c r="M593" s="13">
        <f>CRF_3[[#This Row],[Time Spent on Configuration]]+CRF_3[[#This Row],[Time Spent on Review/Testing]]</f>
        <v>NaN</v>
      </c>
      <c r="O593" s="1" t="s">
        <v>53</v>
      </c>
      <c r="P593" s="1" t="s">
        <v>483</v>
      </c>
      <c r="Q593" s="1" t="s">
        <v>488</v>
      </c>
      <c r="R593" s="11">
        <v>44452</v>
      </c>
      <c r="S593" s="1">
        <v>5</v>
      </c>
      <c r="U593" s="48"/>
    </row>
    <row r="594" ht="90" customHeight="1" spans="1:21" x14ac:dyDescent="0.25">
      <c r="A594" s="1" t="s">
        <v>3699</v>
      </c>
      <c r="B594" s="1">
        <v>2021</v>
      </c>
      <c r="C594" s="2" t="s">
        <v>113</v>
      </c>
      <c r="D594" s="1" t="s">
        <v>25</v>
      </c>
      <c r="E594" s="1">
        <v>261914</v>
      </c>
      <c r="F594" s="1" t="s">
        <v>37</v>
      </c>
      <c r="G594" s="11">
        <v>44452</v>
      </c>
      <c r="H594" s="14" t="s">
        <v>28</v>
      </c>
      <c r="I594" s="2" t="s">
        <v>4310</v>
      </c>
      <c r="J594" s="2" t="s">
        <v>4311</v>
      </c>
      <c r="K594" s="12">
        <v>0.05694444444452529</v>
      </c>
      <c r="L594" s="12">
        <v>0.05833333333430346</v>
      </c>
      <c r="M594" s="13">
        <f>CRF_3[[#This Row],[Time Spent on Configuration]]+CRF_3[[#This Row],[Time Spent on Review/Testing]]</f>
        <v>NaN</v>
      </c>
      <c r="O594" s="1" t="s">
        <v>483</v>
      </c>
      <c r="P594" s="1" t="s">
        <v>32</v>
      </c>
      <c r="Q594" s="1" t="s">
        <v>484</v>
      </c>
      <c r="R594" s="11">
        <v>44452</v>
      </c>
      <c r="S594" s="1">
        <v>5</v>
      </c>
      <c r="U594" s="48"/>
    </row>
    <row r="595" ht="30" customHeight="1" spans="1:21" x14ac:dyDescent="0.25">
      <c r="A595" s="1" t="s">
        <v>3699</v>
      </c>
      <c r="B595" s="1">
        <v>2021</v>
      </c>
      <c r="C595" s="2" t="s">
        <v>113</v>
      </c>
      <c r="D595" s="1" t="s">
        <v>25</v>
      </c>
      <c r="E595" s="1">
        <v>262953</v>
      </c>
      <c r="F595" s="1" t="s">
        <v>37</v>
      </c>
      <c r="G595" s="11">
        <v>44452</v>
      </c>
      <c r="H595" s="14" t="s">
        <v>28</v>
      </c>
      <c r="I595" s="2" t="s">
        <v>2493</v>
      </c>
      <c r="J595" s="2" t="s">
        <v>2494</v>
      </c>
      <c r="K595" s="12">
        <v>0.055555555554747116</v>
      </c>
      <c r="L595" s="12">
        <v>0.04236111111094942</v>
      </c>
      <c r="M595" s="13">
        <f>CRF_3[[#This Row],[Time Spent on Configuration]]+CRF_3[[#This Row],[Time Spent on Review/Testing]]</f>
        <v>NaN</v>
      </c>
      <c r="O595" s="1" t="s">
        <v>31</v>
      </c>
      <c r="P595" s="1" t="s">
        <v>32</v>
      </c>
      <c r="Q595" s="1" t="s">
        <v>484</v>
      </c>
      <c r="R595" s="11">
        <v>44452</v>
      </c>
      <c r="S595" s="1">
        <v>5</v>
      </c>
      <c r="U595" s="48"/>
    </row>
    <row r="596" ht="45" customHeight="1" spans="1:21" x14ac:dyDescent="0.25">
      <c r="A596" s="1" t="s">
        <v>4312</v>
      </c>
      <c r="B596" s="1">
        <v>2021</v>
      </c>
      <c r="C596" s="2" t="s">
        <v>1442</v>
      </c>
      <c r="D596" s="1" t="s">
        <v>186</v>
      </c>
      <c r="E596" s="1">
        <v>263330</v>
      </c>
      <c r="F596" s="1" t="s">
        <v>27</v>
      </c>
      <c r="G596" s="11">
        <v>44457</v>
      </c>
      <c r="H596" s="14" t="s">
        <v>74</v>
      </c>
      <c r="I596" s="2" t="s">
        <v>4313</v>
      </c>
      <c r="J596" s="2" t="s">
        <v>4314</v>
      </c>
      <c r="K596" s="12">
        <v>0.024305555554747116</v>
      </c>
      <c r="L596" s="12">
        <v>0.01736111110949423</v>
      </c>
      <c r="M596" s="13">
        <f>CRF_3[[#This Row],[Time Spent on Configuration]]+CRF_3[[#This Row],[Time Spent on Review/Testing]]</f>
        <v>NaN</v>
      </c>
      <c r="O596" s="1" t="s">
        <v>53</v>
      </c>
      <c r="P596" s="1" t="s">
        <v>32</v>
      </c>
      <c r="Q596" s="1" t="s">
        <v>488</v>
      </c>
      <c r="R596" s="11">
        <v>44457</v>
      </c>
      <c r="S596" s="1">
        <v>5</v>
      </c>
      <c r="U596" s="48"/>
    </row>
    <row r="597" ht="60" customHeight="1" spans="1:21" x14ac:dyDescent="0.25">
      <c r="A597" s="1" t="s">
        <v>4312</v>
      </c>
      <c r="B597" s="1">
        <v>2021</v>
      </c>
      <c r="C597" s="2" t="s">
        <v>185</v>
      </c>
      <c r="D597" s="1" t="s">
        <v>186</v>
      </c>
      <c r="E597" s="1">
        <v>263908</v>
      </c>
      <c r="F597" s="1" t="s">
        <v>27</v>
      </c>
      <c r="G597" s="11">
        <v>44457</v>
      </c>
      <c r="H597" s="14" t="s">
        <v>50</v>
      </c>
      <c r="I597" s="2" t="s">
        <v>4315</v>
      </c>
      <c r="J597" s="2" t="s">
        <v>4316</v>
      </c>
      <c r="K597" s="12">
        <v>0.03125</v>
      </c>
      <c r="L597" s="12">
        <v>0.01944444444598048</v>
      </c>
      <c r="M597" s="13">
        <f>CRF_3[[#This Row],[Time Spent on Configuration]]+CRF_3[[#This Row],[Time Spent on Review/Testing]]</f>
        <v>NaN</v>
      </c>
      <c r="O597" s="1" t="s">
        <v>31</v>
      </c>
      <c r="P597" s="1" t="s">
        <v>32</v>
      </c>
      <c r="Q597" s="1" t="s">
        <v>488</v>
      </c>
      <c r="R597" s="11">
        <v>44457</v>
      </c>
      <c r="S597" s="1">
        <v>5</v>
      </c>
      <c r="U597" s="48"/>
    </row>
    <row r="598" ht="150" customHeight="1" spans="1:21" x14ac:dyDescent="0.25">
      <c r="A598" s="1" t="s">
        <v>3708</v>
      </c>
      <c r="B598" s="1">
        <v>2021</v>
      </c>
      <c r="C598" s="2" t="s">
        <v>489</v>
      </c>
      <c r="D598" s="1" t="s">
        <v>490</v>
      </c>
      <c r="E598" s="1">
        <v>265117</v>
      </c>
      <c r="F598" s="1" t="s">
        <v>37</v>
      </c>
      <c r="G598" s="11">
        <v>44470</v>
      </c>
      <c r="H598" s="14" t="s">
        <v>28</v>
      </c>
      <c r="I598" s="2" t="s">
        <v>4317</v>
      </c>
      <c r="J598" s="2" t="s">
        <v>4318</v>
      </c>
      <c r="K598" s="12">
        <v>0.052083333332120674</v>
      </c>
      <c r="L598" s="12">
        <v>0.07430555555401952</v>
      </c>
      <c r="M598" s="13">
        <f>CRF_3[[#This Row],[Time Spent on Configuration]]+CRF_3[[#This Row],[Time Spent on Review/Testing]]</f>
        <v>NaN</v>
      </c>
      <c r="O598" s="1" t="s">
        <v>31</v>
      </c>
      <c r="P598" s="1" t="s">
        <v>483</v>
      </c>
      <c r="Q598" s="1" t="s">
        <v>42</v>
      </c>
      <c r="R598" s="11">
        <v>44470</v>
      </c>
      <c r="S598" s="1">
        <v>5</v>
      </c>
      <c r="U598" s="48"/>
    </row>
    <row r="599" ht="105" customHeight="1" spans="1:21" x14ac:dyDescent="0.25">
      <c r="A599" s="1" t="s">
        <v>3708</v>
      </c>
      <c r="B599" s="1">
        <v>2021</v>
      </c>
      <c r="C599" s="2" t="s">
        <v>185</v>
      </c>
      <c r="D599" s="1" t="s">
        <v>186</v>
      </c>
      <c r="E599" s="1">
        <v>265416</v>
      </c>
      <c r="F599" s="1" t="s">
        <v>37</v>
      </c>
      <c r="G599" s="11">
        <v>44473</v>
      </c>
      <c r="H599" s="14" t="s">
        <v>255</v>
      </c>
      <c r="I599" s="2" t="s">
        <v>4319</v>
      </c>
      <c r="J599" s="2" t="s">
        <v>4320</v>
      </c>
      <c r="K599" s="12">
        <v>0.03125</v>
      </c>
      <c r="L599" s="12">
        <v>0.02916666666715173</v>
      </c>
      <c r="M599" s="13">
        <f>CRF_3[[#This Row],[Time Spent on Configuration]]+CRF_3[[#This Row],[Time Spent on Review/Testing]]</f>
        <v>NaN</v>
      </c>
      <c r="O599" s="1" t="s">
        <v>31</v>
      </c>
      <c r="P599" s="1" t="s">
        <v>483</v>
      </c>
      <c r="Q599" s="1" t="s">
        <v>484</v>
      </c>
      <c r="R599" s="11">
        <v>44473</v>
      </c>
      <c r="S599" s="1">
        <v>5</v>
      </c>
      <c r="U599" s="48"/>
    </row>
    <row r="600" ht="75" customHeight="1" spans="1:21" x14ac:dyDescent="0.25">
      <c r="A600" s="1" t="s">
        <v>3708</v>
      </c>
      <c r="B600" s="1">
        <v>2021</v>
      </c>
      <c r="C600" s="2" t="s">
        <v>199</v>
      </c>
      <c r="D600" s="1" t="s">
        <v>541</v>
      </c>
      <c r="E600" s="1">
        <v>265802</v>
      </c>
      <c r="F600" s="1" t="s">
        <v>37</v>
      </c>
      <c r="G600" s="11">
        <v>44474</v>
      </c>
      <c r="H600" s="14" t="s">
        <v>28</v>
      </c>
      <c r="I600" s="2" t="s">
        <v>4321</v>
      </c>
      <c r="J600" s="2" t="s">
        <v>4322</v>
      </c>
      <c r="K600" s="12">
        <v>0.041666666667879326</v>
      </c>
      <c r="L600" s="12">
        <v>0.05902777777737356</v>
      </c>
      <c r="M600" s="13">
        <f>CRF_3[[#This Row],[Time Spent on Configuration]]+CRF_3[[#This Row],[Time Spent on Review/Testing]]</f>
        <v>NaN</v>
      </c>
      <c r="O600" s="1" t="s">
        <v>31</v>
      </c>
      <c r="P600" s="1" t="s">
        <v>32</v>
      </c>
      <c r="Q600" s="1" t="s">
        <v>488</v>
      </c>
      <c r="R600" s="11">
        <v>44474</v>
      </c>
      <c r="S600" s="1">
        <v>5</v>
      </c>
      <c r="U600" s="48"/>
    </row>
    <row r="601" ht="60" customHeight="1" spans="1:21" x14ac:dyDescent="0.25">
      <c r="A601" s="1" t="s">
        <v>4323</v>
      </c>
      <c r="B601" s="1">
        <v>2021</v>
      </c>
      <c r="C601" s="2" t="s">
        <v>185</v>
      </c>
      <c r="D601" s="1" t="s">
        <v>186</v>
      </c>
      <c r="E601" s="1">
        <v>266143</v>
      </c>
      <c r="F601" s="1" t="s">
        <v>27</v>
      </c>
      <c r="G601" s="11">
        <v>44475</v>
      </c>
      <c r="H601" s="14" t="s">
        <v>50</v>
      </c>
      <c r="I601" s="2" t="s">
        <v>4324</v>
      </c>
      <c r="J601" s="2" t="s">
        <v>4325</v>
      </c>
      <c r="K601" s="12">
        <v>0.010416666667879326</v>
      </c>
      <c r="L601" s="12">
        <v>0.020833333332120674</v>
      </c>
      <c r="M601" s="13">
        <f>CRF_3[[#This Row],[Time Spent on Configuration]]+CRF_3[[#This Row],[Time Spent on Review/Testing]]</f>
        <v>NaN</v>
      </c>
      <c r="O601" s="1" t="s">
        <v>32</v>
      </c>
      <c r="P601" s="1" t="s">
        <v>483</v>
      </c>
      <c r="Q601" s="1" t="s">
        <v>488</v>
      </c>
      <c r="R601" s="11">
        <v>44475</v>
      </c>
      <c r="S601" s="1">
        <v>5</v>
      </c>
      <c r="U601" s="48"/>
    </row>
    <row r="602" ht="30" customHeight="1" spans="1:21" x14ac:dyDescent="0.25">
      <c r="A602" s="1" t="s">
        <v>4323</v>
      </c>
      <c r="B602" s="1">
        <v>2021</v>
      </c>
      <c r="C602" s="2" t="s">
        <v>2514</v>
      </c>
      <c r="D602" s="1" t="s">
        <v>285</v>
      </c>
      <c r="E602" s="1">
        <v>265113</v>
      </c>
      <c r="F602" s="1" t="s">
        <v>37</v>
      </c>
      <c r="G602" s="11">
        <v>44476</v>
      </c>
      <c r="H602" s="14" t="s">
        <v>255</v>
      </c>
      <c r="I602" s="2" t="s">
        <v>2516</v>
      </c>
      <c r="J602" s="2" t="s">
        <v>2517</v>
      </c>
      <c r="K602" s="12">
        <v>0.010416666667879326</v>
      </c>
      <c r="L602" s="12">
        <v>0.015972222223354038</v>
      </c>
      <c r="M602" s="13">
        <f>CRF_3[[#This Row],[Time Spent on Configuration]]+CRF_3[[#This Row],[Time Spent on Review/Testing]]</f>
        <v>NaN</v>
      </c>
      <c r="O602" s="1" t="s">
        <v>31</v>
      </c>
      <c r="P602" s="1" t="s">
        <v>483</v>
      </c>
      <c r="Q602" s="1" t="s">
        <v>488</v>
      </c>
      <c r="R602" s="11">
        <v>44476</v>
      </c>
      <c r="S602" s="1">
        <v>5</v>
      </c>
      <c r="U602" s="48"/>
    </row>
    <row r="603" ht="105" customHeight="1" spans="1:21" x14ac:dyDescent="0.25">
      <c r="A603" s="1" t="s">
        <v>3708</v>
      </c>
      <c r="B603" s="1">
        <v>2021</v>
      </c>
      <c r="C603" s="2" t="s">
        <v>146</v>
      </c>
      <c r="D603" s="1" t="s">
        <v>186</v>
      </c>
      <c r="E603" s="1">
        <v>266236</v>
      </c>
      <c r="F603" s="1" t="s">
        <v>27</v>
      </c>
      <c r="G603" s="11">
        <v>44476</v>
      </c>
      <c r="H603" s="14" t="s">
        <v>255</v>
      </c>
      <c r="I603" s="2" t="s">
        <v>4326</v>
      </c>
      <c r="J603" s="2" t="s">
        <v>2520</v>
      </c>
      <c r="K603" s="12">
        <v>0.004166666665696539</v>
      </c>
      <c r="L603" s="12">
        <v>0.04305555555401952</v>
      </c>
      <c r="M603" s="13">
        <f>CRF_3[[#This Row],[Time Spent on Configuration]]+CRF_3[[#This Row],[Time Spent on Review/Testing]]</f>
        <v>NaN</v>
      </c>
      <c r="O603" s="1" t="s">
        <v>32</v>
      </c>
      <c r="P603" s="1" t="s">
        <v>483</v>
      </c>
      <c r="Q603" s="1" t="s">
        <v>488</v>
      </c>
      <c r="R603" s="11">
        <v>44476</v>
      </c>
      <c r="S603" s="1">
        <v>5</v>
      </c>
      <c r="U603" s="48"/>
    </row>
    <row r="604" ht="45" customHeight="1" spans="1:21" x14ac:dyDescent="0.25">
      <c r="A604" s="1" t="s">
        <v>3708</v>
      </c>
      <c r="B604" s="1">
        <v>2021</v>
      </c>
      <c r="C604" s="2" t="s">
        <v>529</v>
      </c>
      <c r="D604" s="1" t="s">
        <v>1924</v>
      </c>
      <c r="E604" s="1">
        <v>266138</v>
      </c>
      <c r="F604" s="1" t="s">
        <v>27</v>
      </c>
      <c r="G604" s="11">
        <v>44477</v>
      </c>
      <c r="H604" s="14" t="s">
        <v>28</v>
      </c>
      <c r="I604" s="2" t="s">
        <v>4327</v>
      </c>
      <c r="J604" s="2" t="s">
        <v>4328</v>
      </c>
      <c r="K604" s="12">
        <v>0.020833333332120674</v>
      </c>
      <c r="L604" s="12"/>
      <c r="M604" s="13">
        <f>CRF_3[[#This Row],[Time Spent on Configuration]]+CRF_3[[#This Row],[Time Spent on Review/Testing]]</f>
        <v>NaN</v>
      </c>
      <c r="O604" s="1" t="s">
        <v>53</v>
      </c>
      <c r="Q604" s="1" t="s">
        <v>484</v>
      </c>
      <c r="R604" s="11">
        <v>44477</v>
      </c>
      <c r="U604" s="48"/>
    </row>
    <row r="605" ht="30" customHeight="1" spans="1:21" x14ac:dyDescent="0.25">
      <c r="A605" s="1" t="s">
        <v>3708</v>
      </c>
      <c r="B605" s="1">
        <v>2021</v>
      </c>
      <c r="C605" s="2" t="s">
        <v>288</v>
      </c>
      <c r="D605" s="1" t="s">
        <v>25</v>
      </c>
      <c r="E605" s="1">
        <v>266306</v>
      </c>
      <c r="F605" s="1" t="s">
        <v>4195</v>
      </c>
      <c r="G605" s="11">
        <v>44480</v>
      </c>
      <c r="H605" s="14" t="s">
        <v>50</v>
      </c>
      <c r="I605" s="2" t="s">
        <v>2525</v>
      </c>
      <c r="J605" s="2" t="s">
        <v>2526</v>
      </c>
      <c r="K605" s="12">
        <v>0.01736111110949423</v>
      </c>
      <c r="L605" s="12">
        <v>0.03125</v>
      </c>
      <c r="M605" s="13">
        <f>CRF_3[[#This Row],[Time Spent on Configuration]]+CRF_3[[#This Row],[Time Spent on Review/Testing]]</f>
        <v>NaN</v>
      </c>
      <c r="O605" s="1" t="s">
        <v>4191</v>
      </c>
      <c r="P605" s="1" t="s">
        <v>4187</v>
      </c>
      <c r="Q605" s="1" t="s">
        <v>488</v>
      </c>
      <c r="R605" s="11">
        <v>44480</v>
      </c>
      <c r="S605" s="1">
        <v>5</v>
      </c>
      <c r="U605" s="48"/>
    </row>
    <row r="606" spans="1:21" x14ac:dyDescent="0.25">
      <c r="A606" s="1" t="s">
        <v>3708</v>
      </c>
      <c r="B606" s="1">
        <v>2021</v>
      </c>
      <c r="C606" s="2" t="s">
        <v>35</v>
      </c>
      <c r="D606" s="1" t="s">
        <v>25</v>
      </c>
      <c r="E606" s="1">
        <v>267199</v>
      </c>
      <c r="F606" s="1" t="s">
        <v>27</v>
      </c>
      <c r="G606" s="11">
        <v>44483</v>
      </c>
      <c r="H606" s="14" t="s">
        <v>28</v>
      </c>
      <c r="I606" s="2" t="s">
        <v>2528</v>
      </c>
      <c r="J606" s="2" t="s">
        <v>2529</v>
      </c>
      <c r="K606" s="12">
        <v>0</v>
      </c>
      <c r="L606" s="12">
        <v>0.03958333333503106</v>
      </c>
      <c r="M606" s="13">
        <f>CRF_3[[#This Row],[Time Spent on Configuration]]+CRF_3[[#This Row],[Time Spent on Review/Testing]]</f>
        <v>NaN</v>
      </c>
      <c r="O606" s="1" t="s">
        <v>53</v>
      </c>
      <c r="P606" s="1" t="s">
        <v>4187</v>
      </c>
      <c r="Q606" s="1" t="s">
        <v>42</v>
      </c>
      <c r="R606" s="11">
        <v>44487</v>
      </c>
      <c r="S606" s="1">
        <v>5</v>
      </c>
      <c r="U606" s="48"/>
    </row>
    <row r="607" ht="30" customHeight="1" spans="1:21" x14ac:dyDescent="0.25">
      <c r="A607" s="1" t="s">
        <v>3708</v>
      </c>
      <c r="B607" s="1">
        <v>2021</v>
      </c>
      <c r="C607" s="2" t="s">
        <v>35</v>
      </c>
      <c r="D607" s="1" t="s">
        <v>25</v>
      </c>
      <c r="E607" s="1">
        <v>267498</v>
      </c>
      <c r="F607" s="1" t="s">
        <v>37</v>
      </c>
      <c r="G607" s="11">
        <v>44489</v>
      </c>
      <c r="H607" s="14" t="s">
        <v>74</v>
      </c>
      <c r="I607" s="2" t="s">
        <v>4329</v>
      </c>
      <c r="J607" s="2" t="s">
        <v>2532</v>
      </c>
      <c r="K607" s="12">
        <v>0.01736111110949423</v>
      </c>
      <c r="L607" s="12">
        <v>0.027777777777373558</v>
      </c>
      <c r="M607" s="13">
        <f>CRF_3[[#This Row],[Time Spent on Configuration]]+CRF_3[[#This Row],[Time Spent on Review/Testing]]</f>
        <v>NaN</v>
      </c>
      <c r="O607" s="1" t="s">
        <v>31</v>
      </c>
      <c r="P607" s="1" t="s">
        <v>4187</v>
      </c>
      <c r="Q607" s="1" t="s">
        <v>42</v>
      </c>
      <c r="R607" s="11">
        <v>44489</v>
      </c>
      <c r="S607" s="1">
        <v>5</v>
      </c>
      <c r="U607" s="48"/>
    </row>
    <row r="608" ht="75" customHeight="1" spans="1:21" x14ac:dyDescent="0.25">
      <c r="A608" s="1" t="s">
        <v>4323</v>
      </c>
      <c r="B608" s="1">
        <v>2021</v>
      </c>
      <c r="C608" s="2" t="s">
        <v>163</v>
      </c>
      <c r="D608" s="1" t="s">
        <v>25</v>
      </c>
      <c r="E608" s="1">
        <v>263552</v>
      </c>
      <c r="F608" s="1" t="s">
        <v>27</v>
      </c>
      <c r="G608" s="11">
        <v>44494</v>
      </c>
      <c r="H608" s="14" t="s">
        <v>28</v>
      </c>
      <c r="I608" s="2" t="s">
        <v>4330</v>
      </c>
      <c r="J608" s="2" t="s">
        <v>4331</v>
      </c>
      <c r="K608" s="12">
        <v>0.013888888890505768</v>
      </c>
      <c r="L608" s="12">
        <v>0.003472222222626442</v>
      </c>
      <c r="M608" s="13">
        <f>CRF_3[[#This Row],[Time Spent on Configuration]]+CRF_3[[#This Row],[Time Spent on Review/Testing]]</f>
        <v>NaN</v>
      </c>
      <c r="O608" s="1" t="s">
        <v>4205</v>
      </c>
      <c r="P608" s="1" t="s">
        <v>2358</v>
      </c>
      <c r="Q608" s="1" t="s">
        <v>488</v>
      </c>
      <c r="R608" s="11">
        <v>44494</v>
      </c>
      <c r="S608" s="1">
        <v>5</v>
      </c>
      <c r="U608" s="48"/>
    </row>
    <row r="609" ht="45" customHeight="1" spans="1:21" x14ac:dyDescent="0.25">
      <c r="A609" s="1" t="s">
        <v>4176</v>
      </c>
      <c r="B609" s="1">
        <v>2021</v>
      </c>
      <c r="C609" s="2" t="s">
        <v>2514</v>
      </c>
      <c r="D609" s="1" t="s">
        <v>285</v>
      </c>
      <c r="E609" s="1">
        <v>268610</v>
      </c>
      <c r="F609" s="1" t="s">
        <v>27</v>
      </c>
      <c r="G609" s="11">
        <v>44501</v>
      </c>
      <c r="H609" s="14" t="s">
        <v>50</v>
      </c>
      <c r="I609" s="2" t="s">
        <v>4332</v>
      </c>
      <c r="J609" s="2" t="s">
        <v>2538</v>
      </c>
      <c r="K609" s="12">
        <v>0.020833333332120674</v>
      </c>
      <c r="L609" s="12">
        <v>0.01736111110949423</v>
      </c>
      <c r="M609" s="13">
        <f>CRF_3[[#This Row],[Time Spent on Configuration]]+CRF_3[[#This Row],[Time Spent on Review/Testing]]</f>
        <v>NaN</v>
      </c>
      <c r="O609" s="1" t="s">
        <v>4207</v>
      </c>
      <c r="P609" s="1" t="s">
        <v>32</v>
      </c>
      <c r="Q609" s="1" t="s">
        <v>488</v>
      </c>
      <c r="R609" s="11">
        <v>44502</v>
      </c>
      <c r="S609" s="1">
        <v>5</v>
      </c>
      <c r="U609" s="48"/>
    </row>
    <row r="610" ht="30" customHeight="1" spans="1:21" x14ac:dyDescent="0.25">
      <c r="A610" s="1" t="s">
        <v>4176</v>
      </c>
      <c r="B610" s="1">
        <v>2021</v>
      </c>
      <c r="C610" s="2" t="s">
        <v>113</v>
      </c>
      <c r="D610" s="1" t="s">
        <v>25</v>
      </c>
      <c r="E610" s="1">
        <v>267885</v>
      </c>
      <c r="F610" s="1" t="s">
        <v>27</v>
      </c>
      <c r="G610" s="11">
        <v>44505</v>
      </c>
      <c r="H610" s="14" t="s">
        <v>28</v>
      </c>
      <c r="I610" s="2" t="s">
        <v>4333</v>
      </c>
      <c r="J610" s="2" t="s">
        <v>4334</v>
      </c>
      <c r="K610" s="12">
        <v>0.027777777777373558</v>
      </c>
      <c r="L610" s="12">
        <v>0.03125</v>
      </c>
      <c r="M610" s="13">
        <f>CRF_3[[#This Row],[Time Spent on Configuration]]+CRF_3[[#This Row],[Time Spent on Review/Testing]]</f>
        <v>NaN</v>
      </c>
      <c r="O610" s="1" t="s">
        <v>4191</v>
      </c>
      <c r="P610" s="1" t="s">
        <v>4187</v>
      </c>
      <c r="Q610" s="1" t="s">
        <v>484</v>
      </c>
      <c r="R610" s="11">
        <v>44505</v>
      </c>
      <c r="S610" s="1">
        <v>5</v>
      </c>
      <c r="U610" s="48"/>
    </row>
    <row r="611" ht="105" customHeight="1" spans="1:21" x14ac:dyDescent="0.25">
      <c r="A611" s="1" t="s">
        <v>4176</v>
      </c>
      <c r="B611" s="1">
        <v>2021</v>
      </c>
      <c r="C611" s="2" t="s">
        <v>4335</v>
      </c>
      <c r="D611" s="1" t="s">
        <v>989</v>
      </c>
      <c r="E611" s="1">
        <v>266373</v>
      </c>
      <c r="F611" s="1" t="s">
        <v>27</v>
      </c>
      <c r="G611" s="11">
        <v>44505</v>
      </c>
      <c r="H611" s="14" t="s">
        <v>38</v>
      </c>
      <c r="I611" s="2" t="s">
        <v>2544</v>
      </c>
      <c r="J611" s="2" t="s">
        <v>4336</v>
      </c>
      <c r="K611" s="12">
        <v>0.020833333332120674</v>
      </c>
      <c r="L611" s="12">
        <v>0.027777777777373558</v>
      </c>
      <c r="M611" s="13">
        <f>CRF_3[[#This Row],[Time Spent on Configuration]]+CRF_3[[#This Row],[Time Spent on Review/Testing]]</f>
        <v>NaN</v>
      </c>
      <c r="O611" s="1" t="s">
        <v>4207</v>
      </c>
      <c r="P611" s="1" t="s">
        <v>4187</v>
      </c>
      <c r="Q611" s="1" t="s">
        <v>484</v>
      </c>
      <c r="R611" s="11">
        <v>44505</v>
      </c>
      <c r="S611" s="1">
        <v>5</v>
      </c>
      <c r="U611" s="48"/>
    </row>
    <row r="612" ht="45" customHeight="1" spans="1:21" x14ac:dyDescent="0.25">
      <c r="A612" s="1" t="s">
        <v>4176</v>
      </c>
      <c r="B612" s="1">
        <v>2021</v>
      </c>
      <c r="C612" s="2" t="s">
        <v>529</v>
      </c>
      <c r="D612" s="1" t="s">
        <v>1924</v>
      </c>
      <c r="E612" s="1">
        <v>270416</v>
      </c>
      <c r="F612" s="1" t="s">
        <v>27</v>
      </c>
      <c r="G612" s="11">
        <v>44516</v>
      </c>
      <c r="H612" s="14" t="s">
        <v>28</v>
      </c>
      <c r="I612" s="2" t="s">
        <v>4337</v>
      </c>
      <c r="J612" s="2" t="s">
        <v>2548</v>
      </c>
      <c r="K612" s="12">
        <v>0.03125</v>
      </c>
      <c r="L612" s="12">
        <v>0.02569444444452529</v>
      </c>
      <c r="M612" s="13">
        <f>CRF_3[[#This Row],[Time Spent on Configuration]]+CRF_3[[#This Row],[Time Spent on Review/Testing]]</f>
        <v>NaN</v>
      </c>
      <c r="O612" s="1" t="s">
        <v>4191</v>
      </c>
      <c r="P612" s="1" t="s">
        <v>4187</v>
      </c>
      <c r="Q612" s="1" t="s">
        <v>484</v>
      </c>
      <c r="R612" s="11">
        <v>44516</v>
      </c>
      <c r="S612" s="1">
        <v>5</v>
      </c>
      <c r="U612" s="48"/>
    </row>
    <row r="613" ht="45" customHeight="1" spans="1:21" x14ac:dyDescent="0.25">
      <c r="A613" s="1" t="s">
        <v>4176</v>
      </c>
      <c r="B613" s="1">
        <v>2021</v>
      </c>
      <c r="C613" s="2" t="s">
        <v>113</v>
      </c>
      <c r="D613" s="1" t="s">
        <v>25</v>
      </c>
      <c r="E613" s="1">
        <v>271492</v>
      </c>
      <c r="F613" s="1" t="s">
        <v>4195</v>
      </c>
      <c r="G613" s="11">
        <v>44519</v>
      </c>
      <c r="H613" s="14" t="s">
        <v>953</v>
      </c>
      <c r="I613" s="2" t="s">
        <v>4338</v>
      </c>
      <c r="J613" s="2" t="s">
        <v>4339</v>
      </c>
      <c r="K613" s="12">
        <v>0.024305555554747116</v>
      </c>
      <c r="L613" s="12"/>
      <c r="M613" s="13">
        <f>CRF_3[[#This Row],[Time Spent on Configuration]]+CRF_3[[#This Row],[Time Spent on Review/Testing]]</f>
        <v>NaN</v>
      </c>
      <c r="O613" s="1" t="s">
        <v>4207</v>
      </c>
      <c r="Q613" s="1" t="s">
        <v>484</v>
      </c>
      <c r="R613" s="11">
        <v>44519</v>
      </c>
      <c r="S613" s="1">
        <v>5</v>
      </c>
      <c r="U613" s="48"/>
    </row>
    <row r="614" ht="60" customHeight="1" spans="1:21" x14ac:dyDescent="0.25">
      <c r="A614" s="1" t="s">
        <v>4176</v>
      </c>
      <c r="B614" s="1">
        <v>2021</v>
      </c>
      <c r="C614" s="2" t="s">
        <v>2315</v>
      </c>
      <c r="D614" s="1" t="s">
        <v>25</v>
      </c>
      <c r="E614" s="1">
        <v>271504</v>
      </c>
      <c r="F614" s="1" t="s">
        <v>37</v>
      </c>
      <c r="G614" s="11">
        <v>44523</v>
      </c>
      <c r="H614" s="14" t="s">
        <v>74</v>
      </c>
      <c r="I614" s="2" t="s">
        <v>4340</v>
      </c>
      <c r="J614" s="2" t="s">
        <v>4341</v>
      </c>
      <c r="K614" s="12">
        <v>0.020833333332120674</v>
      </c>
      <c r="L614" s="12">
        <v>0.01736111110949423</v>
      </c>
      <c r="M614" s="13">
        <f>CRF_3[[#This Row],[Time Spent on Configuration]]+CRF_3[[#This Row],[Time Spent on Review/Testing]]</f>
        <v>NaN</v>
      </c>
      <c r="O614" s="1" t="s">
        <v>4207</v>
      </c>
      <c r="P614" s="1" t="s">
        <v>4187</v>
      </c>
      <c r="Q614" s="1" t="s">
        <v>484</v>
      </c>
      <c r="R614" s="11">
        <v>44523</v>
      </c>
      <c r="S614" s="1">
        <v>5</v>
      </c>
      <c r="U614" s="48"/>
    </row>
    <row r="615" ht="30" customHeight="1" spans="1:21" x14ac:dyDescent="0.25">
      <c r="A615" s="1" t="s">
        <v>4176</v>
      </c>
      <c r="B615" s="1">
        <v>2021</v>
      </c>
      <c r="C615" s="2" t="s">
        <v>185</v>
      </c>
      <c r="D615" s="1" t="s">
        <v>186</v>
      </c>
      <c r="E615" s="1">
        <v>261994</v>
      </c>
      <c r="F615" s="1" t="s">
        <v>37</v>
      </c>
      <c r="G615" s="11">
        <v>44523</v>
      </c>
      <c r="H615" s="14" t="s">
        <v>38</v>
      </c>
      <c r="I615" s="2" t="s">
        <v>4342</v>
      </c>
      <c r="J615" s="2" t="s">
        <v>2557</v>
      </c>
      <c r="K615" s="12">
        <v>0.06736111111240461</v>
      </c>
      <c r="L615" s="12">
        <v>0.03472222222262644</v>
      </c>
      <c r="M615" s="13">
        <f>CRF_3[[#This Row],[Time Spent on Configuration]]+CRF_3[[#This Row],[Time Spent on Review/Testing]]</f>
        <v>NaN</v>
      </c>
      <c r="O615" s="1" t="s">
        <v>31</v>
      </c>
      <c r="P615" s="1" t="s">
        <v>32</v>
      </c>
      <c r="Q615" s="1" t="s">
        <v>488</v>
      </c>
      <c r="R615" s="11">
        <v>44523</v>
      </c>
      <c r="S615" s="1">
        <v>5</v>
      </c>
      <c r="U615" s="48"/>
    </row>
    <row r="616" ht="60" customHeight="1" spans="1:21" x14ac:dyDescent="0.25">
      <c r="A616" s="1" t="s">
        <v>4176</v>
      </c>
      <c r="B616" s="1">
        <v>2021</v>
      </c>
      <c r="C616" s="2" t="s">
        <v>43</v>
      </c>
      <c r="D616" s="1" t="s">
        <v>44</v>
      </c>
      <c r="E616" s="1">
        <v>268962</v>
      </c>
      <c r="F616" s="1" t="s">
        <v>27</v>
      </c>
      <c r="G616" s="11">
        <v>44525</v>
      </c>
      <c r="H616" s="14" t="s">
        <v>74</v>
      </c>
      <c r="I616" s="2" t="s">
        <v>2559</v>
      </c>
      <c r="J616" s="2" t="s">
        <v>4343</v>
      </c>
      <c r="K616" s="12">
        <v>0.03125</v>
      </c>
      <c r="L616" s="12">
        <v>0.03333333333284827</v>
      </c>
      <c r="M616" s="13">
        <f>CRF_3[[#This Row],[Time Spent on Configuration]]+CRF_3[[#This Row],[Time Spent on Review/Testing]]</f>
        <v>NaN</v>
      </c>
      <c r="O616" s="1" t="s">
        <v>31</v>
      </c>
      <c r="P616" s="1" t="s">
        <v>4187</v>
      </c>
      <c r="Q616" s="1" t="s">
        <v>484</v>
      </c>
      <c r="R616" s="11">
        <v>44525</v>
      </c>
      <c r="S616" s="1">
        <v>5</v>
      </c>
      <c r="U616" s="48"/>
    </row>
    <row r="617" spans="1:21" x14ac:dyDescent="0.25">
      <c r="A617" s="1" t="s">
        <v>4176</v>
      </c>
      <c r="B617" s="1">
        <v>2021</v>
      </c>
      <c r="C617" s="2" t="s">
        <v>259</v>
      </c>
      <c r="D617" s="1" t="s">
        <v>25</v>
      </c>
      <c r="E617" s="1">
        <v>272592</v>
      </c>
      <c r="F617" s="1" t="s">
        <v>27</v>
      </c>
      <c r="G617" s="11">
        <v>44526</v>
      </c>
      <c r="H617" s="14" t="s">
        <v>1073</v>
      </c>
      <c r="I617" s="2" t="s">
        <v>4344</v>
      </c>
      <c r="J617" s="2" t="s">
        <v>2563</v>
      </c>
      <c r="K617" s="12">
        <v>0.020833333332120674</v>
      </c>
      <c r="L617" s="12">
        <v>0.01736111110949423</v>
      </c>
      <c r="M617" s="13">
        <f>CRF_3[[#This Row],[Time Spent on Configuration]]+CRF_3[[#This Row],[Time Spent on Review/Testing]]</f>
        <v>NaN</v>
      </c>
      <c r="O617" s="1" t="s">
        <v>53</v>
      </c>
      <c r="P617" s="1" t="s">
        <v>32</v>
      </c>
      <c r="Q617" s="1" t="s">
        <v>42</v>
      </c>
      <c r="R617" s="11">
        <v>44526</v>
      </c>
      <c r="S617" s="1">
        <v>5</v>
      </c>
      <c r="U617" s="48"/>
    </row>
    <row r="618" ht="105" customHeight="1" spans="1:21" x14ac:dyDescent="0.25">
      <c r="A618" s="1" t="s">
        <v>4176</v>
      </c>
      <c r="B618" s="1">
        <v>2021</v>
      </c>
      <c r="C618" s="2" t="s">
        <v>113</v>
      </c>
      <c r="D618" s="1" t="s">
        <v>25</v>
      </c>
      <c r="E618" s="1">
        <v>272053</v>
      </c>
      <c r="F618" s="1" t="s">
        <v>27</v>
      </c>
      <c r="G618" s="11">
        <v>44530</v>
      </c>
      <c r="H618" s="14" t="s">
        <v>28</v>
      </c>
      <c r="I618" s="2" t="s">
        <v>4345</v>
      </c>
      <c r="J618" s="2" t="s">
        <v>2566</v>
      </c>
      <c r="K618" s="12">
        <v>0.010416666667879326</v>
      </c>
      <c r="L618" s="12">
        <v>0.011111111110949423</v>
      </c>
      <c r="M618" s="13">
        <f>CRF_3[[#This Row],[Time Spent on Configuration]]+CRF_3[[#This Row],[Time Spent on Review/Testing]]</f>
        <v>NaN</v>
      </c>
      <c r="O618" s="1" t="s">
        <v>4191</v>
      </c>
      <c r="P618" s="1" t="s">
        <v>4187</v>
      </c>
      <c r="Q618" s="1" t="s">
        <v>484</v>
      </c>
      <c r="R618" s="11">
        <v>44530</v>
      </c>
      <c r="U618" s="48"/>
    </row>
    <row r="619" ht="75" customHeight="1" spans="1:21" x14ac:dyDescent="0.25">
      <c r="A619" s="1" t="s">
        <v>3733</v>
      </c>
      <c r="B619" s="1">
        <v>2021</v>
      </c>
      <c r="C619" s="2" t="s">
        <v>489</v>
      </c>
      <c r="D619" s="1" t="s">
        <v>490</v>
      </c>
      <c r="E619" s="1">
        <v>272050</v>
      </c>
      <c r="F619" s="1" t="s">
        <v>27</v>
      </c>
      <c r="G619" s="11">
        <v>44532</v>
      </c>
      <c r="H619" s="14" t="s">
        <v>28</v>
      </c>
      <c r="I619" s="2" t="s">
        <v>4346</v>
      </c>
      <c r="J619" s="2" t="s">
        <v>4346</v>
      </c>
      <c r="K619" s="12">
        <v>0.03125</v>
      </c>
      <c r="L619" s="12">
        <v>0.04861111110949423</v>
      </c>
      <c r="M619" s="13">
        <f>CRF_3[[#This Row],[Time Spent on Configuration]]+CRF_3[[#This Row],[Time Spent on Review/Testing]]</f>
        <v>NaN</v>
      </c>
      <c r="O619" s="1" t="s">
        <v>31</v>
      </c>
      <c r="P619" s="1" t="s">
        <v>32</v>
      </c>
      <c r="Q619" s="1" t="s">
        <v>42</v>
      </c>
      <c r="R619" s="11">
        <v>44532</v>
      </c>
      <c r="S619" s="1">
        <v>5</v>
      </c>
      <c r="U619" s="48"/>
    </row>
    <row r="620" ht="30" customHeight="1" spans="1:21" x14ac:dyDescent="0.25">
      <c r="A620" s="1" t="s">
        <v>3733</v>
      </c>
      <c r="B620" s="1">
        <v>2021</v>
      </c>
      <c r="C620" s="2" t="s">
        <v>1047</v>
      </c>
      <c r="D620" s="1" t="s">
        <v>989</v>
      </c>
      <c r="E620" s="1" t="s">
        <v>2570</v>
      </c>
      <c r="F620" s="1" t="s">
        <v>37</v>
      </c>
      <c r="G620" s="11">
        <v>44538</v>
      </c>
      <c r="H620" s="14" t="s">
        <v>38</v>
      </c>
      <c r="I620" s="2" t="s">
        <v>2571</v>
      </c>
      <c r="J620" s="39" t="s">
        <v>2572</v>
      </c>
      <c r="K620" s="12">
        <v>0.07291666666787933</v>
      </c>
      <c r="L620" s="12">
        <v>0.04513888889050577</v>
      </c>
      <c r="M620" s="13">
        <f>CRF_3[[#This Row],[Time Spent on Configuration]]+CRF_3[[#This Row],[Time Spent on Review/Testing]]</f>
        <v>NaN</v>
      </c>
      <c r="O620" s="1" t="s">
        <v>31</v>
      </c>
      <c r="P620" s="1" t="s">
        <v>4187</v>
      </c>
      <c r="Q620" s="1" t="s">
        <v>484</v>
      </c>
      <c r="R620" s="11">
        <v>44538</v>
      </c>
      <c r="S620" s="1">
        <v>5</v>
      </c>
      <c r="U620" s="48"/>
    </row>
    <row r="621" ht="45" customHeight="1" spans="1:21" x14ac:dyDescent="0.25">
      <c r="A621" s="1" t="s">
        <v>4185</v>
      </c>
      <c r="B621" s="1">
        <v>2021</v>
      </c>
      <c r="C621" s="2" t="s">
        <v>1235</v>
      </c>
      <c r="D621" s="1" t="s">
        <v>1236</v>
      </c>
      <c r="E621" s="1">
        <v>275107</v>
      </c>
      <c r="F621" s="1" t="s">
        <v>27</v>
      </c>
      <c r="G621" s="11">
        <v>44539</v>
      </c>
      <c r="H621" s="14" t="s">
        <v>28</v>
      </c>
      <c r="I621" s="2" t="s">
        <v>4347</v>
      </c>
      <c r="J621" s="2" t="s">
        <v>4348</v>
      </c>
      <c r="K621" s="12">
        <v>0.020833333332120674</v>
      </c>
      <c r="L621" s="12"/>
      <c r="M621" s="13">
        <f>CRF_3[[#This Row],[Time Spent on Configuration]]+CRF_3[[#This Row],[Time Spent on Review/Testing]]</f>
        <v>NaN</v>
      </c>
      <c r="O621" s="1" t="s">
        <v>53</v>
      </c>
      <c r="Q621" s="1" t="s">
        <v>42</v>
      </c>
      <c r="R621" s="11">
        <v>44539</v>
      </c>
      <c r="S621" s="1">
        <v>5</v>
      </c>
      <c r="U621" s="48"/>
    </row>
    <row r="622" ht="60" customHeight="1" spans="1:21" x14ac:dyDescent="0.25">
      <c r="A622" s="1" t="s">
        <v>3733</v>
      </c>
      <c r="B622" s="1">
        <v>2021</v>
      </c>
      <c r="C622" s="2" t="s">
        <v>286</v>
      </c>
      <c r="D622" s="1" t="s">
        <v>287</v>
      </c>
      <c r="E622" s="1">
        <v>274972</v>
      </c>
      <c r="F622" s="1" t="s">
        <v>27</v>
      </c>
      <c r="G622" s="11">
        <v>44539</v>
      </c>
      <c r="H622" s="14" t="s">
        <v>50</v>
      </c>
      <c r="I622" s="2" t="s">
        <v>4349</v>
      </c>
      <c r="J622" s="2" t="s">
        <v>4350</v>
      </c>
      <c r="K622" s="12">
        <v>0.020833333332120674</v>
      </c>
      <c r="L622" s="12">
        <v>0.01180555555401952</v>
      </c>
      <c r="M622" s="13">
        <f>CRF_3[[#This Row],[Time Spent on Configuration]]+CRF_3[[#This Row],[Time Spent on Review/Testing]]</f>
        <v>NaN</v>
      </c>
      <c r="O622" s="1" t="s">
        <v>53</v>
      </c>
      <c r="P622" s="1" t="s">
        <v>483</v>
      </c>
      <c r="Q622" s="1" t="s">
        <v>484</v>
      </c>
      <c r="R622" s="11">
        <v>44539</v>
      </c>
      <c r="S622" s="1">
        <v>5</v>
      </c>
      <c r="U622" s="48"/>
    </row>
    <row r="623" ht="75" customHeight="1" spans="1:21" x14ac:dyDescent="0.25">
      <c r="A623" s="1" t="s">
        <v>3733</v>
      </c>
      <c r="B623" s="1">
        <v>2021</v>
      </c>
      <c r="C623" s="2" t="s">
        <v>525</v>
      </c>
      <c r="D623" s="1" t="s">
        <v>25</v>
      </c>
      <c r="E623" s="1">
        <v>274924</v>
      </c>
      <c r="F623" s="1" t="s">
        <v>27</v>
      </c>
      <c r="G623" s="11">
        <v>44540</v>
      </c>
      <c r="H623" s="14" t="s">
        <v>74</v>
      </c>
      <c r="I623" s="2" t="s">
        <v>4351</v>
      </c>
      <c r="J623" s="2" t="s">
        <v>4352</v>
      </c>
      <c r="K623" s="12">
        <v>0.020833333332120674</v>
      </c>
      <c r="L623" s="12">
        <v>0.027777777777373558</v>
      </c>
      <c r="M623" s="13">
        <f>CRF_3[[#This Row],[Time Spent on Configuration]]+CRF_3[[#This Row],[Time Spent on Review/Testing]]</f>
        <v>NaN</v>
      </c>
      <c r="O623" s="1" t="s">
        <v>53</v>
      </c>
      <c r="P623" s="1" t="s">
        <v>483</v>
      </c>
      <c r="Q623" s="1" t="s">
        <v>484</v>
      </c>
      <c r="R623" s="11">
        <v>44540</v>
      </c>
      <c r="S623" s="1">
        <v>5</v>
      </c>
      <c r="U623" s="48"/>
    </row>
    <row r="624" ht="45" customHeight="1" spans="1:21" x14ac:dyDescent="0.25">
      <c r="A624" s="1" t="s">
        <v>4185</v>
      </c>
      <c r="B624" s="1">
        <v>2021</v>
      </c>
      <c r="C624" s="2" t="s">
        <v>2582</v>
      </c>
      <c r="D624" s="1" t="s">
        <v>25</v>
      </c>
      <c r="E624" s="1">
        <v>274792</v>
      </c>
      <c r="F624" s="1" t="s">
        <v>27</v>
      </c>
      <c r="G624" s="11">
        <v>44544</v>
      </c>
      <c r="H624" s="14" t="s">
        <v>255</v>
      </c>
      <c r="I624" s="2" t="s">
        <v>2584</v>
      </c>
      <c r="J624" s="2" t="s">
        <v>4353</v>
      </c>
      <c r="K624" s="12">
        <v>0.006944444445252884</v>
      </c>
      <c r="L624" s="12">
        <v>0.01944444444598048</v>
      </c>
      <c r="M624" s="13">
        <f>CRF_3[[#This Row],[Time Spent on Configuration]]+CRF_3[[#This Row],[Time Spent on Review/Testing]]</f>
        <v>NaN</v>
      </c>
      <c r="O624" s="1" t="s">
        <v>32</v>
      </c>
      <c r="P624" s="1" t="s">
        <v>483</v>
      </c>
      <c r="Q624" s="1" t="s">
        <v>488</v>
      </c>
      <c r="R624" s="11">
        <v>44544</v>
      </c>
      <c r="S624" s="1">
        <v>5</v>
      </c>
      <c r="U624" s="48"/>
    </row>
    <row r="625" ht="60" customHeight="1" spans="1:21" x14ac:dyDescent="0.25">
      <c r="A625" s="1" t="s">
        <v>4185</v>
      </c>
      <c r="B625" s="1">
        <v>2021</v>
      </c>
      <c r="C625" s="2" t="s">
        <v>35</v>
      </c>
      <c r="D625" s="1" t="s">
        <v>25</v>
      </c>
      <c r="E625" s="1">
        <v>275751</v>
      </c>
      <c r="F625" s="1" t="s">
        <v>27</v>
      </c>
      <c r="G625" s="11">
        <v>44545</v>
      </c>
      <c r="H625" s="11" t="s">
        <v>74</v>
      </c>
      <c r="I625" s="2" t="s">
        <v>2587</v>
      </c>
      <c r="J625" s="2" t="s">
        <v>4354</v>
      </c>
      <c r="K625" s="12">
        <v>0.06597222222262644</v>
      </c>
      <c r="L625" s="12">
        <v>0.06388888888977817</v>
      </c>
      <c r="M625" s="13">
        <f>CRF_3[[#This Row],[Time Spent on Configuration]]+CRF_3[[#This Row],[Time Spent on Review/Testing]]</f>
        <v>NaN</v>
      </c>
      <c r="O625" s="1" t="s">
        <v>53</v>
      </c>
      <c r="P625" s="1" t="s">
        <v>483</v>
      </c>
      <c r="Q625" s="1" t="s">
        <v>42</v>
      </c>
      <c r="R625" s="11">
        <v>44545</v>
      </c>
      <c r="S625" s="1">
        <v>5</v>
      </c>
      <c r="U625" s="48"/>
    </row>
    <row r="626" spans="1:21" x14ac:dyDescent="0.25">
      <c r="A626" s="1" t="s">
        <v>4185</v>
      </c>
      <c r="B626" s="1">
        <v>2021</v>
      </c>
      <c r="C626" s="2" t="s">
        <v>616</v>
      </c>
      <c r="D626" s="1" t="s">
        <v>617</v>
      </c>
      <c r="E626" s="1">
        <v>276594</v>
      </c>
      <c r="F626" s="1" t="s">
        <v>37</v>
      </c>
      <c r="G626" s="11">
        <v>44547</v>
      </c>
      <c r="H626" s="14" t="s">
        <v>28</v>
      </c>
      <c r="I626" s="2" t="s">
        <v>2590</v>
      </c>
      <c r="J626" s="2" t="s">
        <v>2591</v>
      </c>
      <c r="K626" s="12">
        <v>0.010416666667879326</v>
      </c>
      <c r="L626" s="12">
        <v>0.01944444444598048</v>
      </c>
      <c r="M626" s="13">
        <f>CRF_3[[#This Row],[Time Spent on Configuration]]+CRF_3[[#This Row],[Time Spent on Review/Testing]]</f>
        <v>NaN</v>
      </c>
      <c r="O626" s="1" t="s">
        <v>31</v>
      </c>
      <c r="P626" s="1" t="s">
        <v>483</v>
      </c>
      <c r="Q626" s="1" t="s">
        <v>484</v>
      </c>
      <c r="R626" s="11">
        <v>44547</v>
      </c>
      <c r="S626" s="1">
        <v>5</v>
      </c>
      <c r="U626" s="48"/>
    </row>
    <row r="627" ht="75" customHeight="1" spans="1:21" x14ac:dyDescent="0.25">
      <c r="A627" s="1" t="s">
        <v>4185</v>
      </c>
      <c r="B627" s="1">
        <v>2021</v>
      </c>
      <c r="C627" s="2" t="s">
        <v>258</v>
      </c>
      <c r="D627" s="1" t="s">
        <v>25</v>
      </c>
      <c r="E627" s="1">
        <v>267304</v>
      </c>
      <c r="F627" s="1" t="s">
        <v>37</v>
      </c>
      <c r="G627" s="11">
        <v>44547</v>
      </c>
      <c r="H627" s="14" t="s">
        <v>28</v>
      </c>
      <c r="I627" s="2" t="s">
        <v>4355</v>
      </c>
      <c r="J627" s="2" t="s">
        <v>4355</v>
      </c>
      <c r="K627" s="12">
        <v>0.038194444445252884</v>
      </c>
      <c r="L627" s="12">
        <v>0.02916666666715173</v>
      </c>
      <c r="M627" s="13">
        <f>CRF_3[[#This Row],[Time Spent on Configuration]]+CRF_3[[#This Row],[Time Spent on Review/Testing]]</f>
        <v>NaN</v>
      </c>
      <c r="O627" s="1" t="s">
        <v>31</v>
      </c>
      <c r="P627" s="1" t="s">
        <v>483</v>
      </c>
      <c r="Q627" s="1" t="s">
        <v>488</v>
      </c>
      <c r="R627" s="11">
        <v>44547</v>
      </c>
      <c r="S627" s="1">
        <v>5</v>
      </c>
      <c r="U627" s="48"/>
    </row>
    <row r="628" ht="105" customHeight="1" spans="1:21" x14ac:dyDescent="0.25">
      <c r="A628" s="1" t="s">
        <v>4185</v>
      </c>
      <c r="B628" s="1">
        <v>2021</v>
      </c>
      <c r="C628" s="2" t="s">
        <v>260</v>
      </c>
      <c r="D628" s="1" t="s">
        <v>261</v>
      </c>
      <c r="E628" s="1">
        <v>276628</v>
      </c>
      <c r="F628" s="1" t="s">
        <v>27</v>
      </c>
      <c r="G628" s="11">
        <v>44552</v>
      </c>
      <c r="H628" s="14" t="s">
        <v>38</v>
      </c>
      <c r="I628" s="2" t="s">
        <v>4356</v>
      </c>
      <c r="J628" s="2" t="s">
        <v>4357</v>
      </c>
      <c r="K628" s="12">
        <v>0.020833333332120674</v>
      </c>
      <c r="L628" s="12">
        <v>0.020833333332120674</v>
      </c>
      <c r="M628" s="13">
        <f>CRF_3[[#This Row],[Time Spent on Configuration]]+CRF_3[[#This Row],[Time Spent on Review/Testing]]</f>
        <v>NaN</v>
      </c>
      <c r="O628" s="1" t="s">
        <v>31</v>
      </c>
      <c r="P628" s="1" t="s">
        <v>32</v>
      </c>
      <c r="Q628" s="1" t="s">
        <v>42</v>
      </c>
      <c r="R628" s="11">
        <v>44552</v>
      </c>
      <c r="S628" s="1">
        <v>5</v>
      </c>
      <c r="U628" s="48"/>
    </row>
    <row r="629" ht="45" customHeight="1" spans="1:21" x14ac:dyDescent="0.25">
      <c r="A629" s="1" t="s">
        <v>3733</v>
      </c>
      <c r="B629" s="1">
        <v>2021</v>
      </c>
      <c r="C629" s="2" t="s">
        <v>489</v>
      </c>
      <c r="D629" s="1" t="s">
        <v>490</v>
      </c>
      <c r="E629" s="1">
        <v>268448</v>
      </c>
      <c r="F629" s="1" t="s">
        <v>27</v>
      </c>
      <c r="G629" s="11">
        <v>44553</v>
      </c>
      <c r="H629" s="14" t="s">
        <v>255</v>
      </c>
      <c r="I629" s="2" t="s">
        <v>4358</v>
      </c>
      <c r="J629" s="2" t="s">
        <v>2599</v>
      </c>
      <c r="K629" s="12">
        <v>0.020833333332120674</v>
      </c>
      <c r="L629" s="12">
        <v>0.041666666667879326</v>
      </c>
      <c r="M629" s="13">
        <f>CRF_3[[#This Row],[Time Spent on Configuration]]+CRF_3[[#This Row],[Time Spent on Review/Testing]]</f>
        <v>NaN</v>
      </c>
      <c r="O629" s="1" t="s">
        <v>4207</v>
      </c>
      <c r="P629" s="1" t="s">
        <v>483</v>
      </c>
      <c r="Q629" s="1" t="s">
        <v>42</v>
      </c>
      <c r="R629" s="11">
        <v>44553</v>
      </c>
      <c r="S629" s="1">
        <v>5</v>
      </c>
      <c r="U629" s="48"/>
    </row>
    <row r="630" ht="45" customHeight="1" spans="1:21" x14ac:dyDescent="0.25">
      <c r="A630" s="1" t="s">
        <v>3733</v>
      </c>
      <c r="B630" s="1">
        <v>2021</v>
      </c>
      <c r="C630" s="2" t="s">
        <v>99</v>
      </c>
      <c r="D630" s="1" t="s">
        <v>25</v>
      </c>
      <c r="E630" s="1">
        <v>277486</v>
      </c>
      <c r="F630" s="1" t="s">
        <v>27</v>
      </c>
      <c r="G630" s="11">
        <v>44554</v>
      </c>
      <c r="H630" s="14" t="s">
        <v>28</v>
      </c>
      <c r="I630" s="2" t="s">
        <v>4359</v>
      </c>
      <c r="J630" s="2" t="s">
        <v>2602</v>
      </c>
      <c r="K630" s="12">
        <v>0.024305555554747116</v>
      </c>
      <c r="L630" s="12">
        <v>0.04513888889050577</v>
      </c>
      <c r="M630" s="13">
        <f>CRF_3[[#This Row],[Time Spent on Configuration]]+CRF_3[[#This Row],[Time Spent on Review/Testing]]</f>
        <v>NaN</v>
      </c>
      <c r="O630" s="1" t="s">
        <v>32</v>
      </c>
      <c r="P630" s="1" t="s">
        <v>483</v>
      </c>
      <c r="Q630" s="1" t="s">
        <v>484</v>
      </c>
      <c r="R630" s="11">
        <v>44554</v>
      </c>
      <c r="S630" s="1">
        <v>5</v>
      </c>
      <c r="U630" s="48"/>
    </row>
    <row r="631" ht="45" customHeight="1" spans="1:21" x14ac:dyDescent="0.25">
      <c r="A631" s="1" t="s">
        <v>3733</v>
      </c>
      <c r="B631" s="1">
        <v>2021</v>
      </c>
      <c r="C631" s="2" t="s">
        <v>616</v>
      </c>
      <c r="D631" s="1" t="s">
        <v>617</v>
      </c>
      <c r="E631" s="1">
        <v>277367</v>
      </c>
      <c r="F631" s="1" t="s">
        <v>27</v>
      </c>
      <c r="G631" s="11">
        <v>44561</v>
      </c>
      <c r="H631" s="14" t="s">
        <v>38</v>
      </c>
      <c r="I631" s="2" t="s">
        <v>2604</v>
      </c>
      <c r="J631" s="2" t="s">
        <v>4360</v>
      </c>
      <c r="K631" s="12">
        <v>0.020833333332120674</v>
      </c>
      <c r="L631" s="12">
        <v>0.022222222221898846</v>
      </c>
      <c r="M631" s="13">
        <f>CRF_3[[#This Row],[Time Spent on Configuration]]+CRF_3[[#This Row],[Time Spent on Review/Testing]]</f>
        <v>NaN</v>
      </c>
      <c r="O631" s="1" t="s">
        <v>53</v>
      </c>
      <c r="P631" s="1" t="s">
        <v>483</v>
      </c>
      <c r="Q631" s="1" t="s">
        <v>484</v>
      </c>
      <c r="R631" s="11">
        <v>44561</v>
      </c>
      <c r="S631" s="1">
        <v>5</v>
      </c>
      <c r="U631" s="48"/>
    </row>
    <row r="632" spans="1:21" x14ac:dyDescent="0.25">
      <c r="A632" s="1" t="s">
        <v>3576</v>
      </c>
      <c r="B632" s="1">
        <v>2022</v>
      </c>
      <c r="C632" s="2" t="s">
        <v>2582</v>
      </c>
      <c r="D632" s="1" t="s">
        <v>25</v>
      </c>
      <c r="E632" s="1">
        <v>266557</v>
      </c>
      <c r="F632" s="1" t="s">
        <v>27</v>
      </c>
      <c r="G632" s="11">
        <v>44566</v>
      </c>
      <c r="H632" s="14" t="s">
        <v>38</v>
      </c>
      <c r="I632" s="2" t="s">
        <v>2608</v>
      </c>
      <c r="J632" s="2" t="s">
        <v>2609</v>
      </c>
      <c r="K632" s="12">
        <v>0.020833333332120674</v>
      </c>
      <c r="L632" s="12">
        <v>0.013888888890505768</v>
      </c>
      <c r="M632" s="13">
        <f>CRF_3[[#This Row],[Time Spent on Configuration]]+CRF_3[[#This Row],[Time Spent on Review/Testing]]</f>
        <v>NaN</v>
      </c>
      <c r="O632" s="1" t="s">
        <v>53</v>
      </c>
      <c r="P632" s="1" t="s">
        <v>32</v>
      </c>
      <c r="Q632" s="1" t="s">
        <v>488</v>
      </c>
      <c r="R632" s="11">
        <v>44566</v>
      </c>
      <c r="S632" s="1">
        <v>5</v>
      </c>
      <c r="U632" s="48"/>
    </row>
    <row r="633" ht="45" customHeight="1" spans="1:21" x14ac:dyDescent="0.25">
      <c r="A633" s="1" t="s">
        <v>3576</v>
      </c>
      <c r="B633" s="1">
        <v>2022</v>
      </c>
      <c r="C633" s="2" t="s">
        <v>1442</v>
      </c>
      <c r="D633" s="1" t="s">
        <v>186</v>
      </c>
      <c r="E633" s="1">
        <v>278937</v>
      </c>
      <c r="F633" s="1" t="s">
        <v>27</v>
      </c>
      <c r="G633" s="11">
        <v>44566</v>
      </c>
      <c r="H633" s="14" t="s">
        <v>38</v>
      </c>
      <c r="I633" s="2" t="s">
        <v>2611</v>
      </c>
      <c r="J633" s="2" t="s">
        <v>4361</v>
      </c>
      <c r="K633" s="12">
        <v>0.020833333332120674</v>
      </c>
      <c r="L633" s="12"/>
      <c r="M633" s="13">
        <f>CRF_3[[#This Row],[Time Spent on Configuration]]+CRF_3[[#This Row],[Time Spent on Review/Testing]]</f>
        <v>NaN</v>
      </c>
      <c r="O633" s="1" t="s">
        <v>53</v>
      </c>
      <c r="P633" s="1" t="s">
        <v>503</v>
      </c>
      <c r="Q633" s="1" t="s">
        <v>488</v>
      </c>
      <c r="R633" s="11">
        <v>44566</v>
      </c>
      <c r="S633" s="1">
        <v>5</v>
      </c>
      <c r="U633" s="48"/>
    </row>
    <row r="634" spans="1:21" x14ac:dyDescent="0.25">
      <c r="A634" s="1" t="s">
        <v>3576</v>
      </c>
      <c r="B634" s="1">
        <v>2022</v>
      </c>
      <c r="C634" s="2" t="s">
        <v>163</v>
      </c>
      <c r="D634" s="1" t="s">
        <v>25</v>
      </c>
      <c r="E634" s="1">
        <v>278928</v>
      </c>
      <c r="F634" s="1" t="s">
        <v>27</v>
      </c>
      <c r="G634" s="11">
        <v>44567</v>
      </c>
      <c r="H634" s="14" t="s">
        <v>74</v>
      </c>
      <c r="I634" s="2" t="s">
        <v>2614</v>
      </c>
      <c r="J634" s="2" t="s">
        <v>2615</v>
      </c>
      <c r="K634" s="12">
        <v>0.013888888890505768</v>
      </c>
      <c r="L634" s="12">
        <v>0.01736111110949423</v>
      </c>
      <c r="M634" s="13">
        <f>CRF_3[[#This Row],[Time Spent on Configuration]]+CRF_3[[#This Row],[Time Spent on Review/Testing]]</f>
        <v>NaN</v>
      </c>
      <c r="O634" s="1" t="s">
        <v>574</v>
      </c>
      <c r="P634" s="1" t="s">
        <v>483</v>
      </c>
      <c r="Q634" s="1" t="s">
        <v>488</v>
      </c>
      <c r="R634" s="11">
        <v>44567</v>
      </c>
      <c r="S634" s="1">
        <v>5</v>
      </c>
      <c r="U634" s="48"/>
    </row>
    <row r="635" ht="60" customHeight="1" spans="1:21" x14ac:dyDescent="0.25">
      <c r="A635" s="1" t="s">
        <v>3576</v>
      </c>
      <c r="B635" s="1">
        <v>2022</v>
      </c>
      <c r="C635" s="2" t="s">
        <v>163</v>
      </c>
      <c r="D635" s="1" t="s">
        <v>25</v>
      </c>
      <c r="E635" s="1">
        <v>277374</v>
      </c>
      <c r="F635" s="1" t="s">
        <v>27</v>
      </c>
      <c r="G635" s="11">
        <v>44568</v>
      </c>
      <c r="H635" s="14" t="s">
        <v>2088</v>
      </c>
      <c r="I635" s="2" t="s">
        <v>4362</v>
      </c>
      <c r="J635" s="2" t="s">
        <v>2618</v>
      </c>
      <c r="K635" s="12">
        <v>0.020833333332120674</v>
      </c>
      <c r="L635" s="12">
        <v>0.020833333332120674</v>
      </c>
      <c r="M635" s="13">
        <f>CRF_3[[#This Row],[Time Spent on Configuration]]+CRF_3[[#This Row],[Time Spent on Review/Testing]]</f>
        <v>NaN</v>
      </c>
      <c r="O635" s="1" t="s">
        <v>53</v>
      </c>
      <c r="P635" s="1" t="s">
        <v>483</v>
      </c>
      <c r="Q635" s="1" t="s">
        <v>488</v>
      </c>
      <c r="R635" s="11">
        <v>44568</v>
      </c>
      <c r="S635" s="1">
        <v>5</v>
      </c>
      <c r="U635" s="48"/>
    </row>
    <row r="636" ht="45" customHeight="1" spans="1:21" x14ac:dyDescent="0.25">
      <c r="A636" s="1" t="s">
        <v>3576</v>
      </c>
      <c r="B636" s="1">
        <v>2022</v>
      </c>
      <c r="C636" s="2" t="s">
        <v>2582</v>
      </c>
      <c r="D636" s="1" t="s">
        <v>25</v>
      </c>
      <c r="E636" s="1">
        <v>279209</v>
      </c>
      <c r="F636" s="1" t="s">
        <v>27</v>
      </c>
      <c r="G636" s="11">
        <v>44568</v>
      </c>
      <c r="H636" s="14" t="s">
        <v>74</v>
      </c>
      <c r="I636" s="2" t="s">
        <v>4363</v>
      </c>
      <c r="J636" s="2" t="s">
        <v>4364</v>
      </c>
      <c r="K636" s="12">
        <v>0.020833333332120674</v>
      </c>
      <c r="L636" s="12">
        <v>0.024305555554747116</v>
      </c>
      <c r="M636" s="13">
        <f>CRF_3[[#This Row],[Time Spent on Configuration]]+CRF_3[[#This Row],[Time Spent on Review/Testing]]</f>
        <v>NaN</v>
      </c>
      <c r="O636" s="1" t="s">
        <v>53</v>
      </c>
      <c r="P636" s="1" t="s">
        <v>483</v>
      </c>
      <c r="Q636" s="1" t="s">
        <v>488</v>
      </c>
      <c r="R636" s="11">
        <v>44568</v>
      </c>
      <c r="S636" s="1">
        <v>5</v>
      </c>
      <c r="U636" s="48"/>
    </row>
    <row r="637" ht="150" customHeight="1" spans="1:21" x14ac:dyDescent="0.25">
      <c r="A637" s="1" t="s">
        <v>3576</v>
      </c>
      <c r="B637" s="1">
        <v>2022</v>
      </c>
      <c r="C637" s="2" t="s">
        <v>2582</v>
      </c>
      <c r="D637" s="1" t="s">
        <v>25</v>
      </c>
      <c r="E637" s="1">
        <v>279280</v>
      </c>
      <c r="F637" s="1" t="s">
        <v>27</v>
      </c>
      <c r="G637" s="11">
        <v>44568</v>
      </c>
      <c r="H637" s="14" t="s">
        <v>38</v>
      </c>
      <c r="I637" s="2" t="s">
        <v>4365</v>
      </c>
      <c r="J637" s="2" t="s">
        <v>4366</v>
      </c>
      <c r="K637" s="12">
        <v>0.020833333332120674</v>
      </c>
      <c r="L637" s="12">
        <v>0.038194444445252884</v>
      </c>
      <c r="M637" s="13">
        <f>CRF_3[[#This Row],[Time Spent on Configuration]]+CRF_3[[#This Row],[Time Spent on Review/Testing]]</f>
        <v>NaN</v>
      </c>
      <c r="O637" s="1" t="s">
        <v>53</v>
      </c>
      <c r="P637" s="1" t="s">
        <v>483</v>
      </c>
      <c r="Q637" s="1" t="s">
        <v>488</v>
      </c>
      <c r="R637" s="11">
        <v>44568</v>
      </c>
      <c r="S637" s="1">
        <v>5</v>
      </c>
      <c r="U637" s="48"/>
    </row>
    <row r="638" ht="195" customHeight="1" spans="1:21" x14ac:dyDescent="0.25">
      <c r="A638" s="1" t="s">
        <v>3576</v>
      </c>
      <c r="B638" s="1">
        <v>2022</v>
      </c>
      <c r="C638" s="2" t="s">
        <v>2315</v>
      </c>
      <c r="D638" s="1" t="s">
        <v>25</v>
      </c>
      <c r="E638" s="1">
        <v>276193</v>
      </c>
      <c r="F638" s="1" t="s">
        <v>27</v>
      </c>
      <c r="G638" s="11">
        <v>44568</v>
      </c>
      <c r="H638" s="14" t="s">
        <v>38</v>
      </c>
      <c r="I638" s="2" t="s">
        <v>4367</v>
      </c>
      <c r="J638" s="2" t="s">
        <v>4368</v>
      </c>
      <c r="K638" s="12">
        <v>0.03125</v>
      </c>
      <c r="L638" s="12">
        <v>0.07986111110949423</v>
      </c>
      <c r="M638" s="13">
        <f>CRF_3[[#This Row],[Time Spent on Configuration]]+CRF_3[[#This Row],[Time Spent on Review/Testing]]</f>
        <v>NaN</v>
      </c>
      <c r="O638" s="1" t="s">
        <v>53</v>
      </c>
      <c r="P638" s="1" t="s">
        <v>483</v>
      </c>
      <c r="Q638" s="1" t="s">
        <v>484</v>
      </c>
      <c r="R638" s="11">
        <v>44568</v>
      </c>
      <c r="S638" s="1">
        <v>5</v>
      </c>
      <c r="U638" s="48"/>
    </row>
    <row r="639" ht="45" customHeight="1" spans="1:21" x14ac:dyDescent="0.25">
      <c r="A639" s="1" t="s">
        <v>3576</v>
      </c>
      <c r="B639" s="1">
        <v>2022</v>
      </c>
      <c r="C639" s="2" t="s">
        <v>228</v>
      </c>
      <c r="D639" s="1" t="s">
        <v>25</v>
      </c>
      <c r="E639" s="1">
        <v>279230</v>
      </c>
      <c r="F639" s="1" t="s">
        <v>27</v>
      </c>
      <c r="G639" s="11">
        <v>44568</v>
      </c>
      <c r="H639" s="14" t="s">
        <v>38</v>
      </c>
      <c r="I639" s="2" t="s">
        <v>2629</v>
      </c>
      <c r="J639" s="2" t="s">
        <v>4369</v>
      </c>
      <c r="K639" s="12">
        <v>0.027777777777373558</v>
      </c>
      <c r="L639" s="12">
        <v>0.01736111110949423</v>
      </c>
      <c r="M639" s="13">
        <f>CRF_3[[#This Row],[Time Spent on Configuration]]+CRF_3[[#This Row],[Time Spent on Review/Testing]]</f>
        <v>NaN</v>
      </c>
      <c r="O639" s="1" t="s">
        <v>4207</v>
      </c>
      <c r="P639" s="1" t="s">
        <v>32</v>
      </c>
      <c r="Q639" s="1" t="s">
        <v>488</v>
      </c>
      <c r="R639" s="11">
        <v>44568</v>
      </c>
      <c r="S639" s="1">
        <v>5</v>
      </c>
      <c r="U639" s="48"/>
    </row>
    <row r="640" ht="60" customHeight="1" spans="1:21" x14ac:dyDescent="0.25">
      <c r="A640" s="1" t="s">
        <v>3576</v>
      </c>
      <c r="B640" s="1">
        <v>2022</v>
      </c>
      <c r="C640" s="2" t="s">
        <v>1442</v>
      </c>
      <c r="D640" s="1" t="s">
        <v>186</v>
      </c>
      <c r="E640" s="1">
        <v>279265</v>
      </c>
      <c r="F640" s="1" t="s">
        <v>27</v>
      </c>
      <c r="G640" s="11">
        <v>44569</v>
      </c>
      <c r="H640" s="14" t="s">
        <v>50</v>
      </c>
      <c r="I640" s="2" t="s">
        <v>4370</v>
      </c>
      <c r="J640" s="2" t="s">
        <v>4371</v>
      </c>
      <c r="K640" s="12">
        <v>0.03125</v>
      </c>
      <c r="L640" s="12">
        <v>0.027777777777373558</v>
      </c>
      <c r="M640" s="13">
        <f>CRF_3[[#This Row],[Time Spent on Configuration]]+CRF_3[[#This Row],[Time Spent on Review/Testing]]</f>
        <v>NaN</v>
      </c>
      <c r="O640" s="1" t="s">
        <v>53</v>
      </c>
      <c r="P640" s="1" t="s">
        <v>32</v>
      </c>
      <c r="Q640" s="1" t="s">
        <v>488</v>
      </c>
      <c r="R640" s="11">
        <v>44569</v>
      </c>
      <c r="S640" s="1">
        <v>5</v>
      </c>
      <c r="U640" s="48"/>
    </row>
    <row r="641" ht="30" customHeight="1" spans="1:21" x14ac:dyDescent="0.25">
      <c r="A641" s="1" t="s">
        <v>3576</v>
      </c>
      <c r="B641" s="1">
        <v>2022</v>
      </c>
      <c r="C641" s="2" t="s">
        <v>2315</v>
      </c>
      <c r="D641" s="1" t="s">
        <v>25</v>
      </c>
      <c r="E641" s="1">
        <v>273677</v>
      </c>
      <c r="F641" s="1" t="s">
        <v>27</v>
      </c>
      <c r="G641" s="11">
        <v>44572</v>
      </c>
      <c r="H641" s="14" t="s">
        <v>38</v>
      </c>
      <c r="I641" s="2" t="s">
        <v>2635</v>
      </c>
      <c r="J641" s="2" t="s">
        <v>2636</v>
      </c>
      <c r="K641" s="12">
        <v>0.03125</v>
      </c>
      <c r="L641" s="12">
        <v>0.01736111110949423</v>
      </c>
      <c r="M641" s="13">
        <f>CRF_3[[#This Row],[Time Spent on Configuration]]+CRF_3[[#This Row],[Time Spent on Review/Testing]]</f>
        <v>NaN</v>
      </c>
      <c r="O641" s="1" t="s">
        <v>53</v>
      </c>
      <c r="P641" s="1" t="s">
        <v>32</v>
      </c>
      <c r="Q641" s="1" t="s">
        <v>484</v>
      </c>
      <c r="R641" s="11">
        <v>44572</v>
      </c>
      <c r="S641" s="1">
        <v>5</v>
      </c>
      <c r="U641" s="48"/>
    </row>
    <row r="642" ht="300" customHeight="1" spans="1:21" x14ac:dyDescent="0.25">
      <c r="A642" s="1" t="s">
        <v>3576</v>
      </c>
      <c r="B642" s="1">
        <v>2022</v>
      </c>
      <c r="C642" s="2" t="s">
        <v>258</v>
      </c>
      <c r="D642" s="1" t="s">
        <v>25</v>
      </c>
      <c r="E642" s="1">
        <v>280121</v>
      </c>
      <c r="F642" s="1" t="s">
        <v>27</v>
      </c>
      <c r="G642" s="11">
        <v>44575</v>
      </c>
      <c r="H642" s="14" t="s">
        <v>28</v>
      </c>
      <c r="I642" s="2" t="s">
        <v>4372</v>
      </c>
      <c r="J642" s="2" t="s">
        <v>2639</v>
      </c>
      <c r="K642" s="12">
        <v>0.024305555554747116</v>
      </c>
      <c r="L642" s="12">
        <v>0.03472222222262644</v>
      </c>
      <c r="M642" s="13">
        <f>CRF_3[[#This Row],[Time Spent on Configuration]]+CRF_3[[#This Row],[Time Spent on Review/Testing]]</f>
        <v>NaN</v>
      </c>
      <c r="O642" s="1" t="s">
        <v>32</v>
      </c>
      <c r="P642" s="1" t="s">
        <v>483</v>
      </c>
      <c r="Q642" s="1" t="s">
        <v>488</v>
      </c>
      <c r="R642" s="11">
        <v>44575</v>
      </c>
      <c r="S642" s="1">
        <v>5</v>
      </c>
      <c r="U642" s="48"/>
    </row>
    <row r="643" spans="1:21" x14ac:dyDescent="0.25">
      <c r="A643" s="1" t="s">
        <v>3576</v>
      </c>
      <c r="B643" s="1">
        <v>2022</v>
      </c>
      <c r="C643" s="2" t="s">
        <v>1451</v>
      </c>
      <c r="D643" s="1" t="s">
        <v>287</v>
      </c>
      <c r="E643" s="1">
        <v>280094</v>
      </c>
      <c r="F643" s="1" t="s">
        <v>27</v>
      </c>
      <c r="G643" s="11">
        <v>44578</v>
      </c>
      <c r="H643" s="14" t="s">
        <v>28</v>
      </c>
      <c r="I643" s="2" t="s">
        <v>2641</v>
      </c>
      <c r="J643" s="2" t="s">
        <v>2642</v>
      </c>
      <c r="K643" s="12">
        <v>0.01736111110949423</v>
      </c>
      <c r="L643" s="12">
        <v>0.04513888889050577</v>
      </c>
      <c r="M643" s="13">
        <f>CRF_3[[#This Row],[Time Spent on Configuration]]+CRF_3[[#This Row],[Time Spent on Review/Testing]]</f>
        <v>NaN</v>
      </c>
      <c r="O643" s="1" t="s">
        <v>32</v>
      </c>
      <c r="P643" s="1" t="s">
        <v>483</v>
      </c>
      <c r="Q643" s="1" t="s">
        <v>484</v>
      </c>
      <c r="R643" s="11">
        <v>44578</v>
      </c>
      <c r="S643" s="1">
        <v>5</v>
      </c>
      <c r="U643" s="48"/>
    </row>
    <row r="644" ht="45" customHeight="1" spans="1:21" x14ac:dyDescent="0.25">
      <c r="A644" s="1" t="s">
        <v>3576</v>
      </c>
      <c r="B644" s="1">
        <v>2022</v>
      </c>
      <c r="C644" s="2" t="s">
        <v>199</v>
      </c>
      <c r="D644" s="1" t="s">
        <v>541</v>
      </c>
      <c r="E644" s="1">
        <v>280162</v>
      </c>
      <c r="F644" s="1" t="s">
        <v>27</v>
      </c>
      <c r="G644" s="11">
        <v>44578</v>
      </c>
      <c r="H644" s="14" t="s">
        <v>38</v>
      </c>
      <c r="I644" s="2" t="s">
        <v>2644</v>
      </c>
      <c r="J644" s="2" t="s">
        <v>4373</v>
      </c>
      <c r="K644" s="12">
        <v>0.020833333332120674</v>
      </c>
      <c r="L644" s="12">
        <v>0.03263888888977817</v>
      </c>
      <c r="M644" s="13">
        <f>CRF_3[[#This Row],[Time Spent on Configuration]]+CRF_3[[#This Row],[Time Spent on Review/Testing]]</f>
        <v>NaN</v>
      </c>
      <c r="O644" s="1" t="s">
        <v>31</v>
      </c>
      <c r="P644" s="1" t="s">
        <v>483</v>
      </c>
      <c r="Q644" s="1" t="s">
        <v>488</v>
      </c>
      <c r="R644" s="11">
        <v>44578</v>
      </c>
      <c r="S644" s="1">
        <v>5</v>
      </c>
      <c r="U644" s="48"/>
    </row>
    <row r="645" ht="45" customHeight="1" spans="1:21" x14ac:dyDescent="0.25">
      <c r="A645" s="1" t="s">
        <v>3576</v>
      </c>
      <c r="B645" s="1">
        <v>2022</v>
      </c>
      <c r="C645" s="2" t="s">
        <v>529</v>
      </c>
      <c r="D645" s="1" t="s">
        <v>1924</v>
      </c>
      <c r="E645" s="1">
        <v>280162</v>
      </c>
      <c r="F645" s="1" t="s">
        <v>27</v>
      </c>
      <c r="G645" s="11">
        <v>44578</v>
      </c>
      <c r="H645" s="14" t="s">
        <v>38</v>
      </c>
      <c r="I645" s="2" t="s">
        <v>4374</v>
      </c>
      <c r="J645" s="2" t="s">
        <v>4375</v>
      </c>
      <c r="K645" s="12">
        <v>0.020833333332120674</v>
      </c>
      <c r="L645" s="12">
        <v>0.036111111112404615</v>
      </c>
      <c r="M645" s="13">
        <f>CRF_3[[#This Row],[Time Spent on Configuration]]+CRF_3[[#This Row],[Time Spent on Review/Testing]]</f>
        <v>NaN</v>
      </c>
      <c r="O645" s="1" t="s">
        <v>31</v>
      </c>
      <c r="P645" s="1" t="s">
        <v>483</v>
      </c>
      <c r="Q645" s="1" t="s">
        <v>484</v>
      </c>
      <c r="R645" s="11">
        <v>44578</v>
      </c>
      <c r="S645" s="1">
        <v>5</v>
      </c>
      <c r="U645" s="48"/>
    </row>
    <row r="646" ht="45" customHeight="1" spans="1:21" x14ac:dyDescent="0.25">
      <c r="A646" s="1" t="s">
        <v>3576</v>
      </c>
      <c r="B646" s="1">
        <v>2022</v>
      </c>
      <c r="C646" s="2" t="s">
        <v>118</v>
      </c>
      <c r="D646" s="1" t="s">
        <v>25</v>
      </c>
      <c r="E646" s="1">
        <v>274495</v>
      </c>
      <c r="F646" s="1" t="s">
        <v>27</v>
      </c>
      <c r="G646" s="11">
        <v>44580</v>
      </c>
      <c r="H646" s="11" t="s">
        <v>670</v>
      </c>
      <c r="I646" s="2" t="s">
        <v>4376</v>
      </c>
      <c r="J646" s="2" t="s">
        <v>4377</v>
      </c>
      <c r="K646" s="12">
        <v>0.038194444445252884</v>
      </c>
      <c r="L646" s="12">
        <v>0.01736111110949423</v>
      </c>
      <c r="M646" s="13">
        <f>CRF_3[[#This Row],[Time Spent on Configuration]]+CRF_3[[#This Row],[Time Spent on Review/Testing]]</f>
        <v>NaN</v>
      </c>
      <c r="O646" s="1" t="s">
        <v>574</v>
      </c>
      <c r="P646" s="1" t="s">
        <v>32</v>
      </c>
      <c r="Q646" s="1" t="s">
        <v>488</v>
      </c>
      <c r="R646" s="11">
        <v>44580</v>
      </c>
      <c r="S646" s="1">
        <v>5</v>
      </c>
      <c r="U646" s="48"/>
    </row>
    <row r="647" spans="1:21" x14ac:dyDescent="0.25">
      <c r="A647" s="1" t="s">
        <v>3576</v>
      </c>
      <c r="B647" s="1">
        <v>2022</v>
      </c>
      <c r="C647" s="2" t="s">
        <v>199</v>
      </c>
      <c r="D647" s="1" t="s">
        <v>541</v>
      </c>
      <c r="E647" s="1">
        <v>279450</v>
      </c>
      <c r="F647" s="1" t="s">
        <v>27</v>
      </c>
      <c r="G647" s="11">
        <v>44581</v>
      </c>
      <c r="H647" s="14" t="s">
        <v>38</v>
      </c>
      <c r="I647" s="2" t="s">
        <v>2652</v>
      </c>
      <c r="J647" s="2" t="s">
        <v>2653</v>
      </c>
      <c r="K647" s="12">
        <v>0.0625</v>
      </c>
      <c r="L647" s="12">
        <v>0.055555555554747116</v>
      </c>
      <c r="M647" s="13">
        <f>CRF_3[[#This Row],[Time Spent on Configuration]]+CRF_3[[#This Row],[Time Spent on Review/Testing]]</f>
        <v>NaN</v>
      </c>
      <c r="O647" s="1" t="s">
        <v>574</v>
      </c>
      <c r="P647" s="1" t="s">
        <v>32</v>
      </c>
      <c r="Q647" s="1" t="s">
        <v>488</v>
      </c>
      <c r="R647" s="11">
        <v>44581</v>
      </c>
      <c r="S647" s="1">
        <v>5</v>
      </c>
      <c r="U647" s="48"/>
    </row>
    <row r="648" spans="1:21" x14ac:dyDescent="0.25">
      <c r="A648" s="1" t="s">
        <v>3576</v>
      </c>
      <c r="B648" s="1">
        <v>2022</v>
      </c>
      <c r="C648" s="2" t="s">
        <v>35</v>
      </c>
      <c r="D648" s="1" t="s">
        <v>25</v>
      </c>
      <c r="E648" s="1">
        <v>280950</v>
      </c>
      <c r="F648" s="1" t="s">
        <v>27</v>
      </c>
      <c r="G648" s="11">
        <v>44586</v>
      </c>
      <c r="H648" s="11" t="s">
        <v>74</v>
      </c>
      <c r="I648" s="2" t="s">
        <v>2655</v>
      </c>
      <c r="J648" s="2" t="s">
        <v>2656</v>
      </c>
      <c r="K648" s="12">
        <v>0.013888888890505768</v>
      </c>
      <c r="L648" s="12">
        <v>0.01944444444598048</v>
      </c>
      <c r="M648" s="13">
        <f>CRF_3[[#This Row],[Time Spent on Configuration]]+CRF_3[[#This Row],[Time Spent on Review/Testing]]</f>
        <v>NaN</v>
      </c>
      <c r="O648" s="1" t="s">
        <v>53</v>
      </c>
      <c r="P648" s="1" t="s">
        <v>483</v>
      </c>
      <c r="Q648" s="1" t="s">
        <v>42</v>
      </c>
      <c r="R648" s="11">
        <v>44586</v>
      </c>
      <c r="S648" s="1">
        <v>5</v>
      </c>
      <c r="U648" s="48"/>
    </row>
    <row r="649" spans="1:21" x14ac:dyDescent="0.25">
      <c r="A649" s="1" t="s">
        <v>3576</v>
      </c>
      <c r="B649" s="1">
        <v>2022</v>
      </c>
      <c r="C649" s="2" t="s">
        <v>99</v>
      </c>
      <c r="D649" s="1" t="s">
        <v>25</v>
      </c>
      <c r="E649" s="1">
        <v>281357</v>
      </c>
      <c r="F649" s="1" t="s">
        <v>27</v>
      </c>
      <c r="G649" s="11">
        <v>44587</v>
      </c>
      <c r="H649" s="14" t="s">
        <v>28</v>
      </c>
      <c r="I649" s="2" t="s">
        <v>2658</v>
      </c>
      <c r="J649" s="2" t="s">
        <v>2659</v>
      </c>
      <c r="K649" s="12">
        <v>0.024305555554747116</v>
      </c>
      <c r="L649" s="12">
        <v>0.055555555554747116</v>
      </c>
      <c r="M649" s="13">
        <f>CRF_3[[#This Row],[Time Spent on Configuration]]+CRF_3[[#This Row],[Time Spent on Review/Testing]]</f>
        <v>NaN</v>
      </c>
      <c r="O649" s="1" t="s">
        <v>483</v>
      </c>
      <c r="P649" s="1" t="s">
        <v>32</v>
      </c>
      <c r="Q649" s="1" t="s">
        <v>484</v>
      </c>
      <c r="R649" s="11">
        <v>44588</v>
      </c>
      <c r="S649" s="1">
        <v>5</v>
      </c>
      <c r="U649" s="48"/>
    </row>
    <row r="650" spans="1:21" x14ac:dyDescent="0.25">
      <c r="A650" s="1" t="s">
        <v>3594</v>
      </c>
      <c r="B650" s="1">
        <v>2022</v>
      </c>
      <c r="C650" s="2" t="s">
        <v>985</v>
      </c>
      <c r="D650" s="1" t="s">
        <v>25</v>
      </c>
      <c r="E650" s="1">
        <v>281621</v>
      </c>
      <c r="F650" s="1" t="s">
        <v>27</v>
      </c>
      <c r="G650" s="11">
        <v>44593</v>
      </c>
      <c r="H650" s="11" t="s">
        <v>38</v>
      </c>
      <c r="I650" s="2" t="s">
        <v>4378</v>
      </c>
      <c r="J650" s="2" t="s">
        <v>2663</v>
      </c>
      <c r="K650" s="12">
        <v>0.013888888890505768</v>
      </c>
      <c r="L650" s="12">
        <v>0.020833333332120674</v>
      </c>
      <c r="M650" s="13">
        <f>CRF_3[[#This Row],[Time Spent on Configuration]]+CRF_3[[#This Row],[Time Spent on Review/Testing]]</f>
        <v>NaN</v>
      </c>
      <c r="O650" s="1" t="s">
        <v>53</v>
      </c>
      <c r="P650" s="1" t="s">
        <v>32</v>
      </c>
      <c r="Q650" s="1" t="s">
        <v>488</v>
      </c>
      <c r="R650" s="11">
        <v>44593</v>
      </c>
      <c r="S650" s="1">
        <v>5</v>
      </c>
      <c r="U650" s="48"/>
    </row>
    <row r="651" ht="90" customHeight="1" spans="1:21" x14ac:dyDescent="0.25">
      <c r="A651" s="1" t="s">
        <v>3594</v>
      </c>
      <c r="B651" s="1">
        <v>2022</v>
      </c>
      <c r="C651" s="2" t="s">
        <v>2514</v>
      </c>
      <c r="D651" s="1" t="s">
        <v>285</v>
      </c>
      <c r="E651" s="1">
        <v>282048</v>
      </c>
      <c r="F651" s="1" t="s">
        <v>27</v>
      </c>
      <c r="G651" s="11">
        <v>44593</v>
      </c>
      <c r="H651" s="11" t="s">
        <v>74</v>
      </c>
      <c r="I651" s="2" t="s">
        <v>4379</v>
      </c>
      <c r="J651" s="2" t="s">
        <v>4380</v>
      </c>
      <c r="K651" s="12">
        <v>0.024305555554747116</v>
      </c>
      <c r="L651" s="12">
        <v>0.03125</v>
      </c>
      <c r="M651" s="13">
        <f>CRF_3[[#This Row],[Time Spent on Configuration]]+CRF_3[[#This Row],[Time Spent on Review/Testing]]</f>
        <v>NaN</v>
      </c>
      <c r="O651" s="1" t="s">
        <v>53</v>
      </c>
      <c r="P651" s="1" t="s">
        <v>32</v>
      </c>
      <c r="Q651" s="1" t="s">
        <v>488</v>
      </c>
      <c r="R651" s="11">
        <v>44593</v>
      </c>
      <c r="S651" s="1">
        <v>5</v>
      </c>
      <c r="U651" s="48"/>
    </row>
    <row r="652" ht="75" customHeight="1" spans="1:21" x14ac:dyDescent="0.25">
      <c r="A652" s="1" t="s">
        <v>3594</v>
      </c>
      <c r="B652" s="1">
        <v>2022</v>
      </c>
      <c r="C652" s="2" t="s">
        <v>228</v>
      </c>
      <c r="D652" s="1" t="s">
        <v>25</v>
      </c>
      <c r="E652" s="1">
        <v>274481</v>
      </c>
      <c r="F652" s="1" t="s">
        <v>37</v>
      </c>
      <c r="G652" s="11">
        <v>44594</v>
      </c>
      <c r="H652" s="11" t="s">
        <v>38</v>
      </c>
      <c r="I652" s="2" t="s">
        <v>4381</v>
      </c>
      <c r="J652" s="2" t="s">
        <v>4382</v>
      </c>
      <c r="K652" s="12">
        <v>0.0625</v>
      </c>
      <c r="L652" s="12"/>
      <c r="M652" s="13">
        <f>CRF_3[[#This Row],[Time Spent on Configuration]]+CRF_3[[#This Row],[Time Spent on Review/Testing]]</f>
        <v>NaN</v>
      </c>
      <c r="O652" s="1" t="s">
        <v>31</v>
      </c>
      <c r="P652" s="1" t="s">
        <v>483</v>
      </c>
      <c r="Q652" s="1" t="s">
        <v>488</v>
      </c>
      <c r="R652" s="11">
        <v>44594</v>
      </c>
      <c r="S652" s="1">
        <v>5</v>
      </c>
      <c r="U652" s="48"/>
    </row>
    <row r="653" ht="75" customHeight="1" spans="1:21" x14ac:dyDescent="0.25">
      <c r="A653" s="1" t="s">
        <v>3594</v>
      </c>
      <c r="B653" s="1">
        <v>2022</v>
      </c>
      <c r="C653" s="2" t="s">
        <v>510</v>
      </c>
      <c r="D653" s="1" t="s">
        <v>25</v>
      </c>
      <c r="E653" s="1">
        <v>280754</v>
      </c>
      <c r="F653" s="1" t="s">
        <v>37</v>
      </c>
      <c r="G653" s="11">
        <v>44596</v>
      </c>
      <c r="H653" s="11" t="s">
        <v>38</v>
      </c>
      <c r="I653" s="2" t="s">
        <v>4383</v>
      </c>
      <c r="J653" s="2" t="s">
        <v>4384</v>
      </c>
      <c r="K653" s="12">
        <v>0.0625</v>
      </c>
      <c r="L653" s="12"/>
      <c r="M653" s="13">
        <f>CRF_3[[#This Row],[Time Spent on Configuration]]+CRF_3[[#This Row],[Time Spent on Review/Testing]]</f>
        <v>NaN</v>
      </c>
      <c r="O653" s="1" t="s">
        <v>31</v>
      </c>
      <c r="P653" s="1" t="s">
        <v>483</v>
      </c>
      <c r="Q653" s="1" t="s">
        <v>488</v>
      </c>
      <c r="R653" s="11">
        <v>44594</v>
      </c>
      <c r="S653" s="1">
        <v>5</v>
      </c>
      <c r="U653" s="48"/>
    </row>
    <row r="654" spans="1:21" x14ac:dyDescent="0.25">
      <c r="A654" s="1" t="s">
        <v>3594</v>
      </c>
      <c r="B654" s="1">
        <v>2022</v>
      </c>
      <c r="C654" s="2" t="s">
        <v>2673</v>
      </c>
      <c r="D654" s="1" t="s">
        <v>25</v>
      </c>
      <c r="E654" s="1">
        <v>282609</v>
      </c>
      <c r="F654" s="1" t="s">
        <v>27</v>
      </c>
      <c r="G654" s="11">
        <v>44599</v>
      </c>
      <c r="H654" s="11" t="s">
        <v>38</v>
      </c>
      <c r="I654" s="2" t="s">
        <v>2675</v>
      </c>
      <c r="J654" s="2" t="s">
        <v>2676</v>
      </c>
      <c r="K654" s="12">
        <v>0.010416666667879326</v>
      </c>
      <c r="L654" s="12">
        <v>0.01736111110949423</v>
      </c>
      <c r="M654" s="13">
        <f>CRF_3[[#This Row],[Time Spent on Configuration]]+CRF_3[[#This Row],[Time Spent on Review/Testing]]</f>
        <v>NaN</v>
      </c>
      <c r="O654" s="1" t="s">
        <v>32</v>
      </c>
      <c r="P654" s="1" t="s">
        <v>483</v>
      </c>
      <c r="Q654" s="1" t="s">
        <v>488</v>
      </c>
      <c r="R654" s="11">
        <v>44599</v>
      </c>
      <c r="S654" s="1">
        <v>5</v>
      </c>
      <c r="U654" s="48"/>
    </row>
    <row r="655" ht="45" customHeight="1" spans="1:21" x14ac:dyDescent="0.25">
      <c r="A655" s="1" t="s">
        <v>3594</v>
      </c>
      <c r="B655" s="1">
        <v>2022</v>
      </c>
      <c r="C655" s="2" t="s">
        <v>510</v>
      </c>
      <c r="D655" s="1" t="s">
        <v>25</v>
      </c>
      <c r="E655" s="1">
        <v>264844</v>
      </c>
      <c r="F655" s="1" t="s">
        <v>27</v>
      </c>
      <c r="G655" s="11">
        <v>44599</v>
      </c>
      <c r="H655" s="14" t="s">
        <v>50</v>
      </c>
      <c r="I655" s="2" t="s">
        <v>4385</v>
      </c>
      <c r="J655" s="2" t="s">
        <v>2679</v>
      </c>
      <c r="K655" s="12">
        <v>0.020833333332120674</v>
      </c>
      <c r="L655" s="12">
        <v>0.03472222222262644</v>
      </c>
      <c r="M655" s="13">
        <f>CRF_3[[#This Row],[Time Spent on Configuration]]+CRF_3[[#This Row],[Time Spent on Review/Testing]]</f>
        <v>NaN</v>
      </c>
      <c r="O655" s="1" t="s">
        <v>31</v>
      </c>
      <c r="P655" s="1" t="s">
        <v>483</v>
      </c>
      <c r="Q655" s="1" t="s">
        <v>488</v>
      </c>
      <c r="R655" s="11">
        <v>44599</v>
      </c>
      <c r="S655" s="1">
        <v>5</v>
      </c>
      <c r="U655" s="48"/>
    </row>
    <row r="656" ht="45" customHeight="1" spans="1:21" x14ac:dyDescent="0.25">
      <c r="A656" s="1" t="s">
        <v>3594</v>
      </c>
      <c r="B656" s="1">
        <v>2022</v>
      </c>
      <c r="C656" s="2" t="s">
        <v>529</v>
      </c>
      <c r="D656" s="1" t="s">
        <v>1924</v>
      </c>
      <c r="E656" s="1">
        <v>282570</v>
      </c>
      <c r="F656" s="1" t="s">
        <v>27</v>
      </c>
      <c r="G656" s="11">
        <v>44600</v>
      </c>
      <c r="H656" s="14" t="s">
        <v>28</v>
      </c>
      <c r="I656" s="2" t="s">
        <v>4386</v>
      </c>
      <c r="J656" s="2" t="s">
        <v>4387</v>
      </c>
      <c r="K656" s="12">
        <v>0.01736111110949423</v>
      </c>
      <c r="L656" s="12">
        <v>0.04861111110949423</v>
      </c>
      <c r="M656" s="13">
        <f>CRF_3[[#This Row],[Time Spent on Configuration]]+CRF_3[[#This Row],[Time Spent on Review/Testing]]</f>
        <v>NaN</v>
      </c>
      <c r="O656" s="1" t="s">
        <v>32</v>
      </c>
      <c r="P656" s="1" t="s">
        <v>483</v>
      </c>
      <c r="Q656" s="1" t="s">
        <v>484</v>
      </c>
      <c r="R656" s="11">
        <v>44600</v>
      </c>
      <c r="S656" s="1">
        <v>5</v>
      </c>
      <c r="U656" s="48"/>
    </row>
    <row r="657" ht="60" customHeight="1" spans="1:21" x14ac:dyDescent="0.25">
      <c r="A657" s="1" t="s">
        <v>3594</v>
      </c>
      <c r="B657" s="1">
        <v>2022</v>
      </c>
      <c r="C657" s="2" t="s">
        <v>510</v>
      </c>
      <c r="D657" s="1" t="s">
        <v>25</v>
      </c>
      <c r="E657" s="1">
        <v>281489</v>
      </c>
      <c r="F657" s="1" t="s">
        <v>27</v>
      </c>
      <c r="G657" s="11">
        <v>44601</v>
      </c>
      <c r="H657" s="14" t="s">
        <v>74</v>
      </c>
      <c r="I657" s="2" t="s">
        <v>4388</v>
      </c>
      <c r="J657" s="2" t="s">
        <v>4389</v>
      </c>
      <c r="K657" s="12">
        <v>0.01736111110949423</v>
      </c>
      <c r="L657" s="12">
        <v>0.03472222222262644</v>
      </c>
      <c r="M657" s="13">
        <f>CRF_3[[#This Row],[Time Spent on Configuration]]+CRF_3[[#This Row],[Time Spent on Review/Testing]]</f>
        <v>NaN</v>
      </c>
      <c r="O657" s="1" t="s">
        <v>32</v>
      </c>
      <c r="P657" s="1" t="s">
        <v>483</v>
      </c>
      <c r="Q657" s="1" t="s">
        <v>488</v>
      </c>
      <c r="R657" s="11">
        <v>44601</v>
      </c>
      <c r="S657" s="1">
        <v>5</v>
      </c>
      <c r="U657" s="48"/>
    </row>
    <row r="658" ht="75" customHeight="1" spans="1:21" x14ac:dyDescent="0.25">
      <c r="A658" s="1" t="s">
        <v>3594</v>
      </c>
      <c r="B658" s="1">
        <v>2022</v>
      </c>
      <c r="C658" s="2" t="s">
        <v>2315</v>
      </c>
      <c r="D658" s="1" t="s">
        <v>25</v>
      </c>
      <c r="E658" s="1">
        <v>281496</v>
      </c>
      <c r="F658" s="1" t="s">
        <v>27</v>
      </c>
      <c r="G658" s="11">
        <v>44601</v>
      </c>
      <c r="H658" s="14" t="s">
        <v>38</v>
      </c>
      <c r="I658" s="2" t="s">
        <v>4390</v>
      </c>
      <c r="J658" s="2" t="s">
        <v>4391</v>
      </c>
      <c r="K658" s="12">
        <v>0.020833333332120674</v>
      </c>
      <c r="L658" s="12">
        <v>0.03472222222262644</v>
      </c>
      <c r="M658" s="13">
        <f>CRF_3[[#This Row],[Time Spent on Configuration]]+CRF_3[[#This Row],[Time Spent on Review/Testing]]</f>
        <v>NaN</v>
      </c>
      <c r="O658" s="1" t="s">
        <v>31</v>
      </c>
      <c r="P658" s="1" t="s">
        <v>32</v>
      </c>
      <c r="Q658" s="1" t="s">
        <v>484</v>
      </c>
      <c r="R658" s="11">
        <v>44601</v>
      </c>
      <c r="S658" s="1">
        <v>5</v>
      </c>
      <c r="U658" s="48"/>
    </row>
    <row r="659" spans="1:21" x14ac:dyDescent="0.25">
      <c r="A659" s="1" t="s">
        <v>3594</v>
      </c>
      <c r="B659" s="1">
        <v>2022</v>
      </c>
      <c r="C659" s="2" t="s">
        <v>510</v>
      </c>
      <c r="D659" s="1" t="s">
        <v>25</v>
      </c>
      <c r="E659" s="1">
        <v>283040</v>
      </c>
      <c r="F659" s="1" t="s">
        <v>37</v>
      </c>
      <c r="G659" s="11">
        <v>44602</v>
      </c>
      <c r="H659" s="14" t="s">
        <v>74</v>
      </c>
      <c r="I659" s="2" t="s">
        <v>2690</v>
      </c>
      <c r="J659" s="2" t="s">
        <v>2691</v>
      </c>
      <c r="K659" s="12">
        <v>0.03125</v>
      </c>
      <c r="L659" s="12">
        <v>0.038194444445252884</v>
      </c>
      <c r="M659" s="13">
        <f>CRF_3[[#This Row],[Time Spent on Configuration]]+CRF_3[[#This Row],[Time Spent on Review/Testing]]</f>
        <v>NaN</v>
      </c>
      <c r="O659" s="1" t="s">
        <v>31</v>
      </c>
      <c r="P659" s="1" t="s">
        <v>32</v>
      </c>
      <c r="Q659" s="1" t="s">
        <v>488</v>
      </c>
      <c r="R659" s="11">
        <v>44602</v>
      </c>
      <c r="S659" s="1">
        <v>5</v>
      </c>
      <c r="U659" s="48"/>
    </row>
    <row r="660" spans="1:21" x14ac:dyDescent="0.25">
      <c r="A660" s="1" t="s">
        <v>3594</v>
      </c>
      <c r="B660" s="1">
        <v>2022</v>
      </c>
      <c r="C660" s="2" t="s">
        <v>99</v>
      </c>
      <c r="D660" s="1" t="s">
        <v>25</v>
      </c>
      <c r="E660" s="1">
        <v>283084</v>
      </c>
      <c r="F660" s="1" t="s">
        <v>27</v>
      </c>
      <c r="G660" s="11">
        <v>44603</v>
      </c>
      <c r="H660" s="14" t="s">
        <v>28</v>
      </c>
      <c r="I660" s="2" t="s">
        <v>2693</v>
      </c>
      <c r="J660" s="2" t="s">
        <v>2694</v>
      </c>
      <c r="K660" s="12">
        <v>0.024305555554747116</v>
      </c>
      <c r="L660" s="12">
        <v>0.05902777777737356</v>
      </c>
      <c r="M660" s="13">
        <f>CRF_3[[#This Row],[Time Spent on Configuration]]+CRF_3[[#This Row],[Time Spent on Review/Testing]]</f>
        <v>NaN</v>
      </c>
      <c r="O660" s="1" t="s">
        <v>483</v>
      </c>
      <c r="P660" s="1" t="s">
        <v>32</v>
      </c>
      <c r="Q660" s="1" t="s">
        <v>484</v>
      </c>
      <c r="R660" s="11">
        <v>44603</v>
      </c>
      <c r="S660" s="1">
        <v>5</v>
      </c>
      <c r="U660" s="48"/>
    </row>
    <row r="661" ht="30" customHeight="1" spans="1:21" x14ac:dyDescent="0.25">
      <c r="A661" s="1" t="s">
        <v>3594</v>
      </c>
      <c r="B661" s="1">
        <v>2022</v>
      </c>
      <c r="C661" s="2" t="s">
        <v>2315</v>
      </c>
      <c r="D661" s="1" t="s">
        <v>25</v>
      </c>
      <c r="E661" s="1">
        <v>266363</v>
      </c>
      <c r="F661" s="1" t="s">
        <v>27</v>
      </c>
      <c r="G661" s="11">
        <v>44603</v>
      </c>
      <c r="H661" s="14" t="s">
        <v>74</v>
      </c>
      <c r="I661" s="2" t="s">
        <v>4392</v>
      </c>
      <c r="J661" s="2" t="s">
        <v>4392</v>
      </c>
      <c r="K661" s="12">
        <v>0.041666666667879326</v>
      </c>
      <c r="L661" s="12">
        <v>0.06597222222262644</v>
      </c>
      <c r="M661" s="13">
        <f>CRF_3[[#This Row],[Time Spent on Configuration]]+CRF_3[[#This Row],[Time Spent on Review/Testing]]</f>
        <v>NaN</v>
      </c>
      <c r="O661" s="1" t="s">
        <v>31</v>
      </c>
      <c r="P661" s="1" t="s">
        <v>32</v>
      </c>
      <c r="Q661" s="1" t="s">
        <v>484</v>
      </c>
      <c r="R661" s="11">
        <v>44603</v>
      </c>
      <c r="S661" s="1">
        <v>5</v>
      </c>
      <c r="U661" s="48"/>
    </row>
    <row r="662" ht="105" customHeight="1" spans="1:21" x14ac:dyDescent="0.25">
      <c r="A662" s="1" t="s">
        <v>3594</v>
      </c>
      <c r="B662" s="1">
        <v>2022</v>
      </c>
      <c r="C662" s="2" t="s">
        <v>510</v>
      </c>
      <c r="D662" s="1" t="s">
        <v>25</v>
      </c>
      <c r="E662" s="1">
        <v>264844</v>
      </c>
      <c r="F662" s="1" t="s">
        <v>27</v>
      </c>
      <c r="G662" s="11">
        <v>44610</v>
      </c>
      <c r="H662" s="11" t="s">
        <v>50</v>
      </c>
      <c r="I662" s="2" t="s">
        <v>4393</v>
      </c>
      <c r="J662" s="2" t="s">
        <v>2698</v>
      </c>
      <c r="K662" s="12">
        <v>0.020833333332120674</v>
      </c>
      <c r="L662" s="12">
        <v>0.03472222222262644</v>
      </c>
      <c r="M662" s="13">
        <f>CRF_3[[#This Row],[Time Spent on Configuration]]+CRF_3[[#This Row],[Time Spent on Review/Testing]]</f>
        <v>NaN</v>
      </c>
      <c r="O662" s="1" t="s">
        <v>53</v>
      </c>
      <c r="P662" s="1" t="s">
        <v>483</v>
      </c>
      <c r="Q662" s="1" t="s">
        <v>488</v>
      </c>
      <c r="R662" s="11">
        <v>44610</v>
      </c>
      <c r="S662" s="1">
        <v>5</v>
      </c>
      <c r="U662" s="48"/>
    </row>
    <row r="663" ht="180" customHeight="1" spans="1:21" x14ac:dyDescent="0.25">
      <c r="A663" s="1" t="s">
        <v>3594</v>
      </c>
      <c r="B663" s="1">
        <v>2022</v>
      </c>
      <c r="C663" s="2" t="s">
        <v>308</v>
      </c>
      <c r="D663" s="1" t="s">
        <v>309</v>
      </c>
      <c r="E663" s="1">
        <v>282942</v>
      </c>
      <c r="F663" s="1" t="s">
        <v>27</v>
      </c>
      <c r="G663" s="11">
        <v>44614</v>
      </c>
      <c r="H663" s="11" t="s">
        <v>38</v>
      </c>
      <c r="I663" s="2" t="s">
        <v>4394</v>
      </c>
      <c r="J663" s="2" t="s">
        <v>4395</v>
      </c>
      <c r="K663" s="12">
        <v>0.020833333332120674</v>
      </c>
      <c r="L663" s="12">
        <v>0.055555555554747116</v>
      </c>
      <c r="M663" s="13">
        <f>CRF_3[[#This Row],[Time Spent on Configuration]]+CRF_3[[#This Row],[Time Spent on Review/Testing]]</f>
        <v>NaN</v>
      </c>
      <c r="O663" s="1" t="s">
        <v>4207</v>
      </c>
      <c r="P663" s="1" t="s">
        <v>483</v>
      </c>
      <c r="Q663" s="1" t="s">
        <v>488</v>
      </c>
      <c r="R663" s="11">
        <v>44614</v>
      </c>
      <c r="S663" s="1">
        <v>5</v>
      </c>
      <c r="U663" s="48"/>
    </row>
    <row r="664" ht="30" customHeight="1" spans="1:21" x14ac:dyDescent="0.25">
      <c r="A664" s="1" t="s">
        <v>3594</v>
      </c>
      <c r="B664" s="1">
        <v>2022</v>
      </c>
      <c r="C664" s="2" t="s">
        <v>985</v>
      </c>
      <c r="D664" s="1" t="s">
        <v>25</v>
      </c>
      <c r="E664" s="1">
        <v>283935</v>
      </c>
      <c r="F664" s="1" t="s">
        <v>27</v>
      </c>
      <c r="G664" s="11">
        <v>44615</v>
      </c>
      <c r="H664" s="11" t="s">
        <v>38</v>
      </c>
      <c r="I664" s="2" t="s">
        <v>2703</v>
      </c>
      <c r="J664" s="2" t="s">
        <v>2704</v>
      </c>
      <c r="K664" s="12">
        <v>0.024305555554747116</v>
      </c>
      <c r="L664" s="12">
        <v>0.022222222221898846</v>
      </c>
      <c r="M664" s="13">
        <f>CRF_3[[#This Row],[Time Spent on Configuration]]+CRF_3[[#This Row],[Time Spent on Review/Testing]]</f>
        <v>NaN</v>
      </c>
      <c r="O664" s="1" t="s">
        <v>4207</v>
      </c>
      <c r="P664" s="1" t="s">
        <v>483</v>
      </c>
      <c r="Q664" s="1" t="s">
        <v>488</v>
      </c>
      <c r="R664" s="11">
        <v>44614</v>
      </c>
      <c r="S664" s="1">
        <v>5</v>
      </c>
      <c r="U664" s="48"/>
    </row>
    <row r="665" ht="45" customHeight="1" spans="1:21" x14ac:dyDescent="0.25">
      <c r="A665" s="1" t="s">
        <v>3594</v>
      </c>
      <c r="B665" s="1">
        <v>2022</v>
      </c>
      <c r="C665" s="2" t="s">
        <v>2473</v>
      </c>
      <c r="D665" s="1" t="s">
        <v>530</v>
      </c>
      <c r="E665" s="1">
        <v>281654</v>
      </c>
      <c r="F665" s="1" t="s">
        <v>37</v>
      </c>
      <c r="G665" s="11">
        <v>44615</v>
      </c>
      <c r="H665" s="11" t="s">
        <v>38</v>
      </c>
      <c r="I665" s="2" t="s">
        <v>4396</v>
      </c>
      <c r="J665" s="2" t="s">
        <v>4397</v>
      </c>
      <c r="K665" s="12">
        <v>0.08333333333212067</v>
      </c>
      <c r="L665" s="12">
        <v>0.038194444445252884</v>
      </c>
      <c r="M665" s="13">
        <f>CRF_3[[#This Row],[Time Spent on Configuration]]+CRF_3[[#This Row],[Time Spent on Review/Testing]]</f>
        <v>NaN</v>
      </c>
      <c r="O665" s="1" t="s">
        <v>31</v>
      </c>
      <c r="P665" s="1" t="s">
        <v>483</v>
      </c>
      <c r="Q665" s="1" t="s">
        <v>484</v>
      </c>
      <c r="R665" s="11">
        <v>44615</v>
      </c>
      <c r="S665" s="1">
        <v>5</v>
      </c>
      <c r="U665" s="48"/>
    </row>
    <row r="666" spans="1:21" x14ac:dyDescent="0.25">
      <c r="A666" s="1" t="s">
        <v>3594</v>
      </c>
      <c r="B666" s="1">
        <v>2022</v>
      </c>
      <c r="C666" s="2" t="s">
        <v>286</v>
      </c>
      <c r="D666" s="1" t="s">
        <v>287</v>
      </c>
      <c r="E666" s="1">
        <v>283662</v>
      </c>
      <c r="F666" s="1" t="s">
        <v>37</v>
      </c>
      <c r="G666" s="11">
        <v>44617</v>
      </c>
      <c r="H666" s="11" t="s">
        <v>38</v>
      </c>
      <c r="I666" s="2" t="s">
        <v>2709</v>
      </c>
      <c r="J666" s="2" t="s">
        <v>2710</v>
      </c>
      <c r="K666" s="12">
        <v>0.020833333332120674</v>
      </c>
      <c r="L666" s="12">
        <v>0.041666666667879326</v>
      </c>
      <c r="M666" s="13">
        <f>CRF_3[[#This Row],[Time Spent on Configuration]]+CRF_3[[#This Row],[Time Spent on Review/Testing]]</f>
        <v>NaN</v>
      </c>
      <c r="O666" s="1" t="s">
        <v>574</v>
      </c>
      <c r="P666" s="1" t="s">
        <v>32</v>
      </c>
      <c r="Q666" s="1" t="s">
        <v>484</v>
      </c>
      <c r="R666" s="11">
        <v>44617</v>
      </c>
      <c r="S666" s="1">
        <v>5</v>
      </c>
      <c r="U666" s="48"/>
    </row>
    <row r="667" ht="105" customHeight="1" spans="1:21" x14ac:dyDescent="0.25">
      <c r="A667" s="1" t="s">
        <v>3594</v>
      </c>
      <c r="B667" s="1">
        <v>2022</v>
      </c>
      <c r="C667" s="2" t="s">
        <v>1451</v>
      </c>
      <c r="D667" s="1" t="s">
        <v>287</v>
      </c>
      <c r="E667" s="1">
        <v>283065</v>
      </c>
      <c r="F667" s="1" t="s">
        <v>27</v>
      </c>
      <c r="G667" s="11">
        <v>44617</v>
      </c>
      <c r="H667" s="11" t="s">
        <v>38</v>
      </c>
      <c r="I667" s="2" t="s">
        <v>4398</v>
      </c>
      <c r="J667" s="2" t="s">
        <v>4399</v>
      </c>
      <c r="K667" s="12">
        <v>0.024305555554747116</v>
      </c>
      <c r="L667" s="12">
        <v>0.04444444444379769</v>
      </c>
      <c r="M667" s="13">
        <f>CRF_3[[#This Row],[Time Spent on Configuration]]+CRF_3[[#This Row],[Time Spent on Review/Testing]]</f>
        <v>NaN</v>
      </c>
      <c r="O667" s="1" t="s">
        <v>53</v>
      </c>
      <c r="P667" s="1" t="s">
        <v>483</v>
      </c>
      <c r="Q667" s="1" t="s">
        <v>484</v>
      </c>
      <c r="R667" s="11">
        <v>44617</v>
      </c>
      <c r="S667" s="1">
        <v>5</v>
      </c>
      <c r="U667" s="48"/>
    </row>
    <row r="668" ht="60" customHeight="1" spans="1:21" x14ac:dyDescent="0.25">
      <c r="A668" s="1" t="s">
        <v>3594</v>
      </c>
      <c r="B668" s="1">
        <v>2022</v>
      </c>
      <c r="C668" s="2" t="s">
        <v>489</v>
      </c>
      <c r="D668" s="1" t="s">
        <v>490</v>
      </c>
      <c r="E668" s="1">
        <v>284509</v>
      </c>
      <c r="F668" s="1" t="s">
        <v>27</v>
      </c>
      <c r="G668" s="11">
        <v>44620</v>
      </c>
      <c r="H668" s="11" t="s">
        <v>38</v>
      </c>
      <c r="I668" s="2" t="s">
        <v>2715</v>
      </c>
      <c r="J668" s="2" t="s">
        <v>4400</v>
      </c>
      <c r="K668" s="12">
        <v>0.024305555554747116</v>
      </c>
      <c r="L668" s="12"/>
      <c r="M668" s="13">
        <f>CRF_3[[#This Row],[Time Spent on Configuration]]+CRF_3[[#This Row],[Time Spent on Review/Testing]]</f>
        <v>NaN</v>
      </c>
      <c r="O668" s="1" t="s">
        <v>53</v>
      </c>
      <c r="Q668" s="1" t="s">
        <v>42</v>
      </c>
      <c r="R668" s="11">
        <v>44620</v>
      </c>
      <c r="S668" s="1">
        <v>5</v>
      </c>
      <c r="U668" s="48"/>
    </row>
    <row r="669" ht="120" customHeight="1" spans="1:21" x14ac:dyDescent="0.25">
      <c r="A669" s="1" t="s">
        <v>3613</v>
      </c>
      <c r="B669" s="1">
        <v>2022</v>
      </c>
      <c r="C669" s="2" t="s">
        <v>510</v>
      </c>
      <c r="D669" s="1" t="s">
        <v>25</v>
      </c>
      <c r="E669" s="1">
        <v>283060</v>
      </c>
      <c r="F669" s="1" t="s">
        <v>27</v>
      </c>
      <c r="G669" s="11">
        <v>44622</v>
      </c>
      <c r="H669" s="11" t="s">
        <v>38</v>
      </c>
      <c r="I669" s="2" t="s">
        <v>4401</v>
      </c>
      <c r="J669" s="2" t="s">
        <v>4402</v>
      </c>
      <c r="K669" s="12">
        <v>0.024305555554747116</v>
      </c>
      <c r="L669" s="12">
        <v>0.0625</v>
      </c>
      <c r="M669" s="13">
        <f>CRF_3[[#This Row],[Time Spent on Configuration]]+CRF_3[[#This Row],[Time Spent on Review/Testing]]</f>
        <v>NaN</v>
      </c>
      <c r="O669" s="1" t="s">
        <v>574</v>
      </c>
      <c r="P669" s="1" t="s">
        <v>483</v>
      </c>
      <c r="Q669" s="1" t="s">
        <v>488</v>
      </c>
      <c r="R669" s="11">
        <v>44622</v>
      </c>
      <c r="S669" s="1">
        <v>5</v>
      </c>
      <c r="U669" s="48"/>
    </row>
    <row r="670" ht="45" customHeight="1" spans="1:21" x14ac:dyDescent="0.25">
      <c r="A670" s="1" t="s">
        <v>3613</v>
      </c>
      <c r="B670" s="1">
        <v>2022</v>
      </c>
      <c r="C670" s="2" t="s">
        <v>489</v>
      </c>
      <c r="D670" s="1" t="s">
        <v>490</v>
      </c>
      <c r="E670" s="1">
        <v>280092</v>
      </c>
      <c r="F670" s="1" t="s">
        <v>27</v>
      </c>
      <c r="G670" s="11">
        <v>44627</v>
      </c>
      <c r="H670" s="14" t="s">
        <v>28</v>
      </c>
      <c r="I670" s="2" t="s">
        <v>4403</v>
      </c>
      <c r="J670" s="2" t="s">
        <v>2723</v>
      </c>
      <c r="K670" s="12">
        <v>0.024305555554747116</v>
      </c>
      <c r="L670" s="12">
        <v>0.03472222222262644</v>
      </c>
      <c r="M670" s="13">
        <f>CRF_3[[#This Row],[Time Spent on Configuration]]+CRF_3[[#This Row],[Time Spent on Review/Testing]]</f>
        <v>NaN</v>
      </c>
      <c r="O670" s="1" t="s">
        <v>32</v>
      </c>
      <c r="P670" s="1" t="s">
        <v>483</v>
      </c>
      <c r="Q670" s="1" t="s">
        <v>42</v>
      </c>
      <c r="R670" s="11">
        <v>44627</v>
      </c>
      <c r="S670" s="1">
        <v>5</v>
      </c>
      <c r="U670" s="48"/>
    </row>
    <row r="671" ht="60" customHeight="1" spans="1:21" x14ac:dyDescent="0.25">
      <c r="A671" s="1" t="s">
        <v>3613</v>
      </c>
      <c r="B671" s="1">
        <v>2022</v>
      </c>
      <c r="C671" s="2" t="s">
        <v>185</v>
      </c>
      <c r="D671" s="1" t="s">
        <v>186</v>
      </c>
      <c r="E671" s="1">
        <v>235807</v>
      </c>
      <c r="F671" s="1" t="s">
        <v>27</v>
      </c>
      <c r="G671" s="11">
        <v>44627</v>
      </c>
      <c r="H671" s="11" t="s">
        <v>38</v>
      </c>
      <c r="I671" s="2" t="s">
        <v>4404</v>
      </c>
      <c r="J671" s="2" t="s">
        <v>4405</v>
      </c>
      <c r="K671" s="12">
        <v>0.020833333332120674</v>
      </c>
      <c r="L671" s="12">
        <v>0.03125</v>
      </c>
      <c r="M671" s="13">
        <f>CRF_3[[#This Row],[Time Spent on Configuration]]+CRF_3[[#This Row],[Time Spent on Review/Testing]]</f>
        <v>NaN</v>
      </c>
      <c r="O671" s="1" t="s">
        <v>574</v>
      </c>
      <c r="P671" s="1" t="s">
        <v>483</v>
      </c>
      <c r="Q671" s="1" t="s">
        <v>484</v>
      </c>
      <c r="R671" s="11">
        <v>44627</v>
      </c>
      <c r="S671" s="1">
        <v>5</v>
      </c>
      <c r="U671" s="48"/>
    </row>
    <row r="672" ht="135" customHeight="1" spans="1:21" x14ac:dyDescent="0.25">
      <c r="A672" s="1" t="s">
        <v>3613</v>
      </c>
      <c r="B672" s="1">
        <v>2022</v>
      </c>
      <c r="C672" s="2" t="s">
        <v>219</v>
      </c>
      <c r="D672" s="1" t="s">
        <v>186</v>
      </c>
      <c r="E672" s="1">
        <v>285881</v>
      </c>
      <c r="F672" s="1" t="s">
        <v>27</v>
      </c>
      <c r="G672" s="11">
        <v>44634</v>
      </c>
      <c r="H672" s="14" t="s">
        <v>953</v>
      </c>
      <c r="I672" s="2" t="s">
        <v>4406</v>
      </c>
      <c r="J672" s="2" t="s">
        <v>4407</v>
      </c>
      <c r="K672" s="12">
        <v>0.010416666667879326</v>
      </c>
      <c r="L672" s="12">
        <v>0.02708333333430346</v>
      </c>
      <c r="M672" s="13">
        <f>CRF_3[[#This Row],[Time Spent on Configuration]]+CRF_3[[#This Row],[Time Spent on Review/Testing]]</f>
        <v>NaN</v>
      </c>
      <c r="O672" s="1" t="s">
        <v>32</v>
      </c>
      <c r="P672" s="1" t="s">
        <v>483</v>
      </c>
      <c r="Q672" s="1" t="s">
        <v>488</v>
      </c>
      <c r="R672" s="11">
        <v>44634</v>
      </c>
      <c r="S672" s="1">
        <v>5</v>
      </c>
      <c r="U672" s="48"/>
    </row>
    <row r="673" spans="1:21" x14ac:dyDescent="0.25">
      <c r="A673" s="1" t="s">
        <v>3613</v>
      </c>
      <c r="B673" s="1">
        <v>2022</v>
      </c>
      <c r="C673" s="2" t="s">
        <v>4408</v>
      </c>
      <c r="D673" s="1" t="s">
        <v>25</v>
      </c>
      <c r="E673" s="1">
        <v>286168</v>
      </c>
      <c r="F673" s="1" t="s">
        <v>27</v>
      </c>
      <c r="G673" s="11">
        <v>44636</v>
      </c>
      <c r="H673" s="11" t="s">
        <v>38</v>
      </c>
      <c r="I673" s="2" t="s">
        <v>2730</v>
      </c>
      <c r="J673" s="2" t="s">
        <v>2730</v>
      </c>
      <c r="K673" s="12">
        <v>0.08333333333212067</v>
      </c>
      <c r="L673" s="12">
        <v>0.06666666666569654</v>
      </c>
      <c r="M673" s="13">
        <f>CRF_3[[#This Row],[Time Spent on Configuration]]+CRF_3[[#This Row],[Time Spent on Review/Testing]]</f>
        <v>NaN</v>
      </c>
      <c r="O673" s="1" t="s">
        <v>4207</v>
      </c>
      <c r="P673" s="1" t="s">
        <v>483</v>
      </c>
      <c r="Q673" s="1" t="s">
        <v>42</v>
      </c>
      <c r="R673" s="11">
        <v>44636</v>
      </c>
      <c r="S673" s="1">
        <v>5</v>
      </c>
      <c r="U673" s="48"/>
    </row>
    <row r="674" spans="1:21" x14ac:dyDescent="0.25">
      <c r="A674" s="1" t="s">
        <v>3613</v>
      </c>
      <c r="B674" s="1">
        <v>2022</v>
      </c>
      <c r="C674" s="2" t="s">
        <v>2315</v>
      </c>
      <c r="D674" s="1" t="s">
        <v>25</v>
      </c>
      <c r="E674" s="1">
        <v>286337</v>
      </c>
      <c r="F674" s="1" t="s">
        <v>37</v>
      </c>
      <c r="G674" s="11">
        <v>44637</v>
      </c>
      <c r="H674" s="11" t="s">
        <v>38</v>
      </c>
      <c r="I674" s="2" t="s">
        <v>2732</v>
      </c>
      <c r="J674" s="2" t="s">
        <v>2733</v>
      </c>
      <c r="K674" s="12">
        <v>0.024305555554747116</v>
      </c>
      <c r="L674" s="12">
        <v>0.03472222222262644</v>
      </c>
      <c r="M674" s="13">
        <f>CRF_3[[#This Row],[Time Spent on Configuration]]+CRF_3[[#This Row],[Time Spent on Review/Testing]]</f>
        <v>NaN</v>
      </c>
      <c r="O674" s="1" t="s">
        <v>4207</v>
      </c>
      <c r="P674" s="1" t="s">
        <v>483</v>
      </c>
      <c r="Q674" s="1" t="s">
        <v>484</v>
      </c>
      <c r="R674" s="11">
        <v>44637</v>
      </c>
      <c r="S674" s="1">
        <v>5</v>
      </c>
      <c r="U674" s="48"/>
    </row>
    <row r="675" spans="1:21" x14ac:dyDescent="0.25">
      <c r="A675" s="1" t="s">
        <v>3613</v>
      </c>
      <c r="B675" s="1">
        <v>2022</v>
      </c>
      <c r="C675" s="2" t="s">
        <v>525</v>
      </c>
      <c r="D675" s="1" t="s">
        <v>25</v>
      </c>
      <c r="E675" s="1">
        <v>286668</v>
      </c>
      <c r="F675" s="1" t="s">
        <v>27</v>
      </c>
      <c r="G675" s="11">
        <v>44641</v>
      </c>
      <c r="H675" s="14" t="s">
        <v>28</v>
      </c>
      <c r="I675" s="2" t="s">
        <v>2735</v>
      </c>
      <c r="J675" s="2" t="s">
        <v>2736</v>
      </c>
      <c r="K675" s="12">
        <v>0.027777777777373558</v>
      </c>
      <c r="L675" s="12">
        <v>0.04513888889050577</v>
      </c>
      <c r="M675" s="13">
        <f>CRF_3[[#This Row],[Time Spent on Configuration]]+CRF_3[[#This Row],[Time Spent on Review/Testing]]</f>
        <v>NaN</v>
      </c>
      <c r="O675" s="1" t="s">
        <v>32</v>
      </c>
      <c r="P675" s="1" t="s">
        <v>483</v>
      </c>
      <c r="Q675" s="1" t="s">
        <v>484</v>
      </c>
      <c r="R675" s="11">
        <v>44641</v>
      </c>
      <c r="S675" s="1">
        <v>5</v>
      </c>
      <c r="U675" s="48"/>
    </row>
    <row r="676" ht="30" customHeight="1" spans="1:21" x14ac:dyDescent="0.25">
      <c r="A676" s="1" t="s">
        <v>3613</v>
      </c>
      <c r="B676" s="1">
        <v>2022</v>
      </c>
      <c r="C676" s="2" t="s">
        <v>146</v>
      </c>
      <c r="D676" s="1" t="s">
        <v>186</v>
      </c>
      <c r="E676" s="1">
        <v>285445</v>
      </c>
      <c r="F676" s="1" t="s">
        <v>27</v>
      </c>
      <c r="G676" s="11">
        <v>44642</v>
      </c>
      <c r="H676" s="11" t="s">
        <v>38</v>
      </c>
      <c r="I676" s="2" t="s">
        <v>4409</v>
      </c>
      <c r="J676" s="2" t="s">
        <v>2739</v>
      </c>
      <c r="K676" s="12">
        <v>0.07083333333503106</v>
      </c>
      <c r="L676" s="12">
        <v>0.055555555554747116</v>
      </c>
      <c r="M676" s="13">
        <f>CRF_3[[#This Row],[Time Spent on Configuration]]+CRF_3[[#This Row],[Time Spent on Review/Testing]]</f>
        <v>NaN</v>
      </c>
      <c r="O676" s="1" t="s">
        <v>574</v>
      </c>
      <c r="P676" s="1" t="s">
        <v>483</v>
      </c>
      <c r="Q676" s="1" t="s">
        <v>488</v>
      </c>
      <c r="R676" s="11">
        <v>44642</v>
      </c>
      <c r="S676" s="1">
        <v>5</v>
      </c>
      <c r="U676" s="48"/>
    </row>
    <row r="677" ht="105" customHeight="1" spans="1:21" x14ac:dyDescent="0.25">
      <c r="A677" s="1" t="s">
        <v>3613</v>
      </c>
      <c r="B677" s="1">
        <v>2022</v>
      </c>
      <c r="C677" s="2" t="s">
        <v>510</v>
      </c>
      <c r="D677" s="1" t="s">
        <v>25</v>
      </c>
      <c r="E677" s="1">
        <v>286557</v>
      </c>
      <c r="F677" s="1" t="s">
        <v>27</v>
      </c>
      <c r="G677" s="11">
        <v>44644</v>
      </c>
      <c r="H677" s="14" t="s">
        <v>133</v>
      </c>
      <c r="I677" s="2" t="s">
        <v>4410</v>
      </c>
      <c r="J677" s="2" t="s">
        <v>4411</v>
      </c>
      <c r="K677" s="12">
        <v>0.03541666666569654</v>
      </c>
      <c r="L677" s="12">
        <v>0.04513888889050577</v>
      </c>
      <c r="M677" s="13">
        <f>CRF_3[[#This Row],[Time Spent on Configuration]]+CRF_3[[#This Row],[Time Spent on Review/Testing]]</f>
        <v>NaN</v>
      </c>
      <c r="O677" s="1" t="s">
        <v>31</v>
      </c>
      <c r="P677" s="1" t="s">
        <v>483</v>
      </c>
      <c r="Q677" s="1" t="s">
        <v>488</v>
      </c>
      <c r="R677" s="11">
        <v>44644</v>
      </c>
      <c r="S677" s="1">
        <v>5</v>
      </c>
      <c r="U677" s="48"/>
    </row>
    <row r="678" ht="45" customHeight="1" spans="1:21" x14ac:dyDescent="0.25">
      <c r="A678" s="1" t="s">
        <v>3613</v>
      </c>
      <c r="B678" s="1">
        <v>2022</v>
      </c>
      <c r="C678" s="2" t="s">
        <v>616</v>
      </c>
      <c r="D678" s="1" t="s">
        <v>617</v>
      </c>
      <c r="E678" s="1">
        <v>285069</v>
      </c>
      <c r="F678" s="1" t="s">
        <v>27</v>
      </c>
      <c r="G678" s="11">
        <v>44644</v>
      </c>
      <c r="H678" s="11" t="s">
        <v>38</v>
      </c>
      <c r="I678" s="2" t="s">
        <v>2744</v>
      </c>
      <c r="J678" s="2" t="s">
        <v>4412</v>
      </c>
      <c r="K678" s="12">
        <v>0.013888888890505768</v>
      </c>
      <c r="L678" s="12">
        <v>0.02569444444452529</v>
      </c>
      <c r="M678" s="13">
        <f>CRF_3[[#This Row],[Time Spent on Configuration]]+CRF_3[[#This Row],[Time Spent on Review/Testing]]</f>
        <v>NaN</v>
      </c>
      <c r="O678" s="1" t="s">
        <v>32</v>
      </c>
      <c r="P678" s="1" t="s">
        <v>483</v>
      </c>
      <c r="Q678" s="1" t="s">
        <v>484</v>
      </c>
      <c r="R678" s="11">
        <v>44644</v>
      </c>
      <c r="S678" s="1">
        <v>5</v>
      </c>
      <c r="U678" s="48"/>
    </row>
    <row r="679" ht="45" customHeight="1" spans="1:21" x14ac:dyDescent="0.25">
      <c r="A679" s="1" t="s">
        <v>3613</v>
      </c>
      <c r="B679" s="1">
        <v>2022</v>
      </c>
      <c r="C679" s="2" t="s">
        <v>99</v>
      </c>
      <c r="D679" s="1" t="s">
        <v>25</v>
      </c>
      <c r="E679" s="1">
        <v>287443</v>
      </c>
      <c r="F679" s="1" t="s">
        <v>27</v>
      </c>
      <c r="G679" s="11">
        <v>44648</v>
      </c>
      <c r="H679" s="11" t="s">
        <v>50</v>
      </c>
      <c r="I679" s="2" t="s">
        <v>2747</v>
      </c>
      <c r="J679" s="2" t="s">
        <v>4413</v>
      </c>
      <c r="K679" s="12">
        <v>0.01736111110949423</v>
      </c>
      <c r="L679" s="12">
        <v>0.041666666667879326</v>
      </c>
      <c r="M679" s="13">
        <f>CRF_3[[#This Row],[Time Spent on Configuration]]+CRF_3[[#This Row],[Time Spent on Review/Testing]]</f>
        <v>NaN</v>
      </c>
      <c r="O679" s="1" t="s">
        <v>32</v>
      </c>
      <c r="P679" s="1" t="s">
        <v>483</v>
      </c>
      <c r="Q679" s="1" t="s">
        <v>484</v>
      </c>
      <c r="R679" s="11">
        <v>44648</v>
      </c>
      <c r="S679" s="1">
        <v>5</v>
      </c>
      <c r="U679" s="48"/>
    </row>
    <row r="680" ht="45" customHeight="1" spans="1:21" x14ac:dyDescent="0.25">
      <c r="A680" s="1" t="s">
        <v>3613</v>
      </c>
      <c r="B680" s="1">
        <v>2022</v>
      </c>
      <c r="C680" s="2" t="s">
        <v>260</v>
      </c>
      <c r="D680" s="1" t="s">
        <v>261</v>
      </c>
      <c r="E680" s="1">
        <v>287060</v>
      </c>
      <c r="F680" s="1" t="s">
        <v>27</v>
      </c>
      <c r="G680" s="11">
        <v>44650</v>
      </c>
      <c r="H680" s="11" t="s">
        <v>50</v>
      </c>
      <c r="I680" s="2" t="s">
        <v>4414</v>
      </c>
      <c r="J680" s="2" t="s">
        <v>4415</v>
      </c>
      <c r="K680" s="12">
        <v>0.038194444445252884</v>
      </c>
      <c r="L680" s="12">
        <v>0.03125</v>
      </c>
      <c r="M680" s="13">
        <f>CRF_3[[#This Row],[Time Spent on Configuration]]+CRF_3[[#This Row],[Time Spent on Review/Testing]]</f>
        <v>NaN</v>
      </c>
      <c r="O680" s="1" t="s">
        <v>32</v>
      </c>
      <c r="P680" s="1" t="s">
        <v>483</v>
      </c>
      <c r="Q680" s="1" t="s">
        <v>42</v>
      </c>
      <c r="R680" s="11">
        <v>44650</v>
      </c>
      <c r="S680" s="1">
        <v>5</v>
      </c>
      <c r="U680" s="48"/>
    </row>
    <row r="681" ht="105" customHeight="1" spans="1:21" x14ac:dyDescent="0.25">
      <c r="A681" s="1" t="s">
        <v>3613</v>
      </c>
      <c r="B681" s="1">
        <v>2022</v>
      </c>
      <c r="C681" s="2" t="s">
        <v>146</v>
      </c>
      <c r="D681" s="1" t="s">
        <v>186</v>
      </c>
      <c r="E681" s="1">
        <v>287882</v>
      </c>
      <c r="F681" s="1" t="s">
        <v>27</v>
      </c>
      <c r="G681" s="11">
        <v>44651</v>
      </c>
      <c r="H681" s="11" t="s">
        <v>38</v>
      </c>
      <c r="I681" s="2" t="s">
        <v>4416</v>
      </c>
      <c r="J681" s="2" t="s">
        <v>4417</v>
      </c>
      <c r="K681" s="12">
        <v>0.01180555555401952</v>
      </c>
      <c r="L681" s="12">
        <v>0.03472222222262644</v>
      </c>
      <c r="M681" s="13">
        <f>CRF_3[[#This Row],[Time Spent on Configuration]]+CRF_3[[#This Row],[Time Spent on Review/Testing]]</f>
        <v>NaN</v>
      </c>
      <c r="O681" s="1" t="s">
        <v>574</v>
      </c>
      <c r="P681" s="1" t="s">
        <v>32</v>
      </c>
      <c r="Q681" s="1" t="s">
        <v>488</v>
      </c>
      <c r="R681" s="11">
        <v>44651</v>
      </c>
      <c r="S681" s="1">
        <v>5</v>
      </c>
      <c r="U681" s="48"/>
    </row>
    <row r="682" ht="60" customHeight="1" spans="1:21" x14ac:dyDescent="0.25">
      <c r="A682" s="1" t="s">
        <v>3613</v>
      </c>
      <c r="B682" s="1">
        <v>2022</v>
      </c>
      <c r="C682" s="2" t="s">
        <v>2582</v>
      </c>
      <c r="D682" s="1" t="s">
        <v>25</v>
      </c>
      <c r="E682" s="1">
        <v>285477</v>
      </c>
      <c r="F682" s="1" t="s">
        <v>27</v>
      </c>
      <c r="G682" s="11">
        <v>44651</v>
      </c>
      <c r="H682" s="11" t="s">
        <v>38</v>
      </c>
      <c r="I682" s="2" t="s">
        <v>4418</v>
      </c>
      <c r="J682" s="2" t="s">
        <v>4418</v>
      </c>
      <c r="K682" s="12">
        <v>0.055555555554747116</v>
      </c>
      <c r="L682" s="12">
        <v>0.0625</v>
      </c>
      <c r="M682" s="13">
        <f>CRF_3[[#This Row],[Time Spent on Configuration]]+CRF_3[[#This Row],[Time Spent on Review/Testing]]</f>
        <v>NaN</v>
      </c>
      <c r="O682" s="1" t="s">
        <v>31</v>
      </c>
      <c r="P682" s="1" t="s">
        <v>483</v>
      </c>
      <c r="Q682" s="1" t="s">
        <v>488</v>
      </c>
      <c r="R682" s="11">
        <v>44651</v>
      </c>
      <c r="S682" s="1">
        <v>5</v>
      </c>
      <c r="U682" s="48"/>
    </row>
    <row r="683" ht="75" customHeight="1" spans="1:21" x14ac:dyDescent="0.25">
      <c r="A683" s="1" t="s">
        <v>3624</v>
      </c>
      <c r="B683" s="1">
        <v>2022</v>
      </c>
      <c r="C683" s="2" t="s">
        <v>284</v>
      </c>
      <c r="D683" s="1" t="s">
        <v>285</v>
      </c>
      <c r="E683" s="1">
        <v>288286</v>
      </c>
      <c r="F683" s="1" t="s">
        <v>27</v>
      </c>
      <c r="G683" s="11">
        <v>44657</v>
      </c>
      <c r="H683" s="14" t="s">
        <v>133</v>
      </c>
      <c r="I683" s="2" t="s">
        <v>4419</v>
      </c>
      <c r="J683" s="2" t="s">
        <v>4420</v>
      </c>
      <c r="K683" s="12">
        <v>0.013888888890505768</v>
      </c>
      <c r="L683" s="12">
        <v>0.030555555556929903</v>
      </c>
      <c r="M683" s="13">
        <f>CRF_3[[#This Row],[Time Spent on Configuration]]+CRF_3[[#This Row],[Time Spent on Review/Testing]]</f>
        <v>NaN</v>
      </c>
      <c r="O683" s="1" t="s">
        <v>32</v>
      </c>
      <c r="P683" s="1" t="s">
        <v>483</v>
      </c>
      <c r="Q683" s="1" t="s">
        <v>484</v>
      </c>
      <c r="R683" s="11">
        <v>44657</v>
      </c>
      <c r="S683" s="1">
        <v>5</v>
      </c>
      <c r="U683" s="48"/>
    </row>
    <row r="684" ht="30" customHeight="1" spans="1:21" x14ac:dyDescent="0.25">
      <c r="A684" s="1" t="s">
        <v>3624</v>
      </c>
      <c r="B684" s="1">
        <v>2022</v>
      </c>
      <c r="C684" s="2" t="s">
        <v>258</v>
      </c>
      <c r="D684" s="1" t="s">
        <v>25</v>
      </c>
      <c r="E684" s="1">
        <v>288451</v>
      </c>
      <c r="F684" s="1" t="s">
        <v>27</v>
      </c>
      <c r="G684" s="11">
        <v>44662</v>
      </c>
      <c r="H684" s="11" t="s">
        <v>38</v>
      </c>
      <c r="I684" s="2" t="s">
        <v>2761</v>
      </c>
      <c r="J684" s="2" t="s">
        <v>2761</v>
      </c>
      <c r="K684" s="12">
        <v>0.030555555556929903</v>
      </c>
      <c r="L684" s="12">
        <v>0.03125</v>
      </c>
      <c r="M684" s="13">
        <f>CRF_3[[#This Row],[Time Spent on Configuration]]+CRF_3[[#This Row],[Time Spent on Review/Testing]]</f>
        <v>NaN</v>
      </c>
      <c r="O684" s="1" t="s">
        <v>574</v>
      </c>
      <c r="P684" s="1" t="s">
        <v>32</v>
      </c>
      <c r="Q684" s="1" t="s">
        <v>488</v>
      </c>
      <c r="R684" s="11">
        <v>44662</v>
      </c>
      <c r="S684" s="1">
        <v>5</v>
      </c>
      <c r="U684" s="48"/>
    </row>
    <row r="685" ht="75" customHeight="1" spans="1:21" x14ac:dyDescent="0.25">
      <c r="A685" s="1" t="s">
        <v>3624</v>
      </c>
      <c r="B685" s="1">
        <v>2022</v>
      </c>
      <c r="C685" s="2" t="s">
        <v>258</v>
      </c>
      <c r="D685" s="1" t="s">
        <v>25</v>
      </c>
      <c r="E685" s="1">
        <v>288897</v>
      </c>
      <c r="F685" s="1" t="s">
        <v>27</v>
      </c>
      <c r="G685" s="11">
        <v>44664</v>
      </c>
      <c r="H685" s="14" t="s">
        <v>28</v>
      </c>
      <c r="I685" s="2" t="s">
        <v>4421</v>
      </c>
      <c r="J685" s="2" t="s">
        <v>4422</v>
      </c>
      <c r="K685" s="12">
        <v>0.024305555554747116</v>
      </c>
      <c r="L685" s="12">
        <v>0.052083333332120674</v>
      </c>
      <c r="M685" s="13">
        <f>CRF_3[[#This Row],[Time Spent on Configuration]]+CRF_3[[#This Row],[Time Spent on Review/Testing]]</f>
        <v>NaN</v>
      </c>
      <c r="O685" s="1" t="s">
        <v>32</v>
      </c>
      <c r="P685" s="1" t="s">
        <v>483</v>
      </c>
      <c r="Q685" s="1" t="s">
        <v>488</v>
      </c>
      <c r="R685" s="11">
        <v>44664</v>
      </c>
      <c r="S685" s="1">
        <v>5</v>
      </c>
      <c r="U685" s="48"/>
    </row>
    <row r="686" ht="45" customHeight="1" spans="1:21" x14ac:dyDescent="0.25">
      <c r="A686" s="1" t="s">
        <v>3624</v>
      </c>
      <c r="B686" s="1">
        <v>2022</v>
      </c>
      <c r="C686" s="2" t="s">
        <v>258</v>
      </c>
      <c r="D686" s="1" t="s">
        <v>25</v>
      </c>
      <c r="E686" s="1">
        <v>288929</v>
      </c>
      <c r="F686" s="1" t="s">
        <v>27</v>
      </c>
      <c r="G686" s="11">
        <v>44664</v>
      </c>
      <c r="H686" s="11" t="s">
        <v>38</v>
      </c>
      <c r="I686" s="2" t="s">
        <v>4423</v>
      </c>
      <c r="J686" s="2" t="s">
        <v>4423</v>
      </c>
      <c r="K686" s="12">
        <v>0.03472222222262644</v>
      </c>
      <c r="L686" s="12">
        <v>0.03472222222262644</v>
      </c>
      <c r="M686" s="13">
        <f>CRF_3[[#This Row],[Time Spent on Configuration]]+CRF_3[[#This Row],[Time Spent on Review/Testing]]</f>
        <v>NaN</v>
      </c>
      <c r="O686" s="1" t="s">
        <v>31</v>
      </c>
      <c r="P686" s="1" t="s">
        <v>483</v>
      </c>
      <c r="Q686" s="1" t="s">
        <v>488</v>
      </c>
      <c r="R686" s="11">
        <v>44664</v>
      </c>
      <c r="S686" s="1">
        <v>5</v>
      </c>
      <c r="U686" s="48"/>
    </row>
    <row r="687" ht="75" customHeight="1" spans="1:21" x14ac:dyDescent="0.25">
      <c r="A687" s="1" t="s">
        <v>3624</v>
      </c>
      <c r="B687" s="1">
        <v>2022</v>
      </c>
      <c r="C687" s="2" t="s">
        <v>2582</v>
      </c>
      <c r="D687" s="1" t="s">
        <v>25</v>
      </c>
      <c r="E687" s="1">
        <v>290104</v>
      </c>
      <c r="F687" s="1" t="s">
        <v>27</v>
      </c>
      <c r="G687" s="11">
        <v>44676</v>
      </c>
      <c r="H687" s="11" t="s">
        <v>38</v>
      </c>
      <c r="I687" s="2" t="s">
        <v>4424</v>
      </c>
      <c r="J687" s="2" t="s">
        <v>4425</v>
      </c>
      <c r="K687" s="12">
        <v>0.010416666667879326</v>
      </c>
      <c r="L687" s="12">
        <v>0.02361111111167702</v>
      </c>
      <c r="M687" s="13">
        <f>CRF_3[[#This Row],[Time Spent on Configuration]]+CRF_3[[#This Row],[Time Spent on Review/Testing]]</f>
        <v>NaN</v>
      </c>
      <c r="O687" s="1" t="s">
        <v>32</v>
      </c>
      <c r="P687" s="1" t="s">
        <v>483</v>
      </c>
      <c r="Q687" s="1" t="s">
        <v>488</v>
      </c>
      <c r="R687" s="11">
        <v>44676</v>
      </c>
      <c r="S687" s="1">
        <v>5</v>
      </c>
      <c r="U687" s="48"/>
    </row>
    <row r="688" ht="90" customHeight="1" spans="1:21" x14ac:dyDescent="0.25">
      <c r="A688" s="1" t="s">
        <v>3624</v>
      </c>
      <c r="B688" s="1">
        <v>2022</v>
      </c>
      <c r="C688" s="2" t="s">
        <v>113</v>
      </c>
      <c r="D688" s="1" t="s">
        <v>25</v>
      </c>
      <c r="E688" s="1">
        <v>289343</v>
      </c>
      <c r="F688" s="1" t="s">
        <v>27</v>
      </c>
      <c r="G688" s="11">
        <v>44681</v>
      </c>
      <c r="H688" s="11" t="s">
        <v>38</v>
      </c>
      <c r="I688" s="2" t="s">
        <v>4426</v>
      </c>
      <c r="J688" s="2" t="s">
        <v>4427</v>
      </c>
      <c r="K688" s="12">
        <v>0.020833333332120674</v>
      </c>
      <c r="L688" s="12">
        <v>0.015972222223354038</v>
      </c>
      <c r="M688" s="13">
        <f>CRF_3[[#This Row],[Time Spent on Configuration]]+CRF_3[[#This Row],[Time Spent on Review/Testing]]</f>
        <v>NaN</v>
      </c>
      <c r="O688" s="1" t="s">
        <v>4207</v>
      </c>
      <c r="P688" s="1" t="s">
        <v>483</v>
      </c>
      <c r="Q688" s="1" t="s">
        <v>484</v>
      </c>
      <c r="R688" s="11">
        <v>44681</v>
      </c>
      <c r="S688" s="1">
        <v>5</v>
      </c>
      <c r="U688" s="48"/>
    </row>
    <row r="689" ht="30" customHeight="1" spans="1:21" x14ac:dyDescent="0.25">
      <c r="A689" s="1" t="s">
        <v>3646</v>
      </c>
      <c r="B689" s="1">
        <v>2022</v>
      </c>
      <c r="C689" s="2" t="s">
        <v>43</v>
      </c>
      <c r="D689" s="1" t="s">
        <v>44</v>
      </c>
      <c r="E689" s="1">
        <v>289083</v>
      </c>
      <c r="F689" s="1" t="s">
        <v>37</v>
      </c>
      <c r="G689" s="11">
        <v>44686</v>
      </c>
      <c r="H689" s="11" t="s">
        <v>2775</v>
      </c>
      <c r="I689" s="2" t="s">
        <v>2776</v>
      </c>
      <c r="J689" s="2" t="s">
        <v>2777</v>
      </c>
      <c r="K689" s="12">
        <v>0.010416666667879326</v>
      </c>
      <c r="L689" s="12">
        <v>0.020833333332120674</v>
      </c>
      <c r="M689" s="13">
        <f>CRF_3[[#This Row],[Time Spent on Configuration]]+CRF_3[[#This Row],[Time Spent on Review/Testing]]</f>
        <v>NaN</v>
      </c>
      <c r="O689" s="1" t="s">
        <v>574</v>
      </c>
      <c r="P689" s="1" t="s">
        <v>483</v>
      </c>
      <c r="Q689" s="1" t="s">
        <v>484</v>
      </c>
      <c r="R689" s="11">
        <v>44686</v>
      </c>
      <c r="S689" s="1">
        <v>5</v>
      </c>
      <c r="U689" s="48"/>
    </row>
    <row r="690" spans="1:21" x14ac:dyDescent="0.25">
      <c r="A690" s="1" t="s">
        <v>3646</v>
      </c>
      <c r="B690" s="1">
        <v>2022</v>
      </c>
      <c r="C690" s="2" t="s">
        <v>489</v>
      </c>
      <c r="D690" s="1" t="s">
        <v>490</v>
      </c>
      <c r="E690" s="1">
        <v>291597</v>
      </c>
      <c r="F690" s="1" t="s">
        <v>37</v>
      </c>
      <c r="G690" s="11">
        <v>44691</v>
      </c>
      <c r="H690" s="11" t="s">
        <v>38</v>
      </c>
      <c r="I690" s="2" t="s">
        <v>2779</v>
      </c>
      <c r="J690" s="2" t="s">
        <v>4428</v>
      </c>
      <c r="K690" s="12">
        <v>0.041666666667879326</v>
      </c>
      <c r="L690" s="12">
        <v>0.03472222222262644</v>
      </c>
      <c r="M690" s="13">
        <f>CRF_3[[#This Row],[Time Spent on Configuration]]+CRF_3[[#This Row],[Time Spent on Review/Testing]]</f>
        <v>NaN</v>
      </c>
      <c r="O690" s="1" t="s">
        <v>574</v>
      </c>
      <c r="P690" s="1" t="s">
        <v>483</v>
      </c>
      <c r="Q690" s="1" t="s">
        <v>488</v>
      </c>
      <c r="R690" s="11">
        <v>44691</v>
      </c>
      <c r="S690" s="1">
        <v>5</v>
      </c>
      <c r="U690" s="48"/>
    </row>
    <row r="691" spans="1:21" x14ac:dyDescent="0.25">
      <c r="A691" s="1" t="s">
        <v>3646</v>
      </c>
      <c r="B691" s="1">
        <v>2022</v>
      </c>
      <c r="C691" s="2" t="s">
        <v>529</v>
      </c>
      <c r="D691" s="1" t="s">
        <v>1924</v>
      </c>
      <c r="E691" s="1">
        <v>291726</v>
      </c>
      <c r="F691" s="1" t="s">
        <v>37</v>
      </c>
      <c r="G691" s="11">
        <v>44692</v>
      </c>
      <c r="H691" s="14" t="s">
        <v>28</v>
      </c>
      <c r="I691" s="2" t="s">
        <v>2782</v>
      </c>
      <c r="J691" s="2" t="s">
        <v>2783</v>
      </c>
      <c r="K691" s="12">
        <v>0.027777777777373558</v>
      </c>
      <c r="L691" s="12">
        <v>0.04861111110949423</v>
      </c>
      <c r="M691" s="13">
        <f>CRF_3[[#This Row],[Time Spent on Configuration]]+CRF_3[[#This Row],[Time Spent on Review/Testing]]</f>
        <v>NaN</v>
      </c>
      <c r="O691" s="1" t="s">
        <v>574</v>
      </c>
      <c r="P691" s="1" t="s">
        <v>483</v>
      </c>
      <c r="Q691" s="1" t="s">
        <v>484</v>
      </c>
      <c r="R691" s="11">
        <v>44692</v>
      </c>
      <c r="S691" s="1">
        <v>5</v>
      </c>
      <c r="U691" s="48"/>
    </row>
    <row r="692" spans="1:21" x14ac:dyDescent="0.25">
      <c r="A692" s="1" t="s">
        <v>3646</v>
      </c>
      <c r="B692" s="1">
        <v>2022</v>
      </c>
      <c r="C692" s="2" t="s">
        <v>199</v>
      </c>
      <c r="D692" s="1" t="s">
        <v>541</v>
      </c>
      <c r="E692" s="1">
        <v>291789</v>
      </c>
      <c r="F692" s="1" t="s">
        <v>37</v>
      </c>
      <c r="G692" s="11">
        <v>44692</v>
      </c>
      <c r="H692" s="14" t="s">
        <v>28</v>
      </c>
      <c r="I692" s="2" t="s">
        <v>2785</v>
      </c>
      <c r="J692" s="2" t="s">
        <v>2786</v>
      </c>
      <c r="K692" s="12">
        <v>0.010416666667879326</v>
      </c>
      <c r="L692" s="12">
        <v>0.024305555554747116</v>
      </c>
      <c r="M692" s="13">
        <f>CRF_3[[#This Row],[Time Spent on Configuration]]+CRF_3[[#This Row],[Time Spent on Review/Testing]]</f>
        <v>NaN</v>
      </c>
      <c r="O692" s="1" t="s">
        <v>483</v>
      </c>
      <c r="P692" s="1" t="s">
        <v>32</v>
      </c>
      <c r="Q692" s="1" t="s">
        <v>488</v>
      </c>
      <c r="R692" s="11">
        <v>44692</v>
      </c>
      <c r="S692" s="1">
        <v>5</v>
      </c>
      <c r="U692" s="48"/>
    </row>
    <row r="693" spans="1:21" x14ac:dyDescent="0.25">
      <c r="A693" s="1" t="s">
        <v>3646</v>
      </c>
      <c r="B693" s="1">
        <v>2022</v>
      </c>
      <c r="C693" s="2" t="s">
        <v>43</v>
      </c>
      <c r="D693" s="1" t="s">
        <v>44</v>
      </c>
      <c r="E693" s="1">
        <v>291623</v>
      </c>
      <c r="F693" s="1" t="s">
        <v>37</v>
      </c>
      <c r="G693" s="11">
        <v>44694</v>
      </c>
      <c r="H693" s="11" t="s">
        <v>2775</v>
      </c>
      <c r="I693" s="2" t="s">
        <v>2788</v>
      </c>
      <c r="J693" s="2" t="s">
        <v>2788</v>
      </c>
      <c r="K693" s="12">
        <v>0.010416666667879326</v>
      </c>
      <c r="L693" s="12">
        <v>0.013888888890505768</v>
      </c>
      <c r="M693" s="13">
        <f>CRF_3[[#This Row],[Time Spent on Configuration]]+CRF_3[[#This Row],[Time Spent on Review/Testing]]</f>
        <v>NaN</v>
      </c>
      <c r="O693" s="1" t="s">
        <v>574</v>
      </c>
      <c r="P693" s="1" t="s">
        <v>32</v>
      </c>
      <c r="Q693" s="1" t="s">
        <v>484</v>
      </c>
      <c r="R693" s="11">
        <v>44694</v>
      </c>
      <c r="S693" s="1">
        <v>5</v>
      </c>
      <c r="U693" s="48"/>
    </row>
    <row r="694" ht="60" customHeight="1" spans="1:21" x14ac:dyDescent="0.25">
      <c r="A694" s="1" t="s">
        <v>3646</v>
      </c>
      <c r="B694" s="1">
        <v>2022</v>
      </c>
      <c r="C694" s="2" t="s">
        <v>163</v>
      </c>
      <c r="D694" s="1" t="s">
        <v>25</v>
      </c>
      <c r="E694" s="1">
        <v>292661</v>
      </c>
      <c r="F694" s="1" t="s">
        <v>37</v>
      </c>
      <c r="G694" s="11">
        <v>44699</v>
      </c>
      <c r="H694" s="11" t="s">
        <v>2775</v>
      </c>
      <c r="I694" s="2" t="s">
        <v>4429</v>
      </c>
      <c r="J694" s="2" t="s">
        <v>4430</v>
      </c>
      <c r="K694" s="12">
        <v>0.020833333332120674</v>
      </c>
      <c r="L694" s="12">
        <v>0.006944444445252884</v>
      </c>
      <c r="M694" s="13">
        <f>CRF_3[[#This Row],[Time Spent on Configuration]]+CRF_3[[#This Row],[Time Spent on Review/Testing]]</f>
        <v>NaN</v>
      </c>
      <c r="O694" s="1" t="s">
        <v>31</v>
      </c>
      <c r="P694" s="1" t="s">
        <v>32</v>
      </c>
      <c r="Q694" s="1" t="s">
        <v>488</v>
      </c>
      <c r="R694" s="11">
        <v>44699</v>
      </c>
      <c r="S694" s="1">
        <v>5</v>
      </c>
      <c r="U694" s="48"/>
    </row>
    <row r="695" spans="1:21" x14ac:dyDescent="0.25">
      <c r="A695" s="1" t="s">
        <v>3646</v>
      </c>
      <c r="B695" s="1">
        <v>2022</v>
      </c>
      <c r="C695" s="2" t="s">
        <v>545</v>
      </c>
      <c r="D695" s="1" t="s">
        <v>963</v>
      </c>
      <c r="E695" s="1">
        <v>292959</v>
      </c>
      <c r="F695" s="1" t="s">
        <v>37</v>
      </c>
      <c r="G695" s="11">
        <v>44701</v>
      </c>
      <c r="H695" s="11" t="s">
        <v>2793</v>
      </c>
      <c r="I695" s="2" t="s">
        <v>2794</v>
      </c>
      <c r="J695" s="2" t="s">
        <v>2794</v>
      </c>
      <c r="K695" s="12">
        <v>0.010416666667879326</v>
      </c>
      <c r="L695" s="12">
        <v>0.027777777777373558</v>
      </c>
      <c r="M695" s="13">
        <f>CRF_3[[#This Row],[Time Spent on Configuration]]+CRF_3[[#This Row],[Time Spent on Review/Testing]]</f>
        <v>NaN</v>
      </c>
      <c r="O695" s="1" t="s">
        <v>574</v>
      </c>
      <c r="P695" s="1" t="s">
        <v>32</v>
      </c>
      <c r="Q695" s="1" t="s">
        <v>484</v>
      </c>
      <c r="R695" s="11">
        <v>44701</v>
      </c>
      <c r="S695" s="1">
        <v>5</v>
      </c>
      <c r="U695" s="48"/>
    </row>
    <row r="696" spans="1:21" x14ac:dyDescent="0.25">
      <c r="A696" s="1" t="s">
        <v>3646</v>
      </c>
      <c r="B696" s="1">
        <v>2022</v>
      </c>
      <c r="C696" s="2" t="s">
        <v>163</v>
      </c>
      <c r="D696" s="1" t="s">
        <v>25</v>
      </c>
      <c r="E696" s="1">
        <v>293091</v>
      </c>
      <c r="F696" s="1" t="s">
        <v>37</v>
      </c>
      <c r="G696" s="11">
        <v>44706</v>
      </c>
      <c r="H696" s="14" t="s">
        <v>133</v>
      </c>
      <c r="I696" s="2" t="s">
        <v>4431</v>
      </c>
      <c r="J696" s="2" t="s">
        <v>4432</v>
      </c>
      <c r="K696" s="12">
        <v>0.013888888890505768</v>
      </c>
      <c r="L696" s="12">
        <v>0.02500000000145519</v>
      </c>
      <c r="M696" s="13">
        <f>CRF_3[[#This Row],[Time Spent on Configuration]]+CRF_3[[#This Row],[Time Spent on Review/Testing]]</f>
        <v>NaN</v>
      </c>
      <c r="O696" s="1" t="s">
        <v>31</v>
      </c>
      <c r="P696" s="1" t="s">
        <v>483</v>
      </c>
      <c r="Q696" s="1" t="s">
        <v>488</v>
      </c>
      <c r="R696" s="11">
        <v>44706</v>
      </c>
      <c r="S696" s="1">
        <v>5</v>
      </c>
      <c r="U696" s="48"/>
    </row>
    <row r="697" ht="75" customHeight="1" spans="1:21" x14ac:dyDescent="0.25">
      <c r="A697" s="1" t="s">
        <v>3646</v>
      </c>
      <c r="B697" s="1">
        <v>2022</v>
      </c>
      <c r="C697" s="2" t="s">
        <v>258</v>
      </c>
      <c r="D697" s="1" t="s">
        <v>25</v>
      </c>
      <c r="E697" s="1">
        <v>293870</v>
      </c>
      <c r="F697" s="1" t="s">
        <v>27</v>
      </c>
      <c r="G697" s="11">
        <v>44707</v>
      </c>
      <c r="H697" s="11" t="s">
        <v>38</v>
      </c>
      <c r="I697" s="2" t="s">
        <v>4433</v>
      </c>
      <c r="J697" s="2" t="s">
        <v>4434</v>
      </c>
      <c r="K697" s="12">
        <v>0.020833333332120674</v>
      </c>
      <c r="L697" s="12">
        <v>0.07986111110949423</v>
      </c>
      <c r="M697" s="13">
        <f>CRF_3[[#This Row],[Time Spent on Configuration]]+CRF_3[[#This Row],[Time Spent on Review/Testing]]</f>
        <v>NaN</v>
      </c>
      <c r="O697" s="1" t="s">
        <v>32</v>
      </c>
      <c r="P697" s="1" t="s">
        <v>483</v>
      </c>
      <c r="Q697" s="1" t="s">
        <v>488</v>
      </c>
      <c r="R697" s="11">
        <v>44707</v>
      </c>
      <c r="S697" s="1">
        <v>5</v>
      </c>
      <c r="U697" s="48"/>
    </row>
    <row r="698" ht="30" customHeight="1" spans="1:21" x14ac:dyDescent="0.25">
      <c r="A698" s="1" t="s">
        <v>3646</v>
      </c>
      <c r="B698" s="1">
        <v>2022</v>
      </c>
      <c r="C698" s="2" t="s">
        <v>163</v>
      </c>
      <c r="D698" s="1" t="s">
        <v>25</v>
      </c>
      <c r="E698" s="1">
        <v>292935</v>
      </c>
      <c r="F698" s="1" t="s">
        <v>27</v>
      </c>
      <c r="G698" s="11">
        <v>44707</v>
      </c>
      <c r="H698" s="11" t="s">
        <v>38</v>
      </c>
      <c r="I698" s="2" t="s">
        <v>4435</v>
      </c>
      <c r="J698" s="2" t="s">
        <v>2803</v>
      </c>
      <c r="K698" s="12">
        <v>0.010416666667879326</v>
      </c>
      <c r="L698" s="12">
        <v>0.020833333332120674</v>
      </c>
      <c r="M698" s="13">
        <f>CRF_3[[#This Row],[Time Spent on Configuration]]+CRF_3[[#This Row],[Time Spent on Review/Testing]]</f>
        <v>NaN</v>
      </c>
      <c r="O698" s="1" t="s">
        <v>31</v>
      </c>
      <c r="P698" s="1" t="s">
        <v>32</v>
      </c>
      <c r="Q698" s="1" t="s">
        <v>488</v>
      </c>
      <c r="R698" s="11">
        <v>44707</v>
      </c>
      <c r="S698" s="1">
        <v>5</v>
      </c>
      <c r="U698" s="48"/>
    </row>
    <row r="699" ht="45" customHeight="1" spans="1:21" x14ac:dyDescent="0.25">
      <c r="A699" s="1" t="s">
        <v>3646</v>
      </c>
      <c r="B699" s="1">
        <v>2022</v>
      </c>
      <c r="C699" s="2" t="s">
        <v>163</v>
      </c>
      <c r="D699" s="1" t="s">
        <v>25</v>
      </c>
      <c r="E699" s="1">
        <v>292661</v>
      </c>
      <c r="F699" s="1" t="s">
        <v>37</v>
      </c>
      <c r="G699" s="11">
        <v>44708</v>
      </c>
      <c r="H699" s="11" t="s">
        <v>38</v>
      </c>
      <c r="I699" s="2" t="s">
        <v>2804</v>
      </c>
      <c r="J699" s="2" t="s">
        <v>4436</v>
      </c>
      <c r="K699" s="12">
        <v>0.013888888890505768</v>
      </c>
      <c r="L699" s="12">
        <v>0.020833333332120674</v>
      </c>
      <c r="M699" s="13">
        <f>CRF_3[[#This Row],[Time Spent on Configuration]]+CRF_3[[#This Row],[Time Spent on Review/Testing]]</f>
        <v>NaN</v>
      </c>
      <c r="O699" s="1" t="s">
        <v>32</v>
      </c>
      <c r="P699" s="1" t="s">
        <v>483</v>
      </c>
      <c r="Q699" s="1" t="s">
        <v>488</v>
      </c>
      <c r="R699" s="11">
        <v>44708</v>
      </c>
      <c r="S699" s="1">
        <v>5</v>
      </c>
      <c r="U699" s="48"/>
    </row>
    <row r="700" ht="90" customHeight="1" spans="1:21" x14ac:dyDescent="0.25">
      <c r="A700" s="1" t="s">
        <v>3646</v>
      </c>
      <c r="B700" s="1">
        <v>2022</v>
      </c>
      <c r="C700" s="2" t="s">
        <v>2315</v>
      </c>
      <c r="D700" s="1" t="s">
        <v>25</v>
      </c>
      <c r="E700" s="1">
        <v>293058</v>
      </c>
      <c r="F700" s="1" t="s">
        <v>37</v>
      </c>
      <c r="G700" s="11">
        <v>44709</v>
      </c>
      <c r="H700" s="11" t="s">
        <v>38</v>
      </c>
      <c r="I700" s="2" t="s">
        <v>4437</v>
      </c>
      <c r="J700" s="2" t="s">
        <v>4438</v>
      </c>
      <c r="K700" s="12">
        <v>0.013888888890505768</v>
      </c>
      <c r="L700" s="12">
        <v>0.027777777777373558</v>
      </c>
      <c r="M700" s="13">
        <f>CRF_3[[#This Row],[Time Spent on Configuration]]+CRF_3[[#This Row],[Time Spent on Review/Testing]]</f>
        <v>NaN</v>
      </c>
      <c r="O700" s="1" t="s">
        <v>32</v>
      </c>
      <c r="P700" s="1" t="s">
        <v>483</v>
      </c>
      <c r="Q700" s="1" t="s">
        <v>484</v>
      </c>
      <c r="R700" s="11">
        <v>44709</v>
      </c>
      <c r="S700" s="1">
        <v>5</v>
      </c>
      <c r="U700" s="48"/>
    </row>
    <row r="701" ht="105" customHeight="1" spans="1:21" x14ac:dyDescent="0.25">
      <c r="A701" s="1" t="s">
        <v>3663</v>
      </c>
      <c r="B701" s="1">
        <v>2022</v>
      </c>
      <c r="C701" s="2" t="s">
        <v>163</v>
      </c>
      <c r="D701" s="1" t="s">
        <v>25</v>
      </c>
      <c r="E701" s="1">
        <v>294075</v>
      </c>
      <c r="F701" s="1" t="s">
        <v>27</v>
      </c>
      <c r="G701" s="11">
        <v>44713</v>
      </c>
      <c r="H701" s="11" t="s">
        <v>38</v>
      </c>
      <c r="I701" s="2" t="s">
        <v>4439</v>
      </c>
      <c r="J701" s="2" t="s">
        <v>4440</v>
      </c>
      <c r="K701" s="12">
        <v>0.020833333332120674</v>
      </c>
      <c r="L701" s="12">
        <v>0.027777777777373558</v>
      </c>
      <c r="M701" s="13">
        <f>CRF_3[[#This Row],[Time Spent on Configuration]]+CRF_3[[#This Row],[Time Spent on Review/Testing]]</f>
        <v>NaN</v>
      </c>
      <c r="O701" s="1" t="s">
        <v>32</v>
      </c>
      <c r="P701" s="1" t="s">
        <v>483</v>
      </c>
      <c r="Q701" s="1" t="s">
        <v>488</v>
      </c>
      <c r="R701" s="11">
        <v>44713</v>
      </c>
      <c r="S701" s="1">
        <v>5</v>
      </c>
      <c r="U701" s="48"/>
    </row>
    <row r="702" ht="105" customHeight="1" spans="1:21" x14ac:dyDescent="0.25">
      <c r="A702" s="1" t="s">
        <v>3663</v>
      </c>
      <c r="B702" s="1">
        <v>2022</v>
      </c>
      <c r="C702" s="2" t="s">
        <v>2813</v>
      </c>
      <c r="D702" s="1" t="s">
        <v>25</v>
      </c>
      <c r="E702" s="1">
        <v>294318</v>
      </c>
      <c r="F702" s="1" t="s">
        <v>27</v>
      </c>
      <c r="G702" s="11">
        <v>44713</v>
      </c>
      <c r="H702" s="11" t="s">
        <v>38</v>
      </c>
      <c r="I702" s="2" t="s">
        <v>4441</v>
      </c>
      <c r="J702" s="2" t="s">
        <v>4442</v>
      </c>
      <c r="K702" s="12">
        <v>0.020833333332120674</v>
      </c>
      <c r="L702" s="12">
        <v>0.029861111110221827</v>
      </c>
      <c r="M702" s="13">
        <f>CRF_3[[#This Row],[Time Spent on Configuration]]+CRF_3[[#This Row],[Time Spent on Review/Testing]]</f>
        <v>NaN</v>
      </c>
      <c r="O702" s="1" t="s">
        <v>32</v>
      </c>
      <c r="P702" s="1" t="s">
        <v>483</v>
      </c>
      <c r="Q702" s="1" t="s">
        <v>488</v>
      </c>
      <c r="R702" s="11">
        <v>44713</v>
      </c>
      <c r="S702" s="1">
        <v>5</v>
      </c>
      <c r="U702" s="48"/>
    </row>
    <row r="703" ht="60" customHeight="1" spans="1:21" x14ac:dyDescent="0.25">
      <c r="A703" s="1" t="s">
        <v>3663</v>
      </c>
      <c r="B703" s="1">
        <v>2022</v>
      </c>
      <c r="C703" s="2" t="s">
        <v>2813</v>
      </c>
      <c r="D703" s="1" t="s">
        <v>25</v>
      </c>
      <c r="E703" s="1">
        <v>294318</v>
      </c>
      <c r="F703" s="1" t="s">
        <v>27</v>
      </c>
      <c r="G703" s="11">
        <v>44721</v>
      </c>
      <c r="H703" s="11" t="s">
        <v>38</v>
      </c>
      <c r="I703" s="2" t="s">
        <v>4443</v>
      </c>
      <c r="J703" s="2" t="s">
        <v>2818</v>
      </c>
      <c r="K703" s="12">
        <v>0.01736111110949423</v>
      </c>
      <c r="L703" s="12">
        <v>0.038194444445252884</v>
      </c>
      <c r="M703" s="13">
        <f>CRF_3[[#This Row],[Time Spent on Configuration]]+CRF_3[[#This Row],[Time Spent on Review/Testing]]</f>
        <v>NaN</v>
      </c>
      <c r="O703" s="1" t="s">
        <v>32</v>
      </c>
      <c r="P703" s="1" t="s">
        <v>483</v>
      </c>
      <c r="Q703" s="1" t="s">
        <v>488</v>
      </c>
      <c r="R703" s="11">
        <v>44721</v>
      </c>
      <c r="S703" s="1">
        <v>5</v>
      </c>
      <c r="U703" s="48"/>
    </row>
    <row r="704" ht="30" customHeight="1" spans="1:21" x14ac:dyDescent="0.25">
      <c r="A704" s="1" t="s">
        <v>3663</v>
      </c>
      <c r="B704" s="1">
        <v>2022</v>
      </c>
      <c r="C704" s="2" t="s">
        <v>2514</v>
      </c>
      <c r="D704" s="1" t="s">
        <v>1631</v>
      </c>
      <c r="E704" s="1">
        <v>295135</v>
      </c>
      <c r="F704" s="1" t="s">
        <v>27</v>
      </c>
      <c r="G704" s="11">
        <v>44721</v>
      </c>
      <c r="H704" s="11" t="s">
        <v>38</v>
      </c>
      <c r="I704" s="2" t="s">
        <v>4444</v>
      </c>
      <c r="J704" s="2" t="s">
        <v>4445</v>
      </c>
      <c r="K704" s="12">
        <v>0.09375</v>
      </c>
      <c r="L704" s="12">
        <v>0.07291666666787933</v>
      </c>
      <c r="M704" s="13">
        <f>CRF_3[[#This Row],[Time Spent on Configuration]]+CRF_3[[#This Row],[Time Spent on Review/Testing]]</f>
        <v>NaN</v>
      </c>
      <c r="O704" s="1" t="s">
        <v>31</v>
      </c>
      <c r="P704" s="1" t="s">
        <v>483</v>
      </c>
      <c r="Q704" s="1" t="s">
        <v>488</v>
      </c>
      <c r="R704" s="11">
        <v>44721</v>
      </c>
      <c r="S704" s="1">
        <v>5</v>
      </c>
      <c r="U704" s="48"/>
    </row>
    <row r="705" ht="75" customHeight="1" spans="1:21" x14ac:dyDescent="0.25">
      <c r="A705" s="1" t="s">
        <v>3663</v>
      </c>
      <c r="B705" s="1">
        <v>2022</v>
      </c>
      <c r="C705" s="2" t="s">
        <v>163</v>
      </c>
      <c r="D705" s="1" t="s">
        <v>25</v>
      </c>
      <c r="E705" s="1">
        <v>296346</v>
      </c>
      <c r="F705" s="1" t="s">
        <v>27</v>
      </c>
      <c r="G705" s="11">
        <v>44729</v>
      </c>
      <c r="H705" s="11" t="s">
        <v>38</v>
      </c>
      <c r="I705" s="2" t="s">
        <v>4446</v>
      </c>
      <c r="J705" s="2" t="s">
        <v>4447</v>
      </c>
      <c r="K705" s="12">
        <v>0.052083333332120674</v>
      </c>
      <c r="L705" s="12">
        <v>0.0625</v>
      </c>
      <c r="M705" s="13">
        <f>CRF_3[[#This Row],[Time Spent on Configuration]]+CRF_3[[#This Row],[Time Spent on Review/Testing]]</f>
        <v>NaN</v>
      </c>
      <c r="O705" s="1" t="s">
        <v>31</v>
      </c>
      <c r="P705" s="1" t="s">
        <v>32</v>
      </c>
      <c r="Q705" s="1" t="s">
        <v>488</v>
      </c>
      <c r="R705" s="11">
        <v>44729</v>
      </c>
      <c r="S705" s="1">
        <v>5</v>
      </c>
      <c r="U705" s="48"/>
    </row>
    <row r="706" spans="1:21" x14ac:dyDescent="0.25">
      <c r="A706" s="1" t="s">
        <v>3663</v>
      </c>
      <c r="B706" s="1">
        <v>2022</v>
      </c>
      <c r="C706" s="2" t="s">
        <v>529</v>
      </c>
      <c r="D706" s="1" t="s">
        <v>530</v>
      </c>
      <c r="E706" s="1">
        <v>296668</v>
      </c>
      <c r="F706" s="1" t="s">
        <v>27</v>
      </c>
      <c r="G706" s="11">
        <v>44733</v>
      </c>
      <c r="H706" s="14" t="s">
        <v>28</v>
      </c>
      <c r="I706" s="2" t="s">
        <v>4448</v>
      </c>
      <c r="J706" s="40" t="s">
        <v>4449</v>
      </c>
      <c r="K706" s="12">
        <v>0.03472222222262644</v>
      </c>
      <c r="L706" s="12">
        <v>0.055555555554747116</v>
      </c>
      <c r="M706" s="13">
        <f>CRF_3[[#This Row],[Time Spent on Configuration]]+CRF_3[[#This Row],[Time Spent on Review/Testing]]</f>
        <v>NaN</v>
      </c>
      <c r="O706" s="1" t="s">
        <v>574</v>
      </c>
      <c r="P706" s="1" t="s">
        <v>32</v>
      </c>
      <c r="Q706" s="1" t="s">
        <v>484</v>
      </c>
      <c r="R706" s="11">
        <v>44733</v>
      </c>
      <c r="S706" s="1">
        <v>5</v>
      </c>
      <c r="U706" s="48"/>
    </row>
    <row r="707" spans="1:21" x14ac:dyDescent="0.25">
      <c r="A707" s="1" t="s">
        <v>3663</v>
      </c>
      <c r="B707" s="1">
        <v>2022</v>
      </c>
      <c r="C707" s="2" t="s">
        <v>1451</v>
      </c>
      <c r="D707" s="1" t="s">
        <v>287</v>
      </c>
      <c r="E707" s="1">
        <v>293081</v>
      </c>
      <c r="F707" s="1" t="s">
        <v>27</v>
      </c>
      <c r="G707" s="11">
        <v>44736</v>
      </c>
      <c r="H707" s="11" t="s">
        <v>38</v>
      </c>
      <c r="I707" s="2" t="s">
        <v>4450</v>
      </c>
      <c r="J707" s="2" t="s">
        <v>4451</v>
      </c>
      <c r="K707" s="12">
        <v>0.027777777777373558</v>
      </c>
      <c r="L707" s="12">
        <v>0.038194444445252884</v>
      </c>
      <c r="M707" s="13">
        <f>CRF_3[[#This Row],[Time Spent on Configuration]]+CRF_3[[#This Row],[Time Spent on Review/Testing]]</f>
        <v>NaN</v>
      </c>
      <c r="O707" s="1" t="s">
        <v>574</v>
      </c>
      <c r="P707" s="1" t="s">
        <v>32</v>
      </c>
      <c r="Q707" s="1" t="s">
        <v>484</v>
      </c>
      <c r="R707" s="11">
        <v>44736</v>
      </c>
      <c r="S707" s="1">
        <v>5</v>
      </c>
      <c r="U707" s="48"/>
    </row>
    <row r="708" ht="135" customHeight="1" spans="1:21" x14ac:dyDescent="0.25">
      <c r="A708" s="1" t="s">
        <v>3663</v>
      </c>
      <c r="B708" s="1">
        <v>2022</v>
      </c>
      <c r="C708" s="2" t="s">
        <v>334</v>
      </c>
      <c r="D708" s="1" t="s">
        <v>335</v>
      </c>
      <c r="E708" s="1">
        <v>296971</v>
      </c>
      <c r="F708" s="1" t="s">
        <v>27</v>
      </c>
      <c r="G708" s="11">
        <v>44736</v>
      </c>
      <c r="H708" s="11" t="s">
        <v>38</v>
      </c>
      <c r="I708" s="2" t="s">
        <v>4452</v>
      </c>
      <c r="J708" s="2" t="s">
        <v>4453</v>
      </c>
      <c r="K708" s="12">
        <v>0.041666666667879326</v>
      </c>
      <c r="L708" s="12">
        <v>0.038194444445252884</v>
      </c>
      <c r="M708" s="13">
        <f>CRF_3[[#This Row],[Time Spent on Configuration]]+CRF_3[[#This Row],[Time Spent on Review/Testing]]</f>
        <v>NaN</v>
      </c>
      <c r="O708" s="1" t="s">
        <v>574</v>
      </c>
      <c r="P708" s="1" t="s">
        <v>32</v>
      </c>
      <c r="Q708" s="1" t="s">
        <v>42</v>
      </c>
      <c r="R708" s="11">
        <v>44736</v>
      </c>
      <c r="S708" s="1">
        <v>5</v>
      </c>
      <c r="U708" s="48"/>
    </row>
    <row r="709" ht="120" customHeight="1" spans="1:21" x14ac:dyDescent="0.25">
      <c r="A709" s="1" t="s">
        <v>3663</v>
      </c>
      <c r="B709" s="1">
        <v>2022</v>
      </c>
      <c r="C709" s="2" t="s">
        <v>199</v>
      </c>
      <c r="D709" s="1" t="s">
        <v>541</v>
      </c>
      <c r="E709" s="1">
        <v>296979</v>
      </c>
      <c r="F709" s="1" t="s">
        <v>37</v>
      </c>
      <c r="G709" s="11">
        <v>44737</v>
      </c>
      <c r="H709" s="11" t="s">
        <v>38</v>
      </c>
      <c r="I709" s="2" t="s">
        <v>4454</v>
      </c>
      <c r="J709" s="2" t="s">
        <v>4455</v>
      </c>
      <c r="K709" s="12">
        <v>0.020833333332120674</v>
      </c>
      <c r="L709" s="12">
        <v>0.020833333332120674</v>
      </c>
      <c r="M709" s="13">
        <f>CRF_3[[#This Row],[Time Spent on Configuration]]+CRF_3[[#This Row],[Time Spent on Review/Testing]]</f>
        <v>NaN</v>
      </c>
      <c r="O709" s="1" t="s">
        <v>54</v>
      </c>
      <c r="P709" s="1" t="s">
        <v>32</v>
      </c>
      <c r="Q709" s="1" t="s">
        <v>484</v>
      </c>
      <c r="R709" s="11">
        <v>44737</v>
      </c>
      <c r="S709" s="1">
        <v>5</v>
      </c>
      <c r="U709" s="48"/>
    </row>
    <row r="710" ht="75" customHeight="1" spans="1:21" x14ac:dyDescent="0.25">
      <c r="A710" s="1" t="s">
        <v>3663</v>
      </c>
      <c r="B710" s="1">
        <v>2022</v>
      </c>
      <c r="C710" s="2" t="s">
        <v>258</v>
      </c>
      <c r="D710" s="1" t="s">
        <v>25</v>
      </c>
      <c r="E710" s="1">
        <v>293870</v>
      </c>
      <c r="F710" s="1" t="s">
        <v>27</v>
      </c>
      <c r="G710" s="11">
        <v>44737</v>
      </c>
      <c r="H710" s="11" t="s">
        <v>38</v>
      </c>
      <c r="I710" s="2" t="s">
        <v>4456</v>
      </c>
      <c r="J710" s="2" t="s">
        <v>4457</v>
      </c>
      <c r="K710" s="12">
        <v>0.03125</v>
      </c>
      <c r="L710" s="12">
        <v>0.04513888889050577</v>
      </c>
      <c r="M710" s="13">
        <f>CRF_3[[#This Row],[Time Spent on Configuration]]+CRF_3[[#This Row],[Time Spent on Review/Testing]]</f>
        <v>NaN</v>
      </c>
      <c r="O710" s="1" t="s">
        <v>53</v>
      </c>
      <c r="P710" s="1" t="s">
        <v>483</v>
      </c>
      <c r="Q710" s="1" t="s">
        <v>488</v>
      </c>
      <c r="R710" s="11">
        <v>44737</v>
      </c>
      <c r="S710" s="1">
        <v>5</v>
      </c>
      <c r="U710" s="48"/>
    </row>
    <row r="711" spans="1:21" x14ac:dyDescent="0.25">
      <c r="A711" s="1" t="s">
        <v>3663</v>
      </c>
      <c r="B711" s="1">
        <v>2022</v>
      </c>
      <c r="C711" s="2" t="s">
        <v>529</v>
      </c>
      <c r="D711" s="1" t="s">
        <v>530</v>
      </c>
      <c r="E711" s="1">
        <v>297258</v>
      </c>
      <c r="F711" s="1" t="s">
        <v>27</v>
      </c>
      <c r="G711" s="11">
        <v>44737</v>
      </c>
      <c r="H711" s="14" t="s">
        <v>28</v>
      </c>
      <c r="I711" s="2" t="s">
        <v>2840</v>
      </c>
      <c r="J711" s="2" t="s">
        <v>4458</v>
      </c>
      <c r="K711" s="12">
        <v>0.03472222222262644</v>
      </c>
      <c r="L711" s="12">
        <v>0.03472222222262644</v>
      </c>
      <c r="M711" s="13">
        <f>CRF_3[[#This Row],[Time Spent on Configuration]]+CRF_3[[#This Row],[Time Spent on Review/Testing]]</f>
        <v>NaN</v>
      </c>
      <c r="O711" s="1" t="s">
        <v>574</v>
      </c>
      <c r="P711" s="1" t="s">
        <v>32</v>
      </c>
      <c r="Q711" s="1" t="s">
        <v>484</v>
      </c>
      <c r="R711" s="11">
        <v>44737</v>
      </c>
      <c r="S711" s="1">
        <v>5</v>
      </c>
      <c r="U711" s="48"/>
    </row>
    <row r="712" ht="90" customHeight="1" spans="1:21" x14ac:dyDescent="0.25">
      <c r="A712" s="1" t="s">
        <v>3663</v>
      </c>
      <c r="B712" s="1">
        <v>2022</v>
      </c>
      <c r="C712" s="2" t="s">
        <v>2673</v>
      </c>
      <c r="D712" s="1" t="s">
        <v>25</v>
      </c>
      <c r="E712" s="1">
        <v>297306</v>
      </c>
      <c r="F712" s="1" t="s">
        <v>37</v>
      </c>
      <c r="G712" s="11">
        <v>44737</v>
      </c>
      <c r="H712" s="14" t="s">
        <v>28</v>
      </c>
      <c r="I712" s="2" t="s">
        <v>4459</v>
      </c>
      <c r="J712" s="2" t="s">
        <v>4460</v>
      </c>
      <c r="K712" s="12">
        <v>0.03472222222262644</v>
      </c>
      <c r="L712" s="12">
        <v>0.04861111110949423</v>
      </c>
      <c r="M712" s="13">
        <f>CRF_3[[#This Row],[Time Spent on Configuration]]+CRF_3[[#This Row],[Time Spent on Review/Testing]]</f>
        <v>NaN</v>
      </c>
      <c r="O712" s="1" t="s">
        <v>31</v>
      </c>
      <c r="P712" s="1" t="s">
        <v>483</v>
      </c>
      <c r="Q712" s="1" t="s">
        <v>488</v>
      </c>
      <c r="R712" s="11">
        <v>44737</v>
      </c>
      <c r="S712" s="1">
        <v>5</v>
      </c>
      <c r="U712" s="48"/>
    </row>
    <row r="713" ht="45" customHeight="1" spans="1:21" x14ac:dyDescent="0.25">
      <c r="A713" s="1" t="s">
        <v>3663</v>
      </c>
      <c r="B713" s="1">
        <v>2022</v>
      </c>
      <c r="C713" s="2" t="s">
        <v>163</v>
      </c>
      <c r="D713" s="1" t="s">
        <v>25</v>
      </c>
      <c r="E713" s="1">
        <v>296346</v>
      </c>
      <c r="F713" s="1" t="s">
        <v>27</v>
      </c>
      <c r="G713" s="11">
        <v>44729</v>
      </c>
      <c r="H713" s="11" t="s">
        <v>38</v>
      </c>
      <c r="I713" s="2" t="s">
        <v>2845</v>
      </c>
      <c r="J713" s="2" t="s">
        <v>4461</v>
      </c>
      <c r="K713" s="12">
        <v>0.03472222222262644</v>
      </c>
      <c r="L713" s="12">
        <v>0.038194444445252884</v>
      </c>
      <c r="M713" s="13">
        <f>CRF_3[[#This Row],[Time Spent on Configuration]]+CRF_3[[#This Row],[Time Spent on Review/Testing]]</f>
        <v>NaN</v>
      </c>
      <c r="O713" s="1" t="s">
        <v>31</v>
      </c>
      <c r="P713" s="1" t="s">
        <v>483</v>
      </c>
      <c r="Q713" s="1" t="s">
        <v>488</v>
      </c>
      <c r="R713" s="11">
        <v>44742</v>
      </c>
      <c r="S713" s="1">
        <v>5</v>
      </c>
      <c r="U713" s="48"/>
    </row>
    <row r="714" ht="120" customHeight="1" spans="1:21" x14ac:dyDescent="0.25">
      <c r="A714" s="1" t="s">
        <v>3676</v>
      </c>
      <c r="B714" s="1">
        <v>2022</v>
      </c>
      <c r="C714" s="2" t="s">
        <v>199</v>
      </c>
      <c r="D714" s="1" t="s">
        <v>541</v>
      </c>
      <c r="E714" s="1">
        <v>297837</v>
      </c>
      <c r="F714" s="1" t="s">
        <v>37</v>
      </c>
      <c r="G714" s="11">
        <v>44743</v>
      </c>
      <c r="H714" s="11" t="s">
        <v>38</v>
      </c>
      <c r="I714" s="2" t="s">
        <v>4462</v>
      </c>
      <c r="J714" s="2" t="s">
        <v>4463</v>
      </c>
      <c r="K714" s="12">
        <v>0.020833333332120674</v>
      </c>
      <c r="L714" s="12">
        <v>0.020833333332120674</v>
      </c>
      <c r="M714" s="13">
        <f>CRF_3[[#This Row],[Time Spent on Configuration]]+CRF_3[[#This Row],[Time Spent on Review/Testing]]</f>
        <v>NaN</v>
      </c>
      <c r="O714" s="1" t="s">
        <v>53</v>
      </c>
      <c r="P714" s="1" t="s">
        <v>483</v>
      </c>
      <c r="Q714" s="1" t="s">
        <v>488</v>
      </c>
      <c r="R714" s="11">
        <v>44743</v>
      </c>
      <c r="S714" s="1">
        <v>5</v>
      </c>
      <c r="U714" s="48"/>
    </row>
    <row r="715" ht="120" customHeight="1" spans="1:21" x14ac:dyDescent="0.25">
      <c r="A715" s="1" t="s">
        <v>3676</v>
      </c>
      <c r="B715" s="1">
        <v>2022</v>
      </c>
      <c r="C715" s="2" t="s">
        <v>2582</v>
      </c>
      <c r="D715" s="1" t="s">
        <v>25</v>
      </c>
      <c r="E715" s="1">
        <v>285477</v>
      </c>
      <c r="F715" s="1" t="s">
        <v>27</v>
      </c>
      <c r="G715" s="11">
        <v>44743</v>
      </c>
      <c r="H715" s="11" t="s">
        <v>38</v>
      </c>
      <c r="I715" s="2" t="s">
        <v>4464</v>
      </c>
      <c r="J715" s="2" t="s">
        <v>4465</v>
      </c>
      <c r="K715" s="12">
        <v>0.010416666667879326</v>
      </c>
      <c r="L715" s="12">
        <v>0.038194444445252884</v>
      </c>
      <c r="M715" s="13">
        <f>CRF_3[[#This Row],[Time Spent on Configuration]]+CRF_3[[#This Row],[Time Spent on Review/Testing]]</f>
        <v>NaN</v>
      </c>
      <c r="O715" s="1" t="s">
        <v>31</v>
      </c>
      <c r="P715" s="1" t="s">
        <v>32</v>
      </c>
      <c r="Q715" s="1" t="s">
        <v>488</v>
      </c>
      <c r="R715" s="11">
        <v>44743</v>
      </c>
      <c r="S715" s="1">
        <v>5</v>
      </c>
      <c r="U715" s="48"/>
    </row>
    <row r="716" ht="195" customHeight="1" spans="1:21" x14ac:dyDescent="0.25">
      <c r="A716" s="1" t="s">
        <v>3676</v>
      </c>
      <c r="B716" s="1">
        <v>2022</v>
      </c>
      <c r="C716" s="2" t="s">
        <v>258</v>
      </c>
      <c r="D716" s="1" t="s">
        <v>25</v>
      </c>
      <c r="E716" s="1">
        <v>296344</v>
      </c>
      <c r="F716" s="1" t="s">
        <v>27</v>
      </c>
      <c r="G716" s="11">
        <v>44743</v>
      </c>
      <c r="H716" s="11" t="s">
        <v>38</v>
      </c>
      <c r="I716" s="2" t="s">
        <v>4466</v>
      </c>
      <c r="J716" s="2" t="s">
        <v>4467</v>
      </c>
      <c r="K716" s="12">
        <v>0.020833333332120674</v>
      </c>
      <c r="L716" s="12">
        <v>0.038194444445252884</v>
      </c>
      <c r="M716" s="13">
        <f>CRF_3[[#This Row],[Time Spent on Configuration]]+CRF_3[[#This Row],[Time Spent on Review/Testing]]</f>
        <v>NaN</v>
      </c>
      <c r="O716" s="1" t="s">
        <v>53</v>
      </c>
      <c r="P716" s="1" t="s">
        <v>483</v>
      </c>
      <c r="Q716" s="1" t="s">
        <v>488</v>
      </c>
      <c r="R716" s="11">
        <v>44743</v>
      </c>
      <c r="S716" s="1">
        <v>5</v>
      </c>
      <c r="U716" s="48"/>
    </row>
    <row r="717" ht="105" customHeight="1" spans="1:21" x14ac:dyDescent="0.25">
      <c r="A717" s="1" t="s">
        <v>3676</v>
      </c>
      <c r="B717" s="1">
        <v>2022</v>
      </c>
      <c r="C717" s="2" t="s">
        <v>288</v>
      </c>
      <c r="D717" s="1" t="s">
        <v>2856</v>
      </c>
      <c r="E717" s="1">
        <v>298008</v>
      </c>
      <c r="F717" s="1" t="s">
        <v>27</v>
      </c>
      <c r="G717" s="11">
        <v>44748</v>
      </c>
      <c r="H717" s="11" t="s">
        <v>2858</v>
      </c>
      <c r="I717" s="2" t="s">
        <v>4468</v>
      </c>
      <c r="J717" s="2" t="s">
        <v>4469</v>
      </c>
      <c r="K717" s="12">
        <v>0.020833333332120674</v>
      </c>
      <c r="L717" s="12"/>
      <c r="M717" s="13">
        <f>CRF_3[[#This Row],[Time Spent on Configuration]]+CRF_3[[#This Row],[Time Spent on Review/Testing]]</f>
        <v>NaN</v>
      </c>
      <c r="O717" s="1" t="s">
        <v>53</v>
      </c>
      <c r="Q717" s="1" t="s">
        <v>488</v>
      </c>
      <c r="R717" s="11">
        <v>44748</v>
      </c>
      <c r="S717" s="1">
        <v>5</v>
      </c>
      <c r="U717" s="48"/>
    </row>
    <row r="718" ht="45" customHeight="1" spans="1:21" x14ac:dyDescent="0.25">
      <c r="A718" s="1" t="s">
        <v>3676</v>
      </c>
      <c r="B718" s="1">
        <v>2022</v>
      </c>
      <c r="C718" s="2" t="s">
        <v>2514</v>
      </c>
      <c r="D718" s="1" t="s">
        <v>2861</v>
      </c>
      <c r="E718" s="1">
        <v>295135</v>
      </c>
      <c r="F718" s="1" t="s">
        <v>27</v>
      </c>
      <c r="G718" s="11">
        <v>44749</v>
      </c>
      <c r="H718" s="11" t="s">
        <v>38</v>
      </c>
      <c r="I718" s="2" t="s">
        <v>4470</v>
      </c>
      <c r="J718" s="2" t="s">
        <v>2863</v>
      </c>
      <c r="K718" s="12">
        <v>0.013888888890505768</v>
      </c>
      <c r="L718" s="12">
        <v>0.01736111110949423</v>
      </c>
      <c r="M718" s="13">
        <f>CRF_3[[#This Row],[Time Spent on Configuration]]+CRF_3[[#This Row],[Time Spent on Review/Testing]]</f>
        <v>NaN</v>
      </c>
      <c r="O718" s="1" t="s">
        <v>32</v>
      </c>
      <c r="P718" s="1" t="s">
        <v>483</v>
      </c>
      <c r="Q718" s="1" t="s">
        <v>488</v>
      </c>
      <c r="R718" s="11">
        <v>44749</v>
      </c>
      <c r="S718" s="1">
        <v>5</v>
      </c>
      <c r="U718" s="48"/>
    </row>
    <row r="719" spans="1:21" x14ac:dyDescent="0.25">
      <c r="A719" s="1" t="s">
        <v>3676</v>
      </c>
      <c r="B719" s="1">
        <v>2022</v>
      </c>
      <c r="C719" s="2" t="s">
        <v>1040</v>
      </c>
      <c r="D719" s="1" t="s">
        <v>1631</v>
      </c>
      <c r="E719" s="1">
        <v>298140</v>
      </c>
      <c r="F719" s="1" t="s">
        <v>37</v>
      </c>
      <c r="G719" s="11">
        <v>44749</v>
      </c>
      <c r="H719" s="14" t="s">
        <v>133</v>
      </c>
      <c r="I719" s="2" t="s">
        <v>4471</v>
      </c>
      <c r="J719" s="2" t="s">
        <v>4471</v>
      </c>
      <c r="K719" s="12">
        <v>0.013888888890505768</v>
      </c>
      <c r="L719" s="12">
        <v>0.013888888890505768</v>
      </c>
      <c r="M719" s="13">
        <f>CRF_3[[#This Row],[Time Spent on Configuration]]+CRF_3[[#This Row],[Time Spent on Review/Testing]]</f>
        <v>NaN</v>
      </c>
      <c r="O719" s="1" t="s">
        <v>574</v>
      </c>
      <c r="P719" s="1" t="s">
        <v>483</v>
      </c>
      <c r="Q719" s="1" t="s">
        <v>42</v>
      </c>
      <c r="R719" s="11">
        <v>44749</v>
      </c>
      <c r="S719" s="1">
        <v>5</v>
      </c>
      <c r="U719" s="48"/>
    </row>
    <row r="720" ht="30" customHeight="1" spans="1:21" x14ac:dyDescent="0.25">
      <c r="A720" s="1" t="s">
        <v>3676</v>
      </c>
      <c r="B720" s="1">
        <v>2022</v>
      </c>
      <c r="C720" s="2" t="s">
        <v>2673</v>
      </c>
      <c r="D720" s="1" t="s">
        <v>25</v>
      </c>
      <c r="E720" s="1">
        <v>295265</v>
      </c>
      <c r="F720" s="1" t="s">
        <v>27</v>
      </c>
      <c r="G720" s="11">
        <v>44750</v>
      </c>
      <c r="H720" s="11" t="s">
        <v>38</v>
      </c>
      <c r="I720" s="2" t="s">
        <v>4472</v>
      </c>
      <c r="J720" s="2" t="s">
        <v>4472</v>
      </c>
      <c r="K720" s="12">
        <v>0.027777777777373558</v>
      </c>
      <c r="L720" s="12">
        <v>0.04513888889050577</v>
      </c>
      <c r="M720" s="13">
        <f>CRF_3[[#This Row],[Time Spent on Configuration]]+CRF_3[[#This Row],[Time Spent on Review/Testing]]</f>
        <v>NaN</v>
      </c>
      <c r="O720" s="1" t="s">
        <v>574</v>
      </c>
      <c r="P720" s="1" t="s">
        <v>32</v>
      </c>
      <c r="Q720" s="1" t="s">
        <v>488</v>
      </c>
      <c r="R720" s="11">
        <v>44750</v>
      </c>
      <c r="S720" s="1">
        <v>5</v>
      </c>
      <c r="U720" s="48"/>
    </row>
    <row r="721" spans="1:21" x14ac:dyDescent="0.25">
      <c r="A721" s="1" t="s">
        <v>3676</v>
      </c>
      <c r="B721" s="1">
        <v>2022</v>
      </c>
      <c r="C721" s="2" t="s">
        <v>43</v>
      </c>
      <c r="D721" s="1" t="s">
        <v>44</v>
      </c>
      <c r="E721" s="1">
        <v>297716</v>
      </c>
      <c r="F721" s="1" t="s">
        <v>27</v>
      </c>
      <c r="G721" s="11">
        <v>44750</v>
      </c>
      <c r="H721" s="14" t="s">
        <v>28</v>
      </c>
      <c r="I721" s="2" t="s">
        <v>2869</v>
      </c>
      <c r="J721" s="2" t="s">
        <v>2870</v>
      </c>
      <c r="K721" s="12">
        <v>0.027777777777373558</v>
      </c>
      <c r="L721" s="12">
        <v>0.027777777777373558</v>
      </c>
      <c r="M721" s="13">
        <f>CRF_3[[#This Row],[Time Spent on Configuration]]+CRF_3[[#This Row],[Time Spent on Review/Testing]]</f>
        <v>NaN</v>
      </c>
      <c r="O721" s="1" t="s">
        <v>574</v>
      </c>
      <c r="P721" s="1" t="s">
        <v>483</v>
      </c>
      <c r="Q721" s="1" t="s">
        <v>484</v>
      </c>
      <c r="R721" s="11">
        <v>44750</v>
      </c>
      <c r="S721" s="1">
        <v>5</v>
      </c>
      <c r="U721" s="48"/>
    </row>
    <row r="722" spans="1:21" x14ac:dyDescent="0.25">
      <c r="A722" s="1" t="s">
        <v>3676</v>
      </c>
      <c r="B722" s="1">
        <v>2022</v>
      </c>
      <c r="C722" s="2" t="s">
        <v>1451</v>
      </c>
      <c r="D722" s="1" t="s">
        <v>287</v>
      </c>
      <c r="E722" s="1">
        <v>298415</v>
      </c>
      <c r="F722" s="1" t="s">
        <v>27</v>
      </c>
      <c r="G722" s="11">
        <v>44750</v>
      </c>
      <c r="H722" s="14" t="s">
        <v>28</v>
      </c>
      <c r="I722" s="2" t="s">
        <v>2872</v>
      </c>
      <c r="J722" s="2" t="s">
        <v>2873</v>
      </c>
      <c r="K722" s="12">
        <v>0.038194444445252884</v>
      </c>
      <c r="L722" s="12">
        <v>0.0625</v>
      </c>
      <c r="M722" s="13">
        <f>CRF_3[[#This Row],[Time Spent on Configuration]]+CRF_3[[#This Row],[Time Spent on Review/Testing]]</f>
        <v>NaN</v>
      </c>
      <c r="O722" s="1" t="s">
        <v>574</v>
      </c>
      <c r="P722" s="1" t="s">
        <v>32</v>
      </c>
      <c r="Q722" s="1" t="s">
        <v>484</v>
      </c>
      <c r="R722" s="11">
        <v>44750</v>
      </c>
      <c r="S722" s="1">
        <v>5</v>
      </c>
      <c r="U722" s="48"/>
    </row>
    <row r="723" ht="75" customHeight="1" spans="1:21" x14ac:dyDescent="0.25">
      <c r="A723" s="1" t="s">
        <v>3676</v>
      </c>
      <c r="B723" s="1">
        <v>2022</v>
      </c>
      <c r="C723" s="2" t="s">
        <v>2315</v>
      </c>
      <c r="D723" s="1" t="s">
        <v>25</v>
      </c>
      <c r="E723" s="1">
        <v>298683</v>
      </c>
      <c r="F723" s="1" t="s">
        <v>27</v>
      </c>
      <c r="G723" s="11">
        <v>44762</v>
      </c>
      <c r="H723" s="11" t="s">
        <v>38</v>
      </c>
      <c r="I723" s="2" t="s">
        <v>2875</v>
      </c>
      <c r="J723" s="2" t="s">
        <v>4473</v>
      </c>
      <c r="K723" s="12">
        <v>0.013888888890505768</v>
      </c>
      <c r="L723" s="12">
        <v>0.03125</v>
      </c>
      <c r="M723" s="13">
        <f>CRF_3[[#This Row],[Time Spent on Configuration]]+CRF_3[[#This Row],[Time Spent on Review/Testing]]</f>
        <v>NaN</v>
      </c>
      <c r="O723" s="1" t="s">
        <v>32</v>
      </c>
      <c r="P723" s="1" t="s">
        <v>483</v>
      </c>
      <c r="Q723" s="1" t="s">
        <v>484</v>
      </c>
      <c r="R723" s="11">
        <v>44762</v>
      </c>
      <c r="S723" s="1">
        <v>5</v>
      </c>
      <c r="U723" s="48"/>
    </row>
    <row r="724" ht="75" customHeight="1" spans="1:21" x14ac:dyDescent="0.25">
      <c r="A724" s="1" t="s">
        <v>3676</v>
      </c>
      <c r="B724" s="1">
        <v>2022</v>
      </c>
      <c r="C724" s="2" t="s">
        <v>308</v>
      </c>
      <c r="D724" s="1" t="s">
        <v>309</v>
      </c>
      <c r="E724" s="1">
        <v>299361</v>
      </c>
      <c r="F724" s="1" t="s">
        <v>37</v>
      </c>
      <c r="G724" s="11">
        <v>44762</v>
      </c>
      <c r="H724" s="14" t="s">
        <v>28</v>
      </c>
      <c r="I724" s="68" t="s">
        <v>4474</v>
      </c>
      <c r="J724" s="2" t="s">
        <v>4475</v>
      </c>
      <c r="K724" s="12">
        <v>0.02916666666715173</v>
      </c>
      <c r="L724" s="12">
        <v>0.041666666667879326</v>
      </c>
      <c r="M724" s="13">
        <f>CRF_3[[#This Row],[Time Spent on Configuration]]+CRF_3[[#This Row],[Time Spent on Review/Testing]]</f>
        <v>NaN</v>
      </c>
      <c r="O724" s="1" t="s">
        <v>483</v>
      </c>
      <c r="P724" s="1" t="s">
        <v>32</v>
      </c>
      <c r="Q724" s="1" t="s">
        <v>488</v>
      </c>
      <c r="R724" s="11">
        <v>44762</v>
      </c>
      <c r="S724" s="1">
        <v>5</v>
      </c>
      <c r="U724" s="48"/>
    </row>
    <row r="725" spans="1:21" x14ac:dyDescent="0.25">
      <c r="A725" s="1" t="s">
        <v>3676</v>
      </c>
      <c r="B725" s="1">
        <v>2022</v>
      </c>
      <c r="C725" s="2" t="s">
        <v>2673</v>
      </c>
      <c r="D725" s="1" t="s">
        <v>25</v>
      </c>
      <c r="E725" s="1">
        <v>299683</v>
      </c>
      <c r="F725" s="1" t="s">
        <v>27</v>
      </c>
      <c r="G725" s="11">
        <v>44764</v>
      </c>
      <c r="H725" s="11" t="s">
        <v>38</v>
      </c>
      <c r="I725" s="2" t="s">
        <v>2880</v>
      </c>
      <c r="J725" s="2" t="s">
        <v>2880</v>
      </c>
      <c r="K725" s="12">
        <v>0.020833333332120674</v>
      </c>
      <c r="L725" s="12">
        <v>0.038194444445252884</v>
      </c>
      <c r="M725" s="13">
        <f>CRF_3[[#This Row],[Time Spent on Configuration]]+CRF_3[[#This Row],[Time Spent on Review/Testing]]</f>
        <v>NaN</v>
      </c>
      <c r="O725" s="1" t="s">
        <v>31</v>
      </c>
      <c r="P725" s="1" t="s">
        <v>32</v>
      </c>
      <c r="Q725" s="1" t="s">
        <v>488</v>
      </c>
      <c r="R725" s="11">
        <v>44764</v>
      </c>
      <c r="S725" s="1">
        <v>5</v>
      </c>
      <c r="U725" s="48"/>
    </row>
    <row r="726" ht="30" customHeight="1" spans="1:21" x14ac:dyDescent="0.25">
      <c r="A726" s="1" t="s">
        <v>3676</v>
      </c>
      <c r="B726" s="1">
        <v>2022</v>
      </c>
      <c r="C726" s="2" t="s">
        <v>113</v>
      </c>
      <c r="D726" s="1" t="s">
        <v>25</v>
      </c>
      <c r="E726" s="1">
        <v>296322</v>
      </c>
      <c r="F726" s="1" t="s">
        <v>27</v>
      </c>
      <c r="G726" s="11">
        <v>44765</v>
      </c>
      <c r="H726" s="11" t="s">
        <v>38</v>
      </c>
      <c r="I726" s="2" t="s">
        <v>2882</v>
      </c>
      <c r="J726" s="2" t="s">
        <v>2883</v>
      </c>
      <c r="K726" s="12">
        <v>0.041666666667879326</v>
      </c>
      <c r="L726" s="12">
        <v>0.013888888890505768</v>
      </c>
      <c r="M726" s="13">
        <f>CRF_3[[#This Row],[Time Spent on Configuration]]+CRF_3[[#This Row],[Time Spent on Review/Testing]]</f>
        <v>NaN</v>
      </c>
      <c r="O726" s="1" t="s">
        <v>31</v>
      </c>
      <c r="P726" s="1" t="s">
        <v>32</v>
      </c>
      <c r="Q726" s="1" t="s">
        <v>484</v>
      </c>
      <c r="R726" s="11">
        <v>44765</v>
      </c>
      <c r="S726" s="1">
        <v>5</v>
      </c>
      <c r="U726" s="48"/>
    </row>
    <row r="727" ht="30" customHeight="1" spans="1:21" x14ac:dyDescent="0.25">
      <c r="A727" s="1" t="s">
        <v>3676</v>
      </c>
      <c r="B727" s="1">
        <v>2022</v>
      </c>
      <c r="C727" s="2" t="s">
        <v>163</v>
      </c>
      <c r="D727" s="1" t="s">
        <v>25</v>
      </c>
      <c r="E727" s="1">
        <v>300041</v>
      </c>
      <c r="F727" s="1" t="s">
        <v>37</v>
      </c>
      <c r="G727" s="11">
        <v>44769</v>
      </c>
      <c r="H727" s="11" t="s">
        <v>38</v>
      </c>
      <c r="I727" s="2" t="s">
        <v>2885</v>
      </c>
      <c r="J727" s="2" t="s">
        <v>4476</v>
      </c>
      <c r="K727" s="12">
        <v>0.03472222222262644</v>
      </c>
      <c r="L727" s="12">
        <v>0.055555555554747116</v>
      </c>
      <c r="M727" s="13">
        <f>CRF_3[[#This Row],[Time Spent on Configuration]]+CRF_3[[#This Row],[Time Spent on Review/Testing]]</f>
        <v>NaN</v>
      </c>
      <c r="O727" s="1" t="s">
        <v>31</v>
      </c>
      <c r="P727" s="1" t="s">
        <v>32</v>
      </c>
      <c r="Q727" s="1" t="s">
        <v>488</v>
      </c>
      <c r="R727" s="11">
        <v>44769</v>
      </c>
      <c r="S727" s="1">
        <v>5</v>
      </c>
      <c r="U727" s="48"/>
    </row>
    <row r="728" ht="270" customHeight="1" spans="1:21" x14ac:dyDescent="0.25">
      <c r="A728" s="1" t="s">
        <v>3676</v>
      </c>
      <c r="B728" s="1">
        <v>2022</v>
      </c>
      <c r="C728" s="2" t="s">
        <v>288</v>
      </c>
      <c r="D728" s="1" t="s">
        <v>289</v>
      </c>
      <c r="E728" s="1">
        <v>297878</v>
      </c>
      <c r="F728" s="1" t="s">
        <v>27</v>
      </c>
      <c r="G728" s="11">
        <v>44769</v>
      </c>
      <c r="H728" s="11" t="s">
        <v>38</v>
      </c>
      <c r="I728" s="2" t="s">
        <v>4477</v>
      </c>
      <c r="J728" s="2" t="s">
        <v>2889</v>
      </c>
      <c r="K728" s="12">
        <v>0.07291666666787933</v>
      </c>
      <c r="L728" s="12">
        <v>0.038194444445252884</v>
      </c>
      <c r="M728" s="13">
        <f>CRF_3[[#This Row],[Time Spent on Configuration]]+CRF_3[[#This Row],[Time Spent on Review/Testing]]</f>
        <v>NaN</v>
      </c>
      <c r="O728" s="1" t="s">
        <v>53</v>
      </c>
      <c r="P728" s="1" t="s">
        <v>483</v>
      </c>
      <c r="Q728" s="1" t="s">
        <v>488</v>
      </c>
      <c r="R728" s="11">
        <v>44769</v>
      </c>
      <c r="S728" s="1">
        <v>5</v>
      </c>
      <c r="U728" s="48"/>
    </row>
    <row r="729" ht="195" customHeight="1" spans="1:21" x14ac:dyDescent="0.25">
      <c r="A729" s="1" t="s">
        <v>3690</v>
      </c>
      <c r="B729" s="1">
        <v>2022</v>
      </c>
      <c r="C729" s="2" t="s">
        <v>146</v>
      </c>
      <c r="D729" s="1" t="s">
        <v>186</v>
      </c>
      <c r="E729" s="1">
        <v>290731</v>
      </c>
      <c r="F729" s="1" t="s">
        <v>27</v>
      </c>
      <c r="G729" s="11">
        <v>44779</v>
      </c>
      <c r="H729" s="11" t="s">
        <v>38</v>
      </c>
      <c r="I729" s="2" t="s">
        <v>4478</v>
      </c>
      <c r="J729" s="2" t="s">
        <v>4479</v>
      </c>
      <c r="K729" s="12">
        <v>0.03125</v>
      </c>
      <c r="L729" s="12">
        <v>0.038194444445252884</v>
      </c>
      <c r="M729" s="13">
        <f>CRF_3[[#This Row],[Time Spent on Configuration]]+CRF_3[[#This Row],[Time Spent on Review/Testing]]</f>
        <v>NaN</v>
      </c>
      <c r="O729" s="1" t="s">
        <v>53</v>
      </c>
      <c r="P729" s="1" t="s">
        <v>483</v>
      </c>
      <c r="Q729" s="1" t="s">
        <v>488</v>
      </c>
      <c r="R729" s="11">
        <v>44779</v>
      </c>
      <c r="S729" s="1">
        <v>5</v>
      </c>
      <c r="U729" s="48"/>
    </row>
    <row r="730" ht="60" customHeight="1" spans="1:21" x14ac:dyDescent="0.25">
      <c r="A730" s="1" t="s">
        <v>3690</v>
      </c>
      <c r="B730" s="1">
        <v>2022</v>
      </c>
      <c r="C730" s="2" t="s">
        <v>2673</v>
      </c>
      <c r="D730" s="1" t="s">
        <v>25</v>
      </c>
      <c r="E730" s="1">
        <v>299192</v>
      </c>
      <c r="F730" s="1" t="s">
        <v>27</v>
      </c>
      <c r="G730" s="11">
        <v>44779</v>
      </c>
      <c r="H730" s="14" t="s">
        <v>28</v>
      </c>
      <c r="I730" s="2" t="s">
        <v>4480</v>
      </c>
      <c r="J730" s="2" t="s">
        <v>4481</v>
      </c>
      <c r="K730" s="12">
        <v>0.041666666667879326</v>
      </c>
      <c r="L730" s="12">
        <v>0.04861111110949423</v>
      </c>
      <c r="M730" s="13">
        <f>CRF_3[[#This Row],[Time Spent on Configuration]]+CRF_3[[#This Row],[Time Spent on Review/Testing]]</f>
        <v>NaN</v>
      </c>
      <c r="O730" s="1" t="s">
        <v>53</v>
      </c>
      <c r="P730" s="1" t="s">
        <v>483</v>
      </c>
      <c r="Q730" s="1" t="s">
        <v>488</v>
      </c>
      <c r="R730" s="11">
        <v>44779</v>
      </c>
      <c r="S730" s="1">
        <v>5</v>
      </c>
      <c r="U730" s="48"/>
    </row>
    <row r="731" ht="75" customHeight="1" spans="1:21" x14ac:dyDescent="0.25">
      <c r="A731" s="1" t="s">
        <v>3690</v>
      </c>
      <c r="B731" s="1">
        <v>2022</v>
      </c>
      <c r="C731" s="2" t="s">
        <v>258</v>
      </c>
      <c r="D731" s="1" t="s">
        <v>25</v>
      </c>
      <c r="E731" s="1">
        <v>298442</v>
      </c>
      <c r="F731" s="1" t="s">
        <v>27</v>
      </c>
      <c r="G731" s="11">
        <v>44782</v>
      </c>
      <c r="H731" s="11" t="s">
        <v>38</v>
      </c>
      <c r="I731" s="2" t="s">
        <v>4482</v>
      </c>
      <c r="J731" s="2" t="s">
        <v>4483</v>
      </c>
      <c r="K731" s="12">
        <v>0.013888888890505768</v>
      </c>
      <c r="L731" s="12">
        <v>0.05902777777737356</v>
      </c>
      <c r="M731" s="13">
        <f>CRF_3[[#This Row],[Time Spent on Configuration]]+CRF_3[[#This Row],[Time Spent on Review/Testing]]</f>
        <v>NaN</v>
      </c>
      <c r="O731" s="1" t="s">
        <v>31</v>
      </c>
      <c r="P731" s="1" t="s">
        <v>483</v>
      </c>
      <c r="Q731" s="1" t="s">
        <v>488</v>
      </c>
      <c r="R731" s="11">
        <v>44782</v>
      </c>
      <c r="S731" s="1">
        <v>5</v>
      </c>
      <c r="U731" s="48"/>
    </row>
    <row r="732" spans="1:21" x14ac:dyDescent="0.25">
      <c r="A732" s="1" t="s">
        <v>3690</v>
      </c>
      <c r="B732" s="1">
        <v>2022</v>
      </c>
      <c r="C732" s="2" t="s">
        <v>2315</v>
      </c>
      <c r="D732" s="1" t="s">
        <v>25</v>
      </c>
      <c r="E732" s="1">
        <v>300038</v>
      </c>
      <c r="F732" s="1" t="s">
        <v>37</v>
      </c>
      <c r="G732" s="11">
        <v>44783</v>
      </c>
      <c r="H732" s="14" t="s">
        <v>28</v>
      </c>
      <c r="I732" s="2" t="s">
        <v>4484</v>
      </c>
      <c r="J732" s="2" t="s">
        <v>2902</v>
      </c>
      <c r="K732" s="12">
        <v>0.03125</v>
      </c>
      <c r="L732" s="12">
        <v>0.041666666667879326</v>
      </c>
      <c r="M732" s="13">
        <f>CRF_3[[#This Row],[Time Spent on Configuration]]+CRF_3[[#This Row],[Time Spent on Review/Testing]]</f>
        <v>NaN</v>
      </c>
      <c r="O732" s="1" t="s">
        <v>483</v>
      </c>
      <c r="P732" s="1" t="s">
        <v>32</v>
      </c>
      <c r="Q732" s="1" t="s">
        <v>484</v>
      </c>
      <c r="R732" s="11">
        <v>44783</v>
      </c>
      <c r="S732" s="1">
        <v>5</v>
      </c>
      <c r="U732" s="48"/>
    </row>
    <row r="733" ht="75" customHeight="1" spans="1:21" x14ac:dyDescent="0.25">
      <c r="A733" s="1" t="s">
        <v>3690</v>
      </c>
      <c r="B733" s="1">
        <v>2022</v>
      </c>
      <c r="C733" s="2" t="s">
        <v>199</v>
      </c>
      <c r="D733" s="1" t="s">
        <v>541</v>
      </c>
      <c r="E733" s="1">
        <v>301830</v>
      </c>
      <c r="F733" s="1" t="s">
        <v>37</v>
      </c>
      <c r="G733" s="11">
        <v>44789</v>
      </c>
      <c r="H733" s="11" t="s">
        <v>2775</v>
      </c>
      <c r="I733" s="2" t="s">
        <v>2904</v>
      </c>
      <c r="J733" s="2" t="s">
        <v>4485</v>
      </c>
      <c r="K733" s="12">
        <v>0.01736111110949423</v>
      </c>
      <c r="L733" s="12">
        <v>0.04861111110949423</v>
      </c>
      <c r="M733" s="13">
        <f>CRF_3[[#This Row],[Time Spent on Configuration]]+CRF_3[[#This Row],[Time Spent on Review/Testing]]</f>
        <v>NaN</v>
      </c>
      <c r="O733" s="1" t="s">
        <v>32</v>
      </c>
      <c r="P733" s="1" t="s">
        <v>483</v>
      </c>
      <c r="Q733" s="1" t="s">
        <v>488</v>
      </c>
      <c r="R733" s="11">
        <v>44789</v>
      </c>
      <c r="S733" s="1">
        <v>5</v>
      </c>
      <c r="U733" s="48"/>
    </row>
    <row r="734" spans="1:21" x14ac:dyDescent="0.25">
      <c r="A734" s="1" t="s">
        <v>3690</v>
      </c>
      <c r="B734" s="1">
        <v>2022</v>
      </c>
      <c r="C734" s="2" t="s">
        <v>286</v>
      </c>
      <c r="D734" s="1" t="s">
        <v>287</v>
      </c>
      <c r="E734" s="1">
        <v>302099</v>
      </c>
      <c r="F734" s="1" t="s">
        <v>37</v>
      </c>
      <c r="G734" s="11">
        <v>44789</v>
      </c>
      <c r="H734" s="11" t="s">
        <v>50</v>
      </c>
      <c r="I734" s="2" t="s">
        <v>2907</v>
      </c>
      <c r="J734" s="2" t="s">
        <v>2908</v>
      </c>
      <c r="K734" s="12">
        <v>0.01736111110949423</v>
      </c>
      <c r="L734" s="12">
        <v>0.020833333332120674</v>
      </c>
      <c r="M734" s="13">
        <f>CRF_3[[#This Row],[Time Spent on Configuration]]+CRF_3[[#This Row],[Time Spent on Review/Testing]]</f>
        <v>NaN</v>
      </c>
      <c r="O734" s="1" t="s">
        <v>483</v>
      </c>
      <c r="P734" s="1" t="s">
        <v>32</v>
      </c>
      <c r="Q734" s="1" t="s">
        <v>484</v>
      </c>
      <c r="R734" s="11">
        <v>44789</v>
      </c>
      <c r="S734" s="1">
        <v>5</v>
      </c>
      <c r="U734" s="48"/>
    </row>
    <row r="735" ht="30" customHeight="1" spans="1:21" x14ac:dyDescent="0.25">
      <c r="A735" s="1" t="s">
        <v>3690</v>
      </c>
      <c r="B735" s="1">
        <v>2022</v>
      </c>
      <c r="C735" s="2" t="s">
        <v>113</v>
      </c>
      <c r="D735" s="1" t="s">
        <v>25</v>
      </c>
      <c r="E735" s="1">
        <v>301717</v>
      </c>
      <c r="F735" s="1" t="s">
        <v>37</v>
      </c>
      <c r="G735" s="11">
        <v>44790</v>
      </c>
      <c r="H735" s="11" t="s">
        <v>38</v>
      </c>
      <c r="I735" s="2" t="s">
        <v>4486</v>
      </c>
      <c r="J735" s="2" t="s">
        <v>4487</v>
      </c>
      <c r="K735" s="12">
        <v>0.01736111110949423</v>
      </c>
      <c r="L735" s="12">
        <v>0.01736111110949423</v>
      </c>
      <c r="M735" s="13">
        <f>CRF_3[[#This Row],[Time Spent on Configuration]]+CRF_3[[#This Row],[Time Spent on Review/Testing]]</f>
        <v>NaN</v>
      </c>
      <c r="O735" s="1" t="s">
        <v>31</v>
      </c>
      <c r="P735" s="1" t="s">
        <v>32</v>
      </c>
      <c r="Q735" s="1" t="s">
        <v>42</v>
      </c>
      <c r="R735" s="11">
        <v>44790</v>
      </c>
      <c r="S735" s="1">
        <v>5</v>
      </c>
      <c r="U735" s="48"/>
    </row>
    <row r="736" ht="45" customHeight="1" spans="1:21" x14ac:dyDescent="0.25">
      <c r="A736" s="1" t="s">
        <v>3690</v>
      </c>
      <c r="B736" s="1">
        <v>2022</v>
      </c>
      <c r="C736" s="2" t="s">
        <v>529</v>
      </c>
      <c r="D736" s="1" t="s">
        <v>530</v>
      </c>
      <c r="E736" s="1">
        <v>301482</v>
      </c>
      <c r="F736" s="1" t="s">
        <v>27</v>
      </c>
      <c r="G736" s="11">
        <v>44803</v>
      </c>
      <c r="H736" s="11" t="s">
        <v>38</v>
      </c>
      <c r="I736" s="2" t="s">
        <v>2913</v>
      </c>
      <c r="J736" s="2" t="s">
        <v>4488</v>
      </c>
      <c r="K736" s="12">
        <v>0.013888888890505768</v>
      </c>
      <c r="L736" s="12">
        <v>0.018055555556202307</v>
      </c>
      <c r="M736" s="13">
        <f>CRF_3[[#This Row],[Time Spent on Configuration]]+CRF_3[[#This Row],[Time Spent on Review/Testing]]</f>
        <v>NaN</v>
      </c>
      <c r="O736" s="1" t="s">
        <v>32</v>
      </c>
      <c r="P736" s="1" t="s">
        <v>483</v>
      </c>
      <c r="Q736" s="1" t="s">
        <v>484</v>
      </c>
      <c r="R736" s="11">
        <v>44803</v>
      </c>
      <c r="S736" s="1">
        <v>5</v>
      </c>
      <c r="U736" s="48"/>
    </row>
    <row r="737" ht="105" customHeight="1" spans="1:21" x14ac:dyDescent="0.25">
      <c r="A737" s="1" t="s">
        <v>3699</v>
      </c>
      <c r="B737" s="1">
        <v>2022</v>
      </c>
      <c r="C737" s="2" t="s">
        <v>258</v>
      </c>
      <c r="D737" s="1" t="s">
        <v>25</v>
      </c>
      <c r="E737" s="1">
        <v>299790</v>
      </c>
      <c r="F737" s="1" t="s">
        <v>27</v>
      </c>
      <c r="G737" s="11">
        <v>44805</v>
      </c>
      <c r="H737" s="11" t="s">
        <v>38</v>
      </c>
      <c r="I737" s="2" t="s">
        <v>4489</v>
      </c>
      <c r="J737" s="2" t="s">
        <v>4490</v>
      </c>
      <c r="K737" s="12">
        <v>0.020833333332120674</v>
      </c>
      <c r="L737" s="12"/>
      <c r="M737" s="13">
        <f>CRF_3[[#This Row],[Time Spent on Configuration]]+CRF_3[[#This Row],[Time Spent on Review/Testing]]</f>
        <v>NaN</v>
      </c>
      <c r="O737" s="1" t="s">
        <v>53</v>
      </c>
      <c r="Q737" s="1" t="s">
        <v>488</v>
      </c>
      <c r="R737" s="11">
        <v>44805</v>
      </c>
      <c r="S737" s="1">
        <v>5</v>
      </c>
      <c r="U737" s="48"/>
    </row>
    <row r="738" ht="60" customHeight="1" spans="1:21" x14ac:dyDescent="0.25">
      <c r="A738" s="1" t="s">
        <v>3699</v>
      </c>
      <c r="B738" s="1">
        <v>2022</v>
      </c>
      <c r="C738" s="2" t="s">
        <v>529</v>
      </c>
      <c r="D738" s="1" t="s">
        <v>530</v>
      </c>
      <c r="E738" s="1">
        <v>304184</v>
      </c>
      <c r="F738" s="1" t="s">
        <v>37</v>
      </c>
      <c r="G738" s="11">
        <v>44805</v>
      </c>
      <c r="H738" s="14" t="s">
        <v>28</v>
      </c>
      <c r="I738" s="2" t="s">
        <v>4491</v>
      </c>
      <c r="J738" s="2" t="s">
        <v>4492</v>
      </c>
      <c r="K738" s="12">
        <v>0.03125</v>
      </c>
      <c r="L738" s="12">
        <v>0.041666666667879326</v>
      </c>
      <c r="M738" s="13">
        <f>CRF_3[[#This Row],[Time Spent on Configuration]]+CRF_3[[#This Row],[Time Spent on Review/Testing]]</f>
        <v>NaN</v>
      </c>
      <c r="O738" s="1" t="s">
        <v>31</v>
      </c>
      <c r="P738" s="1" t="s">
        <v>483</v>
      </c>
      <c r="Q738" s="1" t="s">
        <v>484</v>
      </c>
      <c r="R738" s="11">
        <v>44805</v>
      </c>
      <c r="S738" s="1">
        <v>5</v>
      </c>
      <c r="U738" s="48"/>
    </row>
    <row r="739" ht="45" customHeight="1" spans="1:21" x14ac:dyDescent="0.25">
      <c r="A739" s="1" t="s">
        <v>3699</v>
      </c>
      <c r="B739" s="1">
        <v>2022</v>
      </c>
      <c r="C739" s="2" t="s">
        <v>529</v>
      </c>
      <c r="D739" s="1" t="s">
        <v>530</v>
      </c>
      <c r="E739" s="1">
        <v>297851</v>
      </c>
      <c r="F739" s="1" t="s">
        <v>27</v>
      </c>
      <c r="G739" s="11">
        <v>44805</v>
      </c>
      <c r="H739" s="11" t="s">
        <v>38</v>
      </c>
      <c r="I739" s="2" t="s">
        <v>2923</v>
      </c>
      <c r="J739" s="2" t="s">
        <v>4493</v>
      </c>
      <c r="K739" s="12">
        <v>0.052083333332120674</v>
      </c>
      <c r="L739" s="12">
        <v>0.04861111110949423</v>
      </c>
      <c r="M739" s="13">
        <f>CRF_3[[#This Row],[Time Spent on Configuration]]+CRF_3[[#This Row],[Time Spent on Review/Testing]]</f>
        <v>NaN</v>
      </c>
      <c r="O739" s="1" t="s">
        <v>31</v>
      </c>
      <c r="P739" s="1" t="s">
        <v>483</v>
      </c>
      <c r="Q739" s="1" t="s">
        <v>484</v>
      </c>
      <c r="R739" s="11">
        <v>44805</v>
      </c>
      <c r="S739" s="1">
        <v>5</v>
      </c>
      <c r="U739" s="48"/>
    </row>
    <row r="740" ht="60" customHeight="1" spans="1:21" x14ac:dyDescent="0.25">
      <c r="A740" s="1" t="s">
        <v>3699</v>
      </c>
      <c r="B740" s="1">
        <v>2022</v>
      </c>
      <c r="C740" s="2" t="s">
        <v>2315</v>
      </c>
      <c r="D740" s="1" t="s">
        <v>25</v>
      </c>
      <c r="E740" s="1">
        <v>305739</v>
      </c>
      <c r="F740" s="1" t="s">
        <v>27</v>
      </c>
      <c r="G740" s="11">
        <v>44819</v>
      </c>
      <c r="H740" s="11" t="s">
        <v>38</v>
      </c>
      <c r="I740" s="2" t="s">
        <v>4494</v>
      </c>
      <c r="J740" s="2" t="s">
        <v>4495</v>
      </c>
      <c r="K740" s="12">
        <v>0.03125</v>
      </c>
      <c r="L740" s="12">
        <v>0.03472222222262644</v>
      </c>
      <c r="M740" s="13">
        <f>CRF_3[[#This Row],[Time Spent on Configuration]]+CRF_3[[#This Row],[Time Spent on Review/Testing]]</f>
        <v>NaN</v>
      </c>
      <c r="O740" s="1" t="s">
        <v>31</v>
      </c>
      <c r="P740" s="1" t="s">
        <v>32</v>
      </c>
      <c r="Q740" s="1" t="s">
        <v>484</v>
      </c>
      <c r="R740" s="11">
        <v>44819</v>
      </c>
      <c r="S740" s="1">
        <v>5</v>
      </c>
      <c r="U740" s="48"/>
    </row>
    <row r="741" spans="1:21" x14ac:dyDescent="0.25">
      <c r="A741" s="1" t="s">
        <v>3699</v>
      </c>
      <c r="B741" s="1">
        <v>2022</v>
      </c>
      <c r="C741" s="2" t="s">
        <v>163</v>
      </c>
      <c r="D741" s="1" t="s">
        <v>25</v>
      </c>
      <c r="E741" s="1">
        <v>305983</v>
      </c>
      <c r="F741" s="1" t="s">
        <v>27</v>
      </c>
      <c r="G741" s="11">
        <v>44820</v>
      </c>
      <c r="H741" s="11" t="s">
        <v>38</v>
      </c>
      <c r="I741" s="2" t="s">
        <v>2929</v>
      </c>
      <c r="J741" s="2" t="s">
        <v>4496</v>
      </c>
      <c r="K741" s="12">
        <v>0.020833333332120674</v>
      </c>
      <c r="L741" s="12">
        <v>0.03125</v>
      </c>
      <c r="M741" s="13">
        <f>CRF_3[[#This Row],[Time Spent on Configuration]]+CRF_3[[#This Row],[Time Spent on Review/Testing]]</f>
        <v>NaN</v>
      </c>
      <c r="O741" s="1" t="s">
        <v>574</v>
      </c>
      <c r="P741" s="1" t="s">
        <v>32</v>
      </c>
      <c r="Q741" s="1" t="s">
        <v>488</v>
      </c>
      <c r="R741" s="11">
        <v>44820</v>
      </c>
      <c r="S741" s="1">
        <v>5</v>
      </c>
      <c r="U741" s="48"/>
    </row>
    <row r="742" spans="1:21" x14ac:dyDescent="0.25">
      <c r="A742" s="1" t="s">
        <v>3699</v>
      </c>
      <c r="B742" s="1">
        <v>2022</v>
      </c>
      <c r="C742" s="2" t="s">
        <v>985</v>
      </c>
      <c r="D742" s="1" t="s">
        <v>25</v>
      </c>
      <c r="E742" s="1">
        <v>305729</v>
      </c>
      <c r="F742" s="1" t="s">
        <v>27</v>
      </c>
      <c r="G742" s="11">
        <v>44820</v>
      </c>
      <c r="H742" s="11" t="s">
        <v>38</v>
      </c>
      <c r="I742" s="2" t="s">
        <v>2932</v>
      </c>
      <c r="J742" s="2" t="s">
        <v>2933</v>
      </c>
      <c r="K742" s="12">
        <v>0.020833333332120674</v>
      </c>
      <c r="L742" s="12">
        <v>0.020833333332120674</v>
      </c>
      <c r="M742" s="13">
        <f>CRF_3[[#This Row],[Time Spent on Configuration]]+CRF_3[[#This Row],[Time Spent on Review/Testing]]</f>
        <v>NaN</v>
      </c>
      <c r="O742" s="1" t="s">
        <v>574</v>
      </c>
      <c r="P742" s="1" t="s">
        <v>32</v>
      </c>
      <c r="Q742" s="1" t="s">
        <v>488</v>
      </c>
      <c r="R742" s="11">
        <v>44820</v>
      </c>
      <c r="S742" s="1">
        <v>5</v>
      </c>
      <c r="U742" s="48"/>
    </row>
    <row r="743" ht="180" customHeight="1" spans="1:21" x14ac:dyDescent="0.25">
      <c r="A743" s="1" t="s">
        <v>3699</v>
      </c>
      <c r="B743" s="1">
        <v>2022</v>
      </c>
      <c r="C743" s="2" t="s">
        <v>616</v>
      </c>
      <c r="D743" s="1" t="s">
        <v>617</v>
      </c>
      <c r="E743" s="1">
        <v>306152</v>
      </c>
      <c r="F743" s="1" t="s">
        <v>37</v>
      </c>
      <c r="G743" s="11">
        <v>44826</v>
      </c>
      <c r="H743" s="14" t="s">
        <v>28</v>
      </c>
      <c r="I743" s="2" t="s">
        <v>4497</v>
      </c>
      <c r="J743" s="2" t="s">
        <v>4498</v>
      </c>
      <c r="K743" s="12">
        <v>0.020833333332120674</v>
      </c>
      <c r="L743" s="12">
        <v>0.041666666667879326</v>
      </c>
      <c r="M743" s="13">
        <f>CRF_3[[#This Row],[Time Spent on Configuration]]+CRF_3[[#This Row],[Time Spent on Review/Testing]]</f>
        <v>NaN</v>
      </c>
      <c r="O743" s="1" t="s">
        <v>32</v>
      </c>
      <c r="P743" s="1" t="s">
        <v>483</v>
      </c>
      <c r="Q743" s="1" t="s">
        <v>484</v>
      </c>
      <c r="R743" s="11">
        <v>44826</v>
      </c>
      <c r="S743" s="1">
        <v>5</v>
      </c>
      <c r="U743" s="48"/>
    </row>
    <row r="744" spans="1:21" x14ac:dyDescent="0.25">
      <c r="A744" s="1" t="s">
        <v>3699</v>
      </c>
      <c r="B744" s="1">
        <v>2022</v>
      </c>
      <c r="C744" s="2" t="s">
        <v>258</v>
      </c>
      <c r="D744" s="1" t="s">
        <v>25</v>
      </c>
      <c r="E744" s="1">
        <v>306677</v>
      </c>
      <c r="F744" s="1" t="s">
        <v>27</v>
      </c>
      <c r="G744" s="11">
        <v>44832</v>
      </c>
      <c r="H744" s="11" t="s">
        <v>38</v>
      </c>
      <c r="I744" s="2" t="s">
        <v>2938</v>
      </c>
      <c r="J744" s="2" t="s">
        <v>2939</v>
      </c>
      <c r="K744" s="12">
        <v>0.041666666667879326</v>
      </c>
      <c r="L744" s="12">
        <v>0.027777777777373558</v>
      </c>
      <c r="M744" s="13">
        <f>CRF_3[[#This Row],[Time Spent on Configuration]]+CRF_3[[#This Row],[Time Spent on Review/Testing]]</f>
        <v>NaN</v>
      </c>
      <c r="O744" s="1" t="s">
        <v>574</v>
      </c>
      <c r="P744" s="1" t="s">
        <v>483</v>
      </c>
      <c r="Q744" s="1" t="s">
        <v>488</v>
      </c>
      <c r="R744" s="11">
        <v>44832</v>
      </c>
      <c r="S744" s="1">
        <v>5</v>
      </c>
      <c r="U744" s="48"/>
    </row>
    <row r="745" ht="105" customHeight="1" spans="1:21" x14ac:dyDescent="0.25">
      <c r="A745" s="1" t="s">
        <v>3699</v>
      </c>
      <c r="B745" s="1">
        <v>2022</v>
      </c>
      <c r="C745" s="2" t="s">
        <v>258</v>
      </c>
      <c r="D745" s="1" t="s">
        <v>25</v>
      </c>
      <c r="E745" s="1">
        <v>306677</v>
      </c>
      <c r="F745" s="1" t="s">
        <v>27</v>
      </c>
      <c r="G745" s="11">
        <v>44834</v>
      </c>
      <c r="H745" s="11" t="s">
        <v>38</v>
      </c>
      <c r="I745" s="2" t="s">
        <v>4499</v>
      </c>
      <c r="J745" s="2" t="s">
        <v>2941</v>
      </c>
      <c r="K745" s="12">
        <v>0.01736111110949423</v>
      </c>
      <c r="L745" s="12">
        <v>0.013888888890505768</v>
      </c>
      <c r="M745" s="13">
        <f>CRF_3[[#This Row],[Time Spent on Configuration]]+CRF_3[[#This Row],[Time Spent on Review/Testing]]</f>
        <v>NaN</v>
      </c>
      <c r="O745" s="1" t="s">
        <v>32</v>
      </c>
      <c r="P745" s="1" t="s">
        <v>483</v>
      </c>
      <c r="Q745" s="1" t="s">
        <v>488</v>
      </c>
      <c r="R745" s="11">
        <v>44834</v>
      </c>
      <c r="S745" s="1">
        <v>5</v>
      </c>
      <c r="U745" s="48"/>
    </row>
    <row r="746" ht="45" customHeight="1" spans="1:21" x14ac:dyDescent="0.25">
      <c r="A746" s="1" t="s">
        <v>3708</v>
      </c>
      <c r="B746" s="1">
        <v>2022</v>
      </c>
      <c r="C746" s="2" t="s">
        <v>2813</v>
      </c>
      <c r="D746" s="1" t="s">
        <v>25</v>
      </c>
      <c r="E746" s="1">
        <v>297582</v>
      </c>
      <c r="F746" s="1" t="s">
        <v>37</v>
      </c>
      <c r="G746" s="11">
        <v>44835</v>
      </c>
      <c r="H746" s="14" t="s">
        <v>133</v>
      </c>
      <c r="I746" s="2" t="s">
        <v>4500</v>
      </c>
      <c r="J746" s="2" t="s">
        <v>4501</v>
      </c>
      <c r="K746" s="12">
        <v>0.01736111110949423</v>
      </c>
      <c r="L746" s="12">
        <v>0.018749999999272404</v>
      </c>
      <c r="M746" s="13">
        <f>CRF_3[[#This Row],[Time Spent on Configuration]]+CRF_3[[#This Row],[Time Spent on Review/Testing]]</f>
        <v>NaN</v>
      </c>
      <c r="O746" s="1" t="s">
        <v>31</v>
      </c>
      <c r="P746" s="1" t="s">
        <v>483</v>
      </c>
      <c r="Q746" s="1" t="s">
        <v>488</v>
      </c>
      <c r="R746" s="11">
        <v>44835</v>
      </c>
      <c r="S746" s="1">
        <v>5</v>
      </c>
      <c r="U746" s="48"/>
    </row>
    <row r="747" spans="1:21" x14ac:dyDescent="0.25">
      <c r="A747" s="1" t="s">
        <v>3708</v>
      </c>
      <c r="B747" s="1">
        <v>2022</v>
      </c>
      <c r="C747" s="2" t="s">
        <v>286</v>
      </c>
      <c r="D747" s="1" t="s">
        <v>287</v>
      </c>
      <c r="E747" s="1">
        <v>307444</v>
      </c>
      <c r="F747" s="1" t="s">
        <v>37</v>
      </c>
      <c r="G747" s="11">
        <v>44840</v>
      </c>
      <c r="H747" s="11" t="s">
        <v>50</v>
      </c>
      <c r="I747" s="2" t="s">
        <v>2947</v>
      </c>
      <c r="J747" s="2" t="s">
        <v>2948</v>
      </c>
      <c r="K747" s="12">
        <v>0.020833333332120674</v>
      </c>
      <c r="L747" s="12">
        <v>0.022222222221898846</v>
      </c>
      <c r="M747" s="13">
        <f>CRF_3[[#This Row],[Time Spent on Configuration]]+CRF_3[[#This Row],[Time Spent on Review/Testing]]</f>
        <v>NaN</v>
      </c>
      <c r="O747" s="1" t="s">
        <v>32</v>
      </c>
      <c r="P747" s="1" t="s">
        <v>483</v>
      </c>
      <c r="Q747" s="1" t="s">
        <v>484</v>
      </c>
      <c r="R747" s="11">
        <v>44840</v>
      </c>
      <c r="S747" s="1">
        <v>5</v>
      </c>
      <c r="U747" s="48"/>
    </row>
    <row r="748" ht="75" customHeight="1" spans="1:21" x14ac:dyDescent="0.25">
      <c r="A748" s="1" t="s">
        <v>3708</v>
      </c>
      <c r="B748" s="1">
        <v>2022</v>
      </c>
      <c r="C748" s="2" t="s">
        <v>529</v>
      </c>
      <c r="D748" s="1" t="s">
        <v>530</v>
      </c>
      <c r="E748" s="1">
        <v>308624</v>
      </c>
      <c r="F748" s="1" t="s">
        <v>37</v>
      </c>
      <c r="G748" s="11">
        <v>44852</v>
      </c>
      <c r="H748" s="11" t="s">
        <v>2950</v>
      </c>
      <c r="I748" s="2" t="s">
        <v>4502</v>
      </c>
      <c r="J748" s="2" t="s">
        <v>2952</v>
      </c>
      <c r="K748" s="12">
        <v>0.020833333332120674</v>
      </c>
      <c r="L748" s="12">
        <v>0.041666666667879326</v>
      </c>
      <c r="M748" s="13">
        <f>CRF_3[[#This Row],[Time Spent on Configuration]]+CRF_3[[#This Row],[Time Spent on Review/Testing]]</f>
        <v>NaN</v>
      </c>
      <c r="O748" s="1" t="s">
        <v>32</v>
      </c>
      <c r="P748" s="1" t="s">
        <v>483</v>
      </c>
      <c r="Q748" s="1" t="s">
        <v>484</v>
      </c>
      <c r="R748" s="11">
        <v>44852</v>
      </c>
      <c r="S748" s="1">
        <v>5</v>
      </c>
      <c r="U748" s="48"/>
    </row>
    <row r="749" ht="180" customHeight="1" spans="1:21" x14ac:dyDescent="0.25">
      <c r="A749" s="1" t="s">
        <v>3708</v>
      </c>
      <c r="B749" s="1">
        <v>2022</v>
      </c>
      <c r="C749" s="2" t="s">
        <v>529</v>
      </c>
      <c r="D749" s="1" t="s">
        <v>530</v>
      </c>
      <c r="E749" s="1">
        <v>304215</v>
      </c>
      <c r="F749" s="1" t="s">
        <v>37</v>
      </c>
      <c r="G749" s="11">
        <v>44858</v>
      </c>
      <c r="H749" s="11" t="s">
        <v>2950</v>
      </c>
      <c r="I749" s="2" t="s">
        <v>4503</v>
      </c>
      <c r="J749" s="2" t="s">
        <v>2955</v>
      </c>
      <c r="K749" s="12">
        <v>0.020833333332120674</v>
      </c>
      <c r="L749" s="12">
        <v>0.041666666667879326</v>
      </c>
      <c r="M749" s="13">
        <f>CRF_3[[#This Row],[Time Spent on Configuration]]+CRF_3[[#This Row],[Time Spent on Review/Testing]]</f>
        <v>NaN</v>
      </c>
      <c r="O749" s="1" t="s">
        <v>53</v>
      </c>
      <c r="P749" s="1" t="s">
        <v>483</v>
      </c>
      <c r="Q749" s="1" t="s">
        <v>484</v>
      </c>
      <c r="R749" s="11">
        <v>44858</v>
      </c>
      <c r="S749" s="1">
        <v>5</v>
      </c>
      <c r="U749" s="48"/>
    </row>
    <row r="750" ht="75" customHeight="1" spans="1:21" x14ac:dyDescent="0.25">
      <c r="A750" s="1" t="s">
        <v>3708</v>
      </c>
      <c r="B750" s="1">
        <v>2022</v>
      </c>
      <c r="C750" s="2" t="s">
        <v>2315</v>
      </c>
      <c r="D750" s="1" t="s">
        <v>25</v>
      </c>
      <c r="E750" s="1">
        <v>308550</v>
      </c>
      <c r="F750" s="1" t="s">
        <v>27</v>
      </c>
      <c r="G750" s="11">
        <v>44861</v>
      </c>
      <c r="H750" s="11" t="s">
        <v>38</v>
      </c>
      <c r="I750" s="2" t="s">
        <v>4504</v>
      </c>
      <c r="J750" s="2" t="s">
        <v>4504</v>
      </c>
      <c r="K750" s="12">
        <v>0.0625</v>
      </c>
      <c r="L750" s="12">
        <v>0.0625</v>
      </c>
      <c r="M750" s="13">
        <f>CRF_3[[#This Row],[Time Spent on Configuration]]+CRF_3[[#This Row],[Time Spent on Review/Testing]]</f>
        <v>NaN</v>
      </c>
      <c r="O750" s="1" t="s">
        <v>31</v>
      </c>
      <c r="P750" s="1" t="s">
        <v>32</v>
      </c>
      <c r="Q750" s="1" t="s">
        <v>488</v>
      </c>
      <c r="R750" s="11">
        <v>44861</v>
      </c>
      <c r="S750" s="1">
        <v>5</v>
      </c>
      <c r="U750" s="48"/>
    </row>
    <row r="751" ht="45" customHeight="1" spans="1:21" x14ac:dyDescent="0.25">
      <c r="A751" s="1" t="s">
        <v>3708</v>
      </c>
      <c r="B751" s="1">
        <v>2022</v>
      </c>
      <c r="C751" s="2" t="s">
        <v>288</v>
      </c>
      <c r="D751" s="1" t="s">
        <v>289</v>
      </c>
      <c r="E751" s="1">
        <v>299675</v>
      </c>
      <c r="F751" s="1" t="s">
        <v>27</v>
      </c>
      <c r="G751" s="11">
        <v>44862</v>
      </c>
      <c r="H751" s="11" t="s">
        <v>38</v>
      </c>
      <c r="I751" s="2" t="s">
        <v>4505</v>
      </c>
      <c r="J751" s="2" t="s">
        <v>4506</v>
      </c>
      <c r="K751" s="12">
        <v>0.020833333332120674</v>
      </c>
      <c r="L751" s="12">
        <v>0.024305555554747116</v>
      </c>
      <c r="M751" s="13">
        <f>CRF_3[[#This Row],[Time Spent on Configuration]]+CRF_3[[#This Row],[Time Spent on Review/Testing]]</f>
        <v>NaN</v>
      </c>
      <c r="O751" s="1" t="s">
        <v>53</v>
      </c>
      <c r="P751" s="1" t="s">
        <v>32</v>
      </c>
      <c r="Q751" s="1" t="s">
        <v>488</v>
      </c>
      <c r="R751" s="11">
        <v>44862</v>
      </c>
      <c r="S751" s="1">
        <v>5</v>
      </c>
      <c r="U751" s="48"/>
    </row>
    <row r="752" ht="45" customHeight="1" spans="1:21" x14ac:dyDescent="0.25">
      <c r="A752" s="1" t="s">
        <v>3725</v>
      </c>
      <c r="B752" s="1">
        <v>2022</v>
      </c>
      <c r="C752" s="2" t="s">
        <v>1451</v>
      </c>
      <c r="D752" s="1" t="s">
        <v>287</v>
      </c>
      <c r="E752" s="1">
        <v>309172</v>
      </c>
      <c r="F752" s="1" t="s">
        <v>37</v>
      </c>
      <c r="G752" s="11">
        <v>44868</v>
      </c>
      <c r="H752" s="11" t="s">
        <v>38</v>
      </c>
      <c r="I752" s="2" t="s">
        <v>4507</v>
      </c>
      <c r="J752" s="2" t="s">
        <v>2964</v>
      </c>
      <c r="K752" s="12">
        <v>0.020833333332120674</v>
      </c>
      <c r="L752" s="12">
        <v>0.020833333332120674</v>
      </c>
      <c r="M752" s="13">
        <f>CRF_3[[#This Row],[Time Spent on Configuration]]+CRF_3[[#This Row],[Time Spent on Review/Testing]]</f>
        <v>NaN</v>
      </c>
      <c r="O752" s="1" t="s">
        <v>31</v>
      </c>
      <c r="P752" s="1" t="s">
        <v>483</v>
      </c>
      <c r="Q752" s="1" t="s">
        <v>484</v>
      </c>
      <c r="R752" s="11">
        <v>44868</v>
      </c>
      <c r="S752" s="1">
        <v>5</v>
      </c>
      <c r="U752" s="48"/>
    </row>
    <row r="753" ht="60" customHeight="1" spans="1:21" x14ac:dyDescent="0.25">
      <c r="A753" s="1" t="s">
        <v>3725</v>
      </c>
      <c r="B753" s="1">
        <v>2022</v>
      </c>
      <c r="C753" s="2" t="s">
        <v>258</v>
      </c>
      <c r="D753" s="1" t="s">
        <v>25</v>
      </c>
      <c r="E753" s="1">
        <v>308913</v>
      </c>
      <c r="F753" s="1" t="s">
        <v>37</v>
      </c>
      <c r="G753" s="11">
        <v>44868</v>
      </c>
      <c r="H753" s="14" t="s">
        <v>28</v>
      </c>
      <c r="I753" s="2" t="s">
        <v>4508</v>
      </c>
      <c r="J753" s="2" t="s">
        <v>4509</v>
      </c>
      <c r="K753" s="12">
        <v>0.03125</v>
      </c>
      <c r="L753" s="12">
        <v>0.038194444445252884</v>
      </c>
      <c r="M753" s="13">
        <f>CRF_3[[#This Row],[Time Spent on Configuration]]+CRF_3[[#This Row],[Time Spent on Review/Testing]]</f>
        <v>NaN</v>
      </c>
      <c r="O753" s="1" t="s">
        <v>31</v>
      </c>
      <c r="P753" s="1" t="s">
        <v>483</v>
      </c>
      <c r="Q753" s="1" t="s">
        <v>488</v>
      </c>
      <c r="R753" s="11">
        <v>44868</v>
      </c>
      <c r="S753" s="1">
        <v>5</v>
      </c>
      <c r="U753" s="48"/>
    </row>
    <row r="754" ht="30" customHeight="1" spans="1:21" x14ac:dyDescent="0.25">
      <c r="A754" s="1" t="s">
        <v>3725</v>
      </c>
      <c r="B754" s="1">
        <v>2022</v>
      </c>
      <c r="C754" s="2" t="s">
        <v>288</v>
      </c>
      <c r="D754" s="1" t="s">
        <v>289</v>
      </c>
      <c r="E754" s="1">
        <v>299675</v>
      </c>
      <c r="F754" s="1" t="s">
        <v>27</v>
      </c>
      <c r="G754" s="11">
        <v>44872</v>
      </c>
      <c r="H754" s="11" t="s">
        <v>38</v>
      </c>
      <c r="I754" s="2" t="s">
        <v>2968</v>
      </c>
      <c r="J754" s="2" t="s">
        <v>2969</v>
      </c>
      <c r="K754" s="12">
        <v>0.020833333332120674</v>
      </c>
      <c r="L754" s="12">
        <v>0.024305555554747116</v>
      </c>
      <c r="M754" s="13">
        <f>CRF_3[[#This Row],[Time Spent on Configuration]]+CRF_3[[#This Row],[Time Spent on Review/Testing]]</f>
        <v>NaN</v>
      </c>
      <c r="O754" s="1" t="s">
        <v>54</v>
      </c>
      <c r="P754" s="1" t="s">
        <v>32</v>
      </c>
      <c r="Q754" s="1" t="s">
        <v>488</v>
      </c>
      <c r="R754" s="11">
        <v>44872</v>
      </c>
      <c r="S754" s="1">
        <v>5</v>
      </c>
      <c r="U754" s="48"/>
    </row>
    <row r="755" ht="45" customHeight="1" spans="1:21" x14ac:dyDescent="0.25">
      <c r="A755" s="1" t="s">
        <v>3725</v>
      </c>
      <c r="B755" s="1">
        <v>2022</v>
      </c>
      <c r="C755" s="2" t="s">
        <v>185</v>
      </c>
      <c r="D755" s="1" t="s">
        <v>186</v>
      </c>
      <c r="E755" s="1">
        <v>310132</v>
      </c>
      <c r="F755" s="1" t="s">
        <v>27</v>
      </c>
      <c r="G755" s="11">
        <v>44873</v>
      </c>
      <c r="H755" s="11" t="s">
        <v>2775</v>
      </c>
      <c r="I755" s="2" t="s">
        <v>2971</v>
      </c>
      <c r="J755" s="2" t="s">
        <v>4510</v>
      </c>
      <c r="K755" s="12">
        <v>0.013888888890505768</v>
      </c>
      <c r="L755" s="12">
        <v>0.020833333332120674</v>
      </c>
      <c r="M755" s="13">
        <f>CRF_3[[#This Row],[Time Spent on Configuration]]+CRF_3[[#This Row],[Time Spent on Review/Testing]]</f>
        <v>NaN</v>
      </c>
      <c r="O755" s="1" t="s">
        <v>31</v>
      </c>
      <c r="P755" s="1" t="s">
        <v>32</v>
      </c>
      <c r="Q755" s="1" t="s">
        <v>484</v>
      </c>
      <c r="R755" s="11">
        <v>44873</v>
      </c>
      <c r="S755" s="1">
        <v>5</v>
      </c>
      <c r="U755" s="48"/>
    </row>
    <row r="756" spans="1:21" x14ac:dyDescent="0.25">
      <c r="A756" s="1" t="s">
        <v>3725</v>
      </c>
      <c r="B756" s="1">
        <v>2022</v>
      </c>
      <c r="C756" s="2" t="s">
        <v>35</v>
      </c>
      <c r="D756" s="1" t="s">
        <v>25</v>
      </c>
      <c r="E756" s="1">
        <v>311286</v>
      </c>
      <c r="F756" s="1" t="s">
        <v>27</v>
      </c>
      <c r="G756" s="11">
        <v>44876</v>
      </c>
      <c r="H756" s="11" t="s">
        <v>38</v>
      </c>
      <c r="I756" s="2" t="s">
        <v>2974</v>
      </c>
      <c r="J756" s="2" t="s">
        <v>2975</v>
      </c>
      <c r="K756" s="12">
        <v>0.013888888890505768</v>
      </c>
      <c r="L756" s="12">
        <v>0.024305555554747116</v>
      </c>
      <c r="M756" s="13">
        <f>CRF_3[[#This Row],[Time Spent on Configuration]]+CRF_3[[#This Row],[Time Spent on Review/Testing]]</f>
        <v>NaN</v>
      </c>
      <c r="O756" s="1" t="s">
        <v>31</v>
      </c>
      <c r="P756" s="1" t="s">
        <v>32</v>
      </c>
      <c r="Q756" s="1" t="s">
        <v>42</v>
      </c>
      <c r="R756" s="11">
        <v>44876</v>
      </c>
      <c r="S756" s="1">
        <v>5</v>
      </c>
      <c r="U756" s="48"/>
    </row>
    <row r="757" ht="60" customHeight="1" spans="1:21" x14ac:dyDescent="0.25">
      <c r="A757" s="1" t="s">
        <v>3725</v>
      </c>
      <c r="B757" s="1">
        <v>2022</v>
      </c>
      <c r="C757" s="2" t="s">
        <v>99</v>
      </c>
      <c r="D757" s="1" t="s">
        <v>25</v>
      </c>
      <c r="E757" s="1">
        <v>310615</v>
      </c>
      <c r="F757" s="1" t="s">
        <v>27</v>
      </c>
      <c r="G757" s="11">
        <v>44881</v>
      </c>
      <c r="H757" s="11" t="s">
        <v>2950</v>
      </c>
      <c r="I757" s="2" t="s">
        <v>4511</v>
      </c>
      <c r="J757" s="2" t="s">
        <v>4512</v>
      </c>
      <c r="K757" s="12">
        <v>0.027777777777373558</v>
      </c>
      <c r="L757" s="12">
        <v>0.038194444445252884</v>
      </c>
      <c r="M757" s="13">
        <f>CRF_3[[#This Row],[Time Spent on Configuration]]+CRF_3[[#This Row],[Time Spent on Review/Testing]]</f>
        <v>NaN</v>
      </c>
      <c r="O757" s="1" t="s">
        <v>32</v>
      </c>
      <c r="P757" s="1" t="s">
        <v>483</v>
      </c>
      <c r="Q757" s="1" t="s">
        <v>484</v>
      </c>
      <c r="R757" s="11">
        <v>44881</v>
      </c>
      <c r="S757" s="1">
        <v>5</v>
      </c>
      <c r="U757" s="48"/>
    </row>
    <row r="758" ht="60" customHeight="1" spans="1:21" x14ac:dyDescent="0.25">
      <c r="A758" s="1" t="s">
        <v>3725</v>
      </c>
      <c r="B758" s="1">
        <v>2022</v>
      </c>
      <c r="C758" s="2" t="s">
        <v>529</v>
      </c>
      <c r="D758" s="1" t="s">
        <v>530</v>
      </c>
      <c r="E758" s="1">
        <v>310573</v>
      </c>
      <c r="F758" s="1" t="s">
        <v>37</v>
      </c>
      <c r="G758" s="11">
        <v>44881</v>
      </c>
      <c r="H758" s="11" t="s">
        <v>2950</v>
      </c>
      <c r="I758" s="2" t="s">
        <v>4513</v>
      </c>
      <c r="J758" s="2" t="s">
        <v>4514</v>
      </c>
      <c r="K758" s="12">
        <v>0.020833333332120674</v>
      </c>
      <c r="L758" s="12">
        <v>0.03125</v>
      </c>
      <c r="M758" s="13">
        <f>CRF_3[[#This Row],[Time Spent on Configuration]]+CRF_3[[#This Row],[Time Spent on Review/Testing]]</f>
        <v>NaN</v>
      </c>
      <c r="O758" s="1" t="s">
        <v>32</v>
      </c>
      <c r="P758" s="1" t="s">
        <v>483</v>
      </c>
      <c r="Q758" s="1" t="s">
        <v>484</v>
      </c>
      <c r="R758" s="11">
        <v>44881</v>
      </c>
      <c r="S758" s="1">
        <v>5</v>
      </c>
      <c r="U758" s="48"/>
    </row>
    <row r="759" ht="45" customHeight="1" spans="1:21" x14ac:dyDescent="0.25">
      <c r="A759" s="1" t="s">
        <v>3725</v>
      </c>
      <c r="B759" s="1">
        <v>2022</v>
      </c>
      <c r="C759" s="2" t="s">
        <v>43</v>
      </c>
      <c r="D759" s="1" t="s">
        <v>44</v>
      </c>
      <c r="E759" s="1">
        <v>312329</v>
      </c>
      <c r="F759" s="1" t="s">
        <v>37</v>
      </c>
      <c r="G759" s="11">
        <v>44882</v>
      </c>
      <c r="H759" s="14" t="s">
        <v>133</v>
      </c>
      <c r="I759" s="2" t="s">
        <v>2983</v>
      </c>
      <c r="J759" s="2" t="s">
        <v>4515</v>
      </c>
      <c r="K759" s="12">
        <v>0.010416666667879326</v>
      </c>
      <c r="L759" s="12">
        <v>0.01736111110949423</v>
      </c>
      <c r="M759" s="13">
        <f>CRF_3[[#This Row],[Time Spent on Configuration]]+CRF_3[[#This Row],[Time Spent on Review/Testing]]</f>
        <v>NaN</v>
      </c>
      <c r="O759" s="1" t="s">
        <v>32</v>
      </c>
      <c r="P759" s="1" t="s">
        <v>483</v>
      </c>
      <c r="Q759" s="1" t="s">
        <v>484</v>
      </c>
      <c r="R759" s="11">
        <v>44882</v>
      </c>
      <c r="S759" s="1">
        <v>5</v>
      </c>
      <c r="U759" s="48"/>
    </row>
    <row r="760" ht="30" customHeight="1" spans="1:21" x14ac:dyDescent="0.25">
      <c r="A760" s="1" t="s">
        <v>3725</v>
      </c>
      <c r="B760" s="1">
        <v>2022</v>
      </c>
      <c r="C760" s="2" t="s">
        <v>288</v>
      </c>
      <c r="D760" s="1" t="s">
        <v>289</v>
      </c>
      <c r="E760" s="1">
        <v>310340</v>
      </c>
      <c r="F760" s="1" t="s">
        <v>37</v>
      </c>
      <c r="G760" s="11">
        <v>44884</v>
      </c>
      <c r="H760" s="11" t="s">
        <v>38</v>
      </c>
      <c r="I760" s="2" t="s">
        <v>2986</v>
      </c>
      <c r="J760" s="2" t="s">
        <v>2987</v>
      </c>
      <c r="K760" s="12">
        <v>0.003472222222626442</v>
      </c>
      <c r="L760" s="12">
        <v>0.003472222222626442</v>
      </c>
      <c r="M760" s="13">
        <f>CRF_3[[#This Row],[Time Spent on Configuration]]+CRF_3[[#This Row],[Time Spent on Review/Testing]]</f>
        <v>NaN</v>
      </c>
      <c r="O760" s="1" t="s">
        <v>31</v>
      </c>
      <c r="P760" s="1" t="s">
        <v>31</v>
      </c>
      <c r="Q760" s="1" t="s">
        <v>488</v>
      </c>
      <c r="R760" s="11">
        <v>44884</v>
      </c>
      <c r="S760" s="1">
        <v>5</v>
      </c>
      <c r="U760" s="48"/>
    </row>
    <row r="761" ht="45" customHeight="1" spans="1:21" x14ac:dyDescent="0.25">
      <c r="A761" s="1" t="s">
        <v>3725</v>
      </c>
      <c r="B761" s="1">
        <v>2022</v>
      </c>
      <c r="C761" s="2" t="s">
        <v>99</v>
      </c>
      <c r="D761" s="1" t="s">
        <v>25</v>
      </c>
      <c r="E761" s="1">
        <v>313084</v>
      </c>
      <c r="F761" s="1" t="s">
        <v>37</v>
      </c>
      <c r="G761" s="11">
        <v>44889</v>
      </c>
      <c r="H761" s="11" t="s">
        <v>2950</v>
      </c>
      <c r="I761" s="2" t="s">
        <v>2989</v>
      </c>
      <c r="J761" s="2" t="s">
        <v>4516</v>
      </c>
      <c r="K761" s="12">
        <v>0.024305555554747116</v>
      </c>
      <c r="L761" s="12">
        <v>0.041666666667879326</v>
      </c>
      <c r="M761" s="13">
        <f>CRF_3[[#This Row],[Time Spent on Configuration]]+CRF_3[[#This Row],[Time Spent on Review/Testing]]</f>
        <v>NaN</v>
      </c>
      <c r="O761" s="1" t="s">
        <v>32</v>
      </c>
      <c r="P761" s="1" t="s">
        <v>483</v>
      </c>
      <c r="Q761" s="1" t="s">
        <v>484</v>
      </c>
      <c r="R761" s="11">
        <v>44889</v>
      </c>
      <c r="S761" s="1">
        <v>5</v>
      </c>
      <c r="U761" s="48"/>
    </row>
    <row r="762" ht="285" customHeight="1" spans="1:21" x14ac:dyDescent="0.25">
      <c r="A762" s="1" t="s">
        <v>3725</v>
      </c>
      <c r="B762" s="1">
        <v>2022</v>
      </c>
      <c r="C762" s="2" t="s">
        <v>2473</v>
      </c>
      <c r="D762" s="1" t="s">
        <v>530</v>
      </c>
      <c r="E762" s="1">
        <v>310573</v>
      </c>
      <c r="F762" s="1" t="s">
        <v>37</v>
      </c>
      <c r="G762" s="11">
        <v>44889</v>
      </c>
      <c r="H762" s="11" t="s">
        <v>2950</v>
      </c>
      <c r="I762" s="2" t="s">
        <v>2991</v>
      </c>
      <c r="J762" s="2" t="s">
        <v>4517</v>
      </c>
      <c r="K762" s="12">
        <v>0.03472222222262644</v>
      </c>
      <c r="L762" s="12">
        <v>0.020833333332120674</v>
      </c>
      <c r="M762" s="13">
        <f>CRF_3[[#This Row],[Time Spent on Configuration]]+CRF_3[[#This Row],[Time Spent on Review/Testing]]</f>
        <v>NaN</v>
      </c>
      <c r="O762" s="1" t="s">
        <v>31</v>
      </c>
      <c r="P762" s="1" t="s">
        <v>32</v>
      </c>
      <c r="Q762" s="1" t="s">
        <v>484</v>
      </c>
      <c r="R762" s="11">
        <v>44889</v>
      </c>
      <c r="S762" s="1">
        <v>5</v>
      </c>
      <c r="U762" s="48"/>
    </row>
    <row r="763" ht="150" customHeight="1" spans="1:21" x14ac:dyDescent="0.25">
      <c r="A763" s="1" t="s">
        <v>3725</v>
      </c>
      <c r="B763" s="1">
        <v>2022</v>
      </c>
      <c r="C763" s="2" t="s">
        <v>525</v>
      </c>
      <c r="D763" s="1" t="s">
        <v>25</v>
      </c>
      <c r="E763" s="1">
        <v>314522</v>
      </c>
      <c r="F763" s="1" t="s">
        <v>37</v>
      </c>
      <c r="G763" s="11">
        <v>44897</v>
      </c>
      <c r="H763" s="11" t="s">
        <v>2950</v>
      </c>
      <c r="I763" s="2" t="s">
        <v>4518</v>
      </c>
      <c r="J763" s="2" t="s">
        <v>4519</v>
      </c>
      <c r="K763" s="12">
        <v>0.020833333332120674</v>
      </c>
      <c r="L763" s="12">
        <v>0.041666666667879326</v>
      </c>
      <c r="M763" s="13">
        <f>CRF_3[[#This Row],[Time Spent on Configuration]]+CRF_3[[#This Row],[Time Spent on Review/Testing]]</f>
        <v>NaN</v>
      </c>
      <c r="O763" s="1" t="s">
        <v>53</v>
      </c>
      <c r="P763" s="1" t="s">
        <v>483</v>
      </c>
      <c r="Q763" s="1" t="s">
        <v>484</v>
      </c>
      <c r="R763" s="11">
        <v>44897</v>
      </c>
      <c r="S763" s="1">
        <v>5</v>
      </c>
      <c r="U763" s="48"/>
    </row>
    <row r="764" ht="105" customHeight="1" spans="1:21" x14ac:dyDescent="0.25">
      <c r="A764" s="1" t="s">
        <v>3733</v>
      </c>
      <c r="B764" s="1">
        <v>2022</v>
      </c>
      <c r="C764" s="2" t="s">
        <v>2997</v>
      </c>
      <c r="D764" s="1" t="s">
        <v>25</v>
      </c>
      <c r="E764" s="1">
        <v>304744</v>
      </c>
      <c r="F764" s="1" t="s">
        <v>37</v>
      </c>
      <c r="G764" s="11">
        <v>44900</v>
      </c>
      <c r="H764" s="11" t="s">
        <v>2950</v>
      </c>
      <c r="I764" s="2" t="s">
        <v>4520</v>
      </c>
      <c r="J764" s="2" t="s">
        <v>4521</v>
      </c>
      <c r="K764" s="12">
        <v>0.010416666667879326</v>
      </c>
      <c r="L764" s="12"/>
      <c r="M764" s="13">
        <f>CRF_3[[#This Row],[Time Spent on Configuration]]+CRF_3[[#This Row],[Time Spent on Review/Testing]]</f>
        <v>NaN</v>
      </c>
      <c r="O764" s="1" t="s">
        <v>31</v>
      </c>
      <c r="Q764" s="1" t="s">
        <v>488</v>
      </c>
      <c r="R764" s="11">
        <v>44900</v>
      </c>
      <c r="S764" s="1">
        <v>5</v>
      </c>
      <c r="U764" s="48"/>
    </row>
    <row r="765" spans="1:21" x14ac:dyDescent="0.25">
      <c r="A765" s="1" t="s">
        <v>3733</v>
      </c>
      <c r="B765" s="1">
        <v>2022</v>
      </c>
      <c r="C765" s="2" t="s">
        <v>529</v>
      </c>
      <c r="D765" s="1" t="s">
        <v>530</v>
      </c>
      <c r="E765" s="1">
        <v>314752</v>
      </c>
      <c r="F765" s="1" t="s">
        <v>37</v>
      </c>
      <c r="G765" s="11">
        <v>44901</v>
      </c>
      <c r="H765" s="11" t="s">
        <v>2950</v>
      </c>
      <c r="I765" s="2" t="s">
        <v>4522</v>
      </c>
      <c r="J765" s="2" t="s">
        <v>4523</v>
      </c>
      <c r="K765" s="12">
        <v>0.027777777777373558</v>
      </c>
      <c r="L765" s="12">
        <v>0.038194444445252884</v>
      </c>
      <c r="M765" s="13">
        <f>CRF_3[[#This Row],[Time Spent on Configuration]]+CRF_3[[#This Row],[Time Spent on Review/Testing]]</f>
        <v>NaN</v>
      </c>
      <c r="O765" s="1" t="s">
        <v>31</v>
      </c>
      <c r="P765" s="1" t="s">
        <v>32</v>
      </c>
      <c r="Q765" s="1" t="s">
        <v>484</v>
      </c>
      <c r="R765" s="11">
        <v>44901</v>
      </c>
      <c r="S765" s="1">
        <v>5</v>
      </c>
      <c r="U765" s="48"/>
    </row>
    <row r="766" ht="75" customHeight="1" spans="1:21" x14ac:dyDescent="0.25">
      <c r="A766" s="1" t="s">
        <v>3733</v>
      </c>
      <c r="B766" s="1">
        <v>2022</v>
      </c>
      <c r="C766" s="2" t="s">
        <v>1451</v>
      </c>
      <c r="D766" s="1" t="s">
        <v>287</v>
      </c>
      <c r="E766" s="1">
        <v>311436</v>
      </c>
      <c r="F766" s="1" t="s">
        <v>37</v>
      </c>
      <c r="G766" s="11">
        <v>44903</v>
      </c>
      <c r="H766" s="11" t="s">
        <v>2950</v>
      </c>
      <c r="I766" s="2" t="s">
        <v>4524</v>
      </c>
      <c r="J766" s="2" t="s">
        <v>4524</v>
      </c>
      <c r="K766" s="12">
        <v>0.06597222222262644</v>
      </c>
      <c r="L766" s="12">
        <v>0.09375</v>
      </c>
      <c r="M766" s="13">
        <f>CRF_3[[#This Row],[Time Spent on Configuration]]+CRF_3[[#This Row],[Time Spent on Review/Testing]]</f>
        <v>NaN</v>
      </c>
      <c r="O766" s="1" t="s">
        <v>31</v>
      </c>
      <c r="P766" s="1" t="s">
        <v>483</v>
      </c>
      <c r="Q766" s="1" t="s">
        <v>484</v>
      </c>
      <c r="R766" s="11">
        <v>44903</v>
      </c>
      <c r="S766" s="1">
        <v>5</v>
      </c>
      <c r="U766" s="48"/>
    </row>
    <row r="767" ht="45" customHeight="1" spans="1:21" x14ac:dyDescent="0.25">
      <c r="A767" s="1" t="s">
        <v>3733</v>
      </c>
      <c r="B767" s="1">
        <v>2022</v>
      </c>
      <c r="C767" s="2" t="s">
        <v>288</v>
      </c>
      <c r="D767" s="1" t="s">
        <v>289</v>
      </c>
      <c r="E767" s="1">
        <v>299675</v>
      </c>
      <c r="F767" s="1" t="s">
        <v>37</v>
      </c>
      <c r="G767" s="11">
        <v>44904</v>
      </c>
      <c r="H767" s="11" t="s">
        <v>50</v>
      </c>
      <c r="I767" s="2" t="s">
        <v>4525</v>
      </c>
      <c r="J767" s="2" t="s">
        <v>3007</v>
      </c>
      <c r="K767" s="12">
        <v>0.013888888890505768</v>
      </c>
      <c r="L767" s="12">
        <v>0.03125</v>
      </c>
      <c r="M767" s="13">
        <f>CRF_3[[#This Row],[Time Spent on Configuration]]+CRF_3[[#This Row],[Time Spent on Review/Testing]]</f>
        <v>NaN</v>
      </c>
      <c r="O767" s="1" t="s">
        <v>31</v>
      </c>
      <c r="P767" s="1" t="s">
        <v>483</v>
      </c>
      <c r="Q767" s="1" t="s">
        <v>488</v>
      </c>
      <c r="R767" s="11">
        <v>44903</v>
      </c>
      <c r="S767" s="1">
        <v>5</v>
      </c>
      <c r="U767" s="48"/>
    </row>
    <row r="768" ht="30" customHeight="1" spans="1:21" x14ac:dyDescent="0.25">
      <c r="A768" s="1" t="s">
        <v>3733</v>
      </c>
      <c r="B768" s="1">
        <v>2022</v>
      </c>
      <c r="C768" s="2" t="s">
        <v>525</v>
      </c>
      <c r="D768" s="1" t="s">
        <v>25</v>
      </c>
      <c r="E768" s="1">
        <v>315594</v>
      </c>
      <c r="F768" s="1" t="s">
        <v>37</v>
      </c>
      <c r="G768" s="11">
        <v>44905</v>
      </c>
      <c r="H768" s="11" t="s">
        <v>2950</v>
      </c>
      <c r="I768" s="2" t="s">
        <v>4526</v>
      </c>
      <c r="J768" s="2" t="s">
        <v>3010</v>
      </c>
      <c r="K768" s="12">
        <v>0.03125</v>
      </c>
      <c r="L768" s="12">
        <v>0.041666666667879326</v>
      </c>
      <c r="M768" s="13">
        <f>CRF_3[[#This Row],[Time Spent on Configuration]]+CRF_3[[#This Row],[Time Spent on Review/Testing]]</f>
        <v>NaN</v>
      </c>
      <c r="O768" s="1" t="s">
        <v>31</v>
      </c>
      <c r="P768" s="1" t="s">
        <v>483</v>
      </c>
      <c r="Q768" s="1" t="s">
        <v>484</v>
      </c>
      <c r="R768" s="11">
        <v>44905</v>
      </c>
      <c r="S768" s="1">
        <v>5</v>
      </c>
      <c r="U768" s="48"/>
    </row>
    <row r="769" ht="30" customHeight="1" spans="1:21" x14ac:dyDescent="0.25">
      <c r="A769" s="1" t="s">
        <v>3733</v>
      </c>
      <c r="B769" s="1">
        <v>2022</v>
      </c>
      <c r="C769" s="2" t="s">
        <v>1451</v>
      </c>
      <c r="D769" s="1" t="s">
        <v>287</v>
      </c>
      <c r="E769" s="1">
        <v>314788</v>
      </c>
      <c r="F769" s="1" t="s">
        <v>2092</v>
      </c>
      <c r="G769" s="11">
        <v>44907</v>
      </c>
      <c r="H769" s="11" t="s">
        <v>2950</v>
      </c>
      <c r="I769" s="2" t="s">
        <v>3012</v>
      </c>
      <c r="J769" s="2" t="s">
        <v>3013</v>
      </c>
      <c r="K769" s="12">
        <v>0.020833333332120674</v>
      </c>
      <c r="L769" s="12">
        <v>0.049999999999272404</v>
      </c>
      <c r="M769" s="13">
        <f>CRF_3[[#This Row],[Time Spent on Configuration]]+CRF_3[[#This Row],[Time Spent on Review/Testing]]</f>
        <v>NaN</v>
      </c>
      <c r="O769" s="1" t="s">
        <v>53</v>
      </c>
      <c r="P769" s="1" t="s">
        <v>483</v>
      </c>
      <c r="Q769" s="1" t="s">
        <v>484</v>
      </c>
      <c r="R769" s="11">
        <v>44907</v>
      </c>
      <c r="S769" s="1">
        <v>5</v>
      </c>
      <c r="U769" s="48"/>
    </row>
    <row r="770" ht="75" customHeight="1" spans="1:21" x14ac:dyDescent="0.25">
      <c r="A770" s="1" t="s">
        <v>3733</v>
      </c>
      <c r="B770" s="1">
        <v>2022</v>
      </c>
      <c r="C770" s="2" t="s">
        <v>489</v>
      </c>
      <c r="D770" s="1" t="s">
        <v>490</v>
      </c>
      <c r="E770" s="1">
        <v>307024</v>
      </c>
      <c r="F770" s="1" t="s">
        <v>27</v>
      </c>
      <c r="G770" s="11">
        <v>44909</v>
      </c>
      <c r="H770" s="11" t="s">
        <v>38</v>
      </c>
      <c r="I770" s="2" t="s">
        <v>3015</v>
      </c>
      <c r="J770" s="2" t="s">
        <v>4527</v>
      </c>
      <c r="K770" s="12">
        <v>0.013888888890505768</v>
      </c>
      <c r="L770" s="12">
        <v>0.027777777777373558</v>
      </c>
      <c r="M770" s="13">
        <f>CRF_3[[#This Row],[Time Spent on Configuration]]+CRF_3[[#This Row],[Time Spent on Review/Testing]]</f>
        <v>NaN</v>
      </c>
      <c r="O770" s="1" t="s">
        <v>32</v>
      </c>
      <c r="P770" s="1" t="s">
        <v>483</v>
      </c>
      <c r="Q770" s="1" t="s">
        <v>42</v>
      </c>
      <c r="R770" s="11">
        <v>44909</v>
      </c>
      <c r="S770" s="1">
        <v>5</v>
      </c>
      <c r="U770" s="48"/>
    </row>
    <row r="771" ht="30" customHeight="1" spans="1:21" x14ac:dyDescent="0.25">
      <c r="A771" s="1" t="s">
        <v>3733</v>
      </c>
      <c r="B771" s="1">
        <v>2022</v>
      </c>
      <c r="C771" s="2" t="s">
        <v>99</v>
      </c>
      <c r="D771" s="1" t="s">
        <v>25</v>
      </c>
      <c r="E771" s="1">
        <v>307024</v>
      </c>
      <c r="F771" s="1" t="s">
        <v>2092</v>
      </c>
      <c r="G771" s="11">
        <v>44909</v>
      </c>
      <c r="H771" s="11" t="s">
        <v>2950</v>
      </c>
      <c r="I771" s="2" t="s">
        <v>3017</v>
      </c>
      <c r="J771" s="2" t="s">
        <v>3018</v>
      </c>
      <c r="K771" s="12">
        <v>0.02708333333430346</v>
      </c>
      <c r="L771" s="12">
        <v>0.06597222222262644</v>
      </c>
      <c r="M771" s="13">
        <f>CRF_3[[#This Row],[Time Spent on Configuration]]+CRF_3[[#This Row],[Time Spent on Review/Testing]]</f>
        <v>NaN</v>
      </c>
      <c r="O771" s="1" t="s">
        <v>483</v>
      </c>
      <c r="P771" s="1" t="s">
        <v>32</v>
      </c>
      <c r="Q771" s="1" t="s">
        <v>484</v>
      </c>
      <c r="R771" s="11">
        <v>44909</v>
      </c>
      <c r="S771" s="1">
        <v>5</v>
      </c>
      <c r="U771" s="48"/>
    </row>
    <row r="772" ht="45" customHeight="1" spans="1:21" x14ac:dyDescent="0.25">
      <c r="A772" s="1" t="s">
        <v>3733</v>
      </c>
      <c r="B772" s="1">
        <v>2022</v>
      </c>
      <c r="C772" s="2" t="s">
        <v>308</v>
      </c>
      <c r="D772" s="1" t="s">
        <v>309</v>
      </c>
      <c r="E772" s="1">
        <v>315773</v>
      </c>
      <c r="F772" s="1" t="s">
        <v>3020</v>
      </c>
      <c r="G772" s="11">
        <v>44911</v>
      </c>
      <c r="H772" s="11" t="s">
        <v>38</v>
      </c>
      <c r="I772" s="2" t="s">
        <v>4528</v>
      </c>
      <c r="J772" s="2" t="s">
        <v>4529</v>
      </c>
      <c r="K772" s="12">
        <v>0.006944444445252884</v>
      </c>
      <c r="L772" s="12">
        <v>0.020833333332120674</v>
      </c>
      <c r="M772" s="13">
        <f>CRF_3[[#This Row],[Time Spent on Configuration]]+CRF_3[[#This Row],[Time Spent on Review/Testing]]</f>
        <v>NaN</v>
      </c>
      <c r="O772" s="1" t="s">
        <v>32</v>
      </c>
      <c r="P772" s="1" t="s">
        <v>483</v>
      </c>
      <c r="Q772" s="1" t="s">
        <v>488</v>
      </c>
      <c r="R772" s="11">
        <v>44911</v>
      </c>
      <c r="S772" s="1">
        <v>5</v>
      </c>
      <c r="U772" s="48"/>
    </row>
    <row r="773" ht="75" customHeight="1" spans="1:21" x14ac:dyDescent="0.25">
      <c r="A773" s="1" t="s">
        <v>3733</v>
      </c>
      <c r="B773" s="1">
        <v>2022</v>
      </c>
      <c r="C773" s="2" t="s">
        <v>2997</v>
      </c>
      <c r="D773" s="1" t="s">
        <v>25</v>
      </c>
      <c r="E773" s="1">
        <v>312223</v>
      </c>
      <c r="F773" s="1" t="s">
        <v>2092</v>
      </c>
      <c r="G773" s="11">
        <v>44911</v>
      </c>
      <c r="H773" s="11" t="s">
        <v>38</v>
      </c>
      <c r="I773" s="2" t="s">
        <v>4530</v>
      </c>
      <c r="J773" s="2" t="s">
        <v>3025</v>
      </c>
      <c r="K773" s="12">
        <v>0.038194444445252884</v>
      </c>
      <c r="L773" s="12">
        <v>0.052083333332120674</v>
      </c>
      <c r="M773" s="13">
        <f>CRF_3[[#This Row],[Time Spent on Configuration]]+CRF_3[[#This Row],[Time Spent on Review/Testing]]</f>
        <v>NaN</v>
      </c>
      <c r="O773" s="1" t="s">
        <v>31</v>
      </c>
      <c r="P773" s="1" t="s">
        <v>483</v>
      </c>
      <c r="Q773" s="1" t="s">
        <v>488</v>
      </c>
      <c r="R773" s="11">
        <v>44911</v>
      </c>
      <c r="S773" s="1">
        <v>5</v>
      </c>
      <c r="U773" s="48"/>
    </row>
    <row r="774" ht="30" customHeight="1" spans="1:21" x14ac:dyDescent="0.25">
      <c r="A774" s="1" t="s">
        <v>3733</v>
      </c>
      <c r="B774" s="1">
        <v>2022</v>
      </c>
      <c r="C774" s="2" t="s">
        <v>2315</v>
      </c>
      <c r="D774" s="1" t="s">
        <v>25</v>
      </c>
      <c r="E774" s="1">
        <v>316599</v>
      </c>
      <c r="F774" s="1" t="s">
        <v>27</v>
      </c>
      <c r="G774" s="11">
        <v>44914</v>
      </c>
      <c r="H774" s="11" t="s">
        <v>38</v>
      </c>
      <c r="I774" s="2" t="s">
        <v>3027</v>
      </c>
      <c r="J774" s="2" t="s">
        <v>3027</v>
      </c>
      <c r="K774" s="12">
        <v>0.020833333332120674</v>
      </c>
      <c r="L774" s="12">
        <v>0.01736111110949423</v>
      </c>
      <c r="M774" s="13">
        <f>CRF_3[[#This Row],[Time Spent on Configuration]]+CRF_3[[#This Row],[Time Spent on Review/Testing]]</f>
        <v>NaN</v>
      </c>
      <c r="O774" s="1" t="s">
        <v>31</v>
      </c>
      <c r="P774" s="1" t="s">
        <v>32</v>
      </c>
      <c r="Q774" s="1" t="s">
        <v>484</v>
      </c>
      <c r="R774" s="11">
        <v>44914</v>
      </c>
      <c r="S774" s="1">
        <v>5</v>
      </c>
      <c r="U774" s="48"/>
    </row>
    <row r="775" ht="75" customHeight="1" spans="1:21" x14ac:dyDescent="0.25">
      <c r="A775" s="1" t="s">
        <v>3733</v>
      </c>
      <c r="B775" s="1">
        <v>2022</v>
      </c>
      <c r="C775" s="2" t="s">
        <v>479</v>
      </c>
      <c r="D775" s="1" t="s">
        <v>25</v>
      </c>
      <c r="E775" s="1">
        <v>316751</v>
      </c>
      <c r="F775" s="1" t="s">
        <v>27</v>
      </c>
      <c r="G775" s="11">
        <v>44915</v>
      </c>
      <c r="H775" s="11" t="s">
        <v>2950</v>
      </c>
      <c r="I775" s="2" t="s">
        <v>4531</v>
      </c>
      <c r="J775" s="2" t="s">
        <v>4532</v>
      </c>
      <c r="K775" s="12">
        <v>0.020833333332120674</v>
      </c>
      <c r="L775" s="12">
        <v>0.03472222222262644</v>
      </c>
      <c r="M775" s="13">
        <f>CRF_3[[#This Row],[Time Spent on Configuration]]+CRF_3[[#This Row],[Time Spent on Review/Testing]]</f>
        <v>NaN</v>
      </c>
      <c r="O775" s="1" t="s">
        <v>32</v>
      </c>
      <c r="P775" s="1" t="s">
        <v>483</v>
      </c>
      <c r="Q775" s="1" t="s">
        <v>488</v>
      </c>
      <c r="R775" s="11">
        <v>44915</v>
      </c>
      <c r="S775" s="1">
        <v>5</v>
      </c>
      <c r="U775" s="48"/>
    </row>
    <row r="776" ht="60" customHeight="1" spans="1:21" x14ac:dyDescent="0.25">
      <c r="A776" s="1" t="s">
        <v>3733</v>
      </c>
      <c r="B776" s="1">
        <v>2022</v>
      </c>
      <c r="C776" s="2" t="s">
        <v>2315</v>
      </c>
      <c r="D776" s="1" t="s">
        <v>25</v>
      </c>
      <c r="E776" s="1">
        <v>316431</v>
      </c>
      <c r="F776" s="1" t="s">
        <v>27</v>
      </c>
      <c r="G776" s="11">
        <v>44915</v>
      </c>
      <c r="H776" s="11" t="s">
        <v>2950</v>
      </c>
      <c r="I776" s="2" t="s">
        <v>3032</v>
      </c>
      <c r="J776" s="2" t="s">
        <v>3033</v>
      </c>
      <c r="K776" s="12">
        <v>0.02500000000145519</v>
      </c>
      <c r="L776" s="12">
        <v>0.041666666667879326</v>
      </c>
      <c r="M776" s="13">
        <f>CRF_3[[#This Row],[Time Spent on Configuration]]+CRF_3[[#This Row],[Time Spent on Review/Testing]]</f>
        <v>NaN</v>
      </c>
      <c r="O776" s="1" t="s">
        <v>574</v>
      </c>
      <c r="P776" s="1" t="s">
        <v>483</v>
      </c>
      <c r="Q776" s="1" t="s">
        <v>484</v>
      </c>
      <c r="R776" s="11">
        <v>44915</v>
      </c>
      <c r="S776" s="1">
        <v>5</v>
      </c>
      <c r="T776" s="1" t="s">
        <v>3034</v>
      </c>
      <c r="U776" s="48"/>
    </row>
    <row r="777" ht="255" customHeight="1" spans="1:21" x14ac:dyDescent="0.25">
      <c r="A777" s="1" t="s">
        <v>3733</v>
      </c>
      <c r="B777" s="1">
        <v>2022</v>
      </c>
      <c r="C777" s="2" t="s">
        <v>286</v>
      </c>
      <c r="D777" s="1" t="s">
        <v>287</v>
      </c>
      <c r="E777" s="1">
        <v>316789</v>
      </c>
      <c r="F777" s="1" t="s">
        <v>37</v>
      </c>
      <c r="G777" s="11">
        <v>44916</v>
      </c>
      <c r="H777" s="11" t="s">
        <v>38</v>
      </c>
      <c r="I777" s="2" t="s">
        <v>4533</v>
      </c>
      <c r="J777" s="2" t="s">
        <v>4534</v>
      </c>
      <c r="K777" s="12">
        <v>0.013888888890505768</v>
      </c>
      <c r="L777" s="12">
        <v>0.027777777777373558</v>
      </c>
      <c r="M777" s="13">
        <f>CRF_3[[#This Row],[Time Spent on Configuration]]+CRF_3[[#This Row],[Time Spent on Review/Testing]]</f>
        <v>NaN</v>
      </c>
      <c r="O777" s="1" t="s">
        <v>32</v>
      </c>
      <c r="P777" s="1" t="s">
        <v>483</v>
      </c>
      <c r="Q777" s="1" t="s">
        <v>484</v>
      </c>
      <c r="R777" s="11">
        <v>44916</v>
      </c>
      <c r="S777" s="1">
        <v>5</v>
      </c>
      <c r="U777" s="48"/>
    </row>
    <row r="778" spans="1:21" x14ac:dyDescent="0.25">
      <c r="A778" s="1" t="s">
        <v>3733</v>
      </c>
      <c r="B778" s="1">
        <v>2022</v>
      </c>
      <c r="C778" s="2" t="s">
        <v>2997</v>
      </c>
      <c r="D778" s="1" t="s">
        <v>25</v>
      </c>
      <c r="E778" s="1">
        <v>312223</v>
      </c>
      <c r="F778" s="1" t="s">
        <v>37</v>
      </c>
      <c r="G778" s="11">
        <v>44917</v>
      </c>
      <c r="H778" s="11" t="s">
        <v>38</v>
      </c>
      <c r="I778" s="2" t="s">
        <v>4535</v>
      </c>
      <c r="J778" s="2" t="s">
        <v>4535</v>
      </c>
      <c r="K778" s="12">
        <v>0.010416666667879326</v>
      </c>
      <c r="L778" s="12"/>
      <c r="M778" s="13">
        <f>CRF_3[[#This Row],[Time Spent on Configuration]]+CRF_3[[#This Row],[Time Spent on Review/Testing]]</f>
        <v>NaN</v>
      </c>
      <c r="O778" s="1" t="s">
        <v>31</v>
      </c>
      <c r="Q778" s="1" t="s">
        <v>488</v>
      </c>
      <c r="R778" s="11">
        <v>44917</v>
      </c>
      <c r="S778" s="1">
        <v>5</v>
      </c>
      <c r="U778" s="48"/>
    </row>
    <row r="779" ht="45" customHeight="1" spans="1:21" x14ac:dyDescent="0.25">
      <c r="A779" s="1" t="s">
        <v>3733</v>
      </c>
      <c r="B779" s="1">
        <v>2022</v>
      </c>
      <c r="C779" s="2" t="s">
        <v>2673</v>
      </c>
      <c r="D779" s="1" t="s">
        <v>25</v>
      </c>
      <c r="E779" s="1">
        <v>316803</v>
      </c>
      <c r="F779" s="1" t="s">
        <v>37</v>
      </c>
      <c r="G779" s="11">
        <v>44918</v>
      </c>
      <c r="H779" s="11" t="s">
        <v>38</v>
      </c>
      <c r="I779" s="2" t="s">
        <v>4536</v>
      </c>
      <c r="J779" s="2" t="s">
        <v>4537</v>
      </c>
      <c r="K779" s="12">
        <v>0.03472222222262644</v>
      </c>
      <c r="L779" s="12">
        <v>0.027777777777373558</v>
      </c>
      <c r="M779" s="13">
        <f>CRF_3[[#This Row],[Time Spent on Configuration]]+CRF_3[[#This Row],[Time Spent on Review/Testing]]</f>
        <v>NaN</v>
      </c>
      <c r="O779" s="1" t="s">
        <v>31</v>
      </c>
      <c r="P779" s="1" t="s">
        <v>483</v>
      </c>
      <c r="Q779" s="1" t="s">
        <v>488</v>
      </c>
      <c r="R779" s="11">
        <v>44918</v>
      </c>
      <c r="S779" s="1">
        <v>5</v>
      </c>
      <c r="U779" s="48"/>
    </row>
    <row r="780" ht="135" customHeight="1" spans="1:21" x14ac:dyDescent="0.25">
      <c r="A780" s="1" t="s">
        <v>3733</v>
      </c>
      <c r="B780" s="1">
        <v>2022</v>
      </c>
      <c r="C780" s="2" t="s">
        <v>283</v>
      </c>
      <c r="D780" s="1" t="s">
        <v>25</v>
      </c>
      <c r="E780" s="1">
        <v>309088</v>
      </c>
      <c r="F780" s="1" t="s">
        <v>37</v>
      </c>
      <c r="G780" s="11">
        <v>44923</v>
      </c>
      <c r="H780" s="14" t="s">
        <v>28</v>
      </c>
      <c r="I780" s="2" t="s">
        <v>4538</v>
      </c>
      <c r="J780" s="2" t="s">
        <v>4538</v>
      </c>
      <c r="K780" s="12">
        <v>0.03472222222262644</v>
      </c>
      <c r="L780" s="12">
        <v>0.038194444445252884</v>
      </c>
      <c r="M780" s="13">
        <f>CRF_3[[#This Row],[Time Spent on Configuration]]+CRF_3[[#This Row],[Time Spent on Review/Testing]]</f>
        <v>NaN</v>
      </c>
      <c r="O780" s="1" t="s">
        <v>31</v>
      </c>
      <c r="P780" s="1" t="s">
        <v>483</v>
      </c>
      <c r="Q780" s="1" t="s">
        <v>488</v>
      </c>
      <c r="R780" s="11">
        <v>44923</v>
      </c>
      <c r="S780" s="1">
        <v>5</v>
      </c>
      <c r="U780" s="48"/>
    </row>
    <row r="781" spans="1:21" x14ac:dyDescent="0.25">
      <c r="A781" s="1" t="s">
        <v>3733</v>
      </c>
      <c r="B781" s="1">
        <v>2022</v>
      </c>
      <c r="C781" s="2" t="s">
        <v>1451</v>
      </c>
      <c r="D781" s="1" t="s">
        <v>287</v>
      </c>
      <c r="E781" s="1">
        <v>317720</v>
      </c>
      <c r="F781" s="1" t="s">
        <v>37</v>
      </c>
      <c r="G781" s="11">
        <v>44925</v>
      </c>
      <c r="H781" s="11" t="s">
        <v>38</v>
      </c>
      <c r="I781" s="2" t="s">
        <v>4539</v>
      </c>
      <c r="J781" s="2" t="s">
        <v>4540</v>
      </c>
      <c r="K781" s="12">
        <v>0.03472222222262644</v>
      </c>
      <c r="L781" s="12">
        <v>0.04513888889050577</v>
      </c>
      <c r="M781" s="13">
        <f>CRF_3[[#This Row],[Time Spent on Configuration]]+CRF_3[[#This Row],[Time Spent on Review/Testing]]</f>
        <v>NaN</v>
      </c>
      <c r="O781" s="1" t="s">
        <v>31</v>
      </c>
      <c r="P781" s="1" t="s">
        <v>483</v>
      </c>
      <c r="Q781" s="1" t="s">
        <v>484</v>
      </c>
      <c r="R781" s="11">
        <v>44925</v>
      </c>
      <c r="S781" s="1">
        <v>5</v>
      </c>
      <c r="U781" s="48"/>
    </row>
    <row r="782" spans="1:21" x14ac:dyDescent="0.25">
      <c r="A782" s="1" t="s">
        <v>3733</v>
      </c>
      <c r="B782" s="1">
        <v>2022</v>
      </c>
      <c r="C782" s="2" t="s">
        <v>35</v>
      </c>
      <c r="D782" s="1" t="s">
        <v>25</v>
      </c>
      <c r="E782" s="1">
        <v>317558</v>
      </c>
      <c r="F782" s="1" t="s">
        <v>37</v>
      </c>
      <c r="G782" s="11">
        <v>44925</v>
      </c>
      <c r="H782" s="11" t="s">
        <v>38</v>
      </c>
      <c r="I782" s="2" t="s">
        <v>3048</v>
      </c>
      <c r="J782" s="2" t="s">
        <v>3049</v>
      </c>
      <c r="K782" s="12">
        <v>0.010416666667879326</v>
      </c>
      <c r="L782" s="12">
        <v>0.018055555556202307</v>
      </c>
      <c r="M782" s="13">
        <f>CRF_3[[#This Row],[Time Spent on Configuration]]+CRF_3[[#This Row],[Time Spent on Review/Testing]]</f>
        <v>NaN</v>
      </c>
      <c r="O782" s="1" t="s">
        <v>574</v>
      </c>
      <c r="P782" s="1" t="s">
        <v>483</v>
      </c>
      <c r="Q782" s="1" t="s">
        <v>42</v>
      </c>
      <c r="R782" s="11">
        <v>44925</v>
      </c>
      <c r="S782" s="1">
        <v>5</v>
      </c>
      <c r="U782" s="48"/>
    </row>
    <row r="783" spans="1:21" x14ac:dyDescent="0.25">
      <c r="A783" s="1" t="s">
        <v>3576</v>
      </c>
      <c r="B783" s="1">
        <v>2023</v>
      </c>
      <c r="C783" s="2" t="s">
        <v>1451</v>
      </c>
      <c r="D783" s="1" t="s">
        <v>287</v>
      </c>
      <c r="E783" s="1">
        <v>310590</v>
      </c>
      <c r="F783" s="1" t="s">
        <v>27</v>
      </c>
      <c r="G783" s="11">
        <v>44928</v>
      </c>
      <c r="H783" s="11" t="s">
        <v>353</v>
      </c>
      <c r="I783" s="2" t="s">
        <v>4541</v>
      </c>
      <c r="J783" s="2" t="s">
        <v>4542</v>
      </c>
      <c r="K783" s="12">
        <v>0.03125</v>
      </c>
      <c r="L783" s="12">
        <v>0.03125</v>
      </c>
      <c r="M783" s="13">
        <f>CRF_3[[#This Row],[Time Spent on Configuration]]+CRF_3[[#This Row],[Time Spent on Review/Testing]]</f>
        <v>NaN</v>
      </c>
      <c r="O783" s="1" t="s">
        <v>31</v>
      </c>
      <c r="P783" s="1" t="s">
        <v>32</v>
      </c>
      <c r="Q783" s="1" t="s">
        <v>484</v>
      </c>
      <c r="R783" s="11">
        <v>44928</v>
      </c>
      <c r="S783" s="1">
        <v>5</v>
      </c>
      <c r="U783" s="48"/>
    </row>
    <row r="784" spans="1:21" x14ac:dyDescent="0.25">
      <c r="A784" s="1" t="s">
        <v>3576</v>
      </c>
      <c r="B784" s="1">
        <v>2023</v>
      </c>
      <c r="C784" s="2" t="s">
        <v>118</v>
      </c>
      <c r="D784" s="1" t="s">
        <v>25</v>
      </c>
      <c r="E784" s="1">
        <v>315107</v>
      </c>
      <c r="F784" s="1" t="s">
        <v>27</v>
      </c>
      <c r="G784" s="11">
        <v>44928</v>
      </c>
      <c r="H784" s="11" t="s">
        <v>38</v>
      </c>
      <c r="I784" s="2" t="s">
        <v>3054</v>
      </c>
      <c r="J784" s="2" t="s">
        <v>3055</v>
      </c>
      <c r="K784" s="12">
        <v>0.010416666667879326</v>
      </c>
      <c r="L784" s="12">
        <v>0.04861111110949423</v>
      </c>
      <c r="M784" s="13">
        <f>CRF_3[[#This Row],[Time Spent on Configuration]]+CRF_3[[#This Row],[Time Spent on Review/Testing]]</f>
        <v>NaN</v>
      </c>
      <c r="O784" s="1" t="s">
        <v>31</v>
      </c>
      <c r="P784" s="1" t="s">
        <v>483</v>
      </c>
      <c r="Q784" s="1" t="s">
        <v>484</v>
      </c>
      <c r="R784" s="11">
        <v>44928</v>
      </c>
      <c r="S784" s="1">
        <v>5</v>
      </c>
      <c r="U784" s="48"/>
    </row>
    <row r="785" spans="1:21" x14ac:dyDescent="0.25">
      <c r="A785" s="1" t="s">
        <v>3576</v>
      </c>
      <c r="B785" s="1">
        <v>2023</v>
      </c>
      <c r="C785" s="2" t="s">
        <v>260</v>
      </c>
      <c r="D785" s="1" t="s">
        <v>261</v>
      </c>
      <c r="E785" s="1">
        <v>317198</v>
      </c>
      <c r="F785" s="1" t="s">
        <v>27</v>
      </c>
      <c r="G785" s="11">
        <v>44929</v>
      </c>
      <c r="H785" s="11" t="s">
        <v>507</v>
      </c>
      <c r="I785" s="2" t="s">
        <v>3057</v>
      </c>
      <c r="J785" s="2" t="s">
        <v>3057</v>
      </c>
      <c r="K785" s="12">
        <v>0.006944444445252884</v>
      </c>
      <c r="L785" s="12">
        <v>0.01736111110949423</v>
      </c>
      <c r="M785" s="13">
        <f>CRF_3[[#This Row],[Time Spent on Configuration]]+CRF_3[[#This Row],[Time Spent on Review/Testing]]</f>
        <v>NaN</v>
      </c>
      <c r="O785" s="1" t="s">
        <v>32</v>
      </c>
      <c r="P785" s="1" t="s">
        <v>483</v>
      </c>
      <c r="Q785" s="1" t="s">
        <v>42</v>
      </c>
      <c r="R785" s="11">
        <v>44929</v>
      </c>
      <c r="S785" s="1">
        <v>5</v>
      </c>
      <c r="U785" s="48"/>
    </row>
    <row r="786" ht="30" customHeight="1" spans="1:21" x14ac:dyDescent="0.25">
      <c r="A786" s="1" t="s">
        <v>3576</v>
      </c>
      <c r="B786" s="1">
        <v>2023</v>
      </c>
      <c r="C786" s="2" t="s">
        <v>163</v>
      </c>
      <c r="D786" s="1" t="s">
        <v>25</v>
      </c>
      <c r="E786" s="1">
        <v>318192</v>
      </c>
      <c r="F786" s="1" t="s">
        <v>37</v>
      </c>
      <c r="G786" s="11">
        <v>44931</v>
      </c>
      <c r="H786" s="11" t="s">
        <v>2793</v>
      </c>
      <c r="I786" s="2" t="s">
        <v>3059</v>
      </c>
      <c r="J786" s="2" t="s">
        <v>3060</v>
      </c>
      <c r="K786" s="12">
        <v>0.020833333332120674</v>
      </c>
      <c r="L786" s="12">
        <v>0.024305555554747116</v>
      </c>
      <c r="M786" s="13">
        <f>CRF_3[[#This Row],[Time Spent on Configuration]]+CRF_3[[#This Row],[Time Spent on Review/Testing]]</f>
        <v>NaN</v>
      </c>
      <c r="O786" s="1" t="s">
        <v>32</v>
      </c>
      <c r="P786" s="1" t="s">
        <v>483</v>
      </c>
      <c r="Q786" s="1" t="s">
        <v>488</v>
      </c>
      <c r="R786" s="11">
        <v>44931</v>
      </c>
      <c r="S786" s="1">
        <v>5</v>
      </c>
      <c r="U786" s="48"/>
    </row>
    <row r="787" ht="30" customHeight="1" spans="1:21" x14ac:dyDescent="0.25">
      <c r="A787" s="1" t="s">
        <v>3576</v>
      </c>
      <c r="B787" s="1">
        <v>2023</v>
      </c>
      <c r="C787" s="2" t="s">
        <v>99</v>
      </c>
      <c r="D787" s="1" t="s">
        <v>25</v>
      </c>
      <c r="E787" s="1">
        <v>318333</v>
      </c>
      <c r="F787" s="1" t="s">
        <v>2092</v>
      </c>
      <c r="G787" s="11">
        <v>44931</v>
      </c>
      <c r="H787" s="11" t="s">
        <v>28</v>
      </c>
      <c r="I787" s="2" t="s">
        <v>3062</v>
      </c>
      <c r="J787" s="2" t="s">
        <v>3063</v>
      </c>
      <c r="K787" s="12">
        <v>0.024305555554747116</v>
      </c>
      <c r="L787" s="12">
        <v>0.05902777777737356</v>
      </c>
      <c r="M787" s="13">
        <f>CRF_3[[#This Row],[Time Spent on Configuration]]+CRF_3[[#This Row],[Time Spent on Review/Testing]]</f>
        <v>NaN</v>
      </c>
      <c r="O787" s="1" t="s">
        <v>483</v>
      </c>
      <c r="P787" s="1" t="s">
        <v>32</v>
      </c>
      <c r="Q787" s="1" t="s">
        <v>484</v>
      </c>
      <c r="R787" s="11">
        <v>44931</v>
      </c>
      <c r="S787" s="1">
        <v>5</v>
      </c>
      <c r="U787" s="48"/>
    </row>
    <row r="788" ht="90" customHeight="1" spans="1:21" x14ac:dyDescent="0.25">
      <c r="A788" s="1" t="s">
        <v>3576</v>
      </c>
      <c r="B788" s="1">
        <v>2023</v>
      </c>
      <c r="C788" s="2" t="s">
        <v>99</v>
      </c>
      <c r="D788" s="1" t="s">
        <v>25</v>
      </c>
      <c r="E788" s="1">
        <v>318589</v>
      </c>
      <c r="F788" s="1" t="s">
        <v>27</v>
      </c>
      <c r="G788" s="11">
        <v>44933</v>
      </c>
      <c r="H788" s="11" t="s">
        <v>507</v>
      </c>
      <c r="I788" s="2" t="s">
        <v>4543</v>
      </c>
      <c r="J788" s="2" t="s">
        <v>4544</v>
      </c>
      <c r="K788" s="12">
        <v>0.013888888890505768</v>
      </c>
      <c r="L788" s="12">
        <v>0.020833333332120674</v>
      </c>
      <c r="M788" s="13">
        <f>CRF_3[[#This Row],[Time Spent on Configuration]]+CRF_3[[#This Row],[Time Spent on Review/Testing]]</f>
        <v>NaN</v>
      </c>
      <c r="O788" s="1" t="s">
        <v>32</v>
      </c>
      <c r="P788" s="1" t="s">
        <v>483</v>
      </c>
      <c r="Q788" s="1" t="s">
        <v>484</v>
      </c>
      <c r="R788" s="11">
        <v>44933</v>
      </c>
      <c r="S788" s="1">
        <v>5</v>
      </c>
      <c r="U788" s="48"/>
    </row>
    <row r="789" ht="45" customHeight="1" spans="1:21" x14ac:dyDescent="0.25">
      <c r="A789" s="1" t="s">
        <v>3576</v>
      </c>
      <c r="B789" s="1">
        <v>2023</v>
      </c>
      <c r="C789" s="2" t="s">
        <v>479</v>
      </c>
      <c r="D789" s="1" t="s">
        <v>25</v>
      </c>
      <c r="E789" s="1">
        <v>318587</v>
      </c>
      <c r="F789" s="1" t="s">
        <v>27</v>
      </c>
      <c r="G789" s="11">
        <v>44933</v>
      </c>
      <c r="H789" s="11" t="s">
        <v>28</v>
      </c>
      <c r="I789" s="2" t="s">
        <v>4545</v>
      </c>
      <c r="J789" s="2" t="s">
        <v>4546</v>
      </c>
      <c r="K789" s="12">
        <v>0.020833333332120674</v>
      </c>
      <c r="L789" s="12">
        <v>0.027777777777373558</v>
      </c>
      <c r="M789" s="13">
        <f>CRF_3[[#This Row],[Time Spent on Configuration]]+CRF_3[[#This Row],[Time Spent on Review/Testing]]</f>
        <v>NaN</v>
      </c>
      <c r="O789" s="1" t="s">
        <v>53</v>
      </c>
      <c r="P789" s="1" t="s">
        <v>483</v>
      </c>
      <c r="Q789" s="1" t="s">
        <v>488</v>
      </c>
      <c r="R789" s="11">
        <v>44933</v>
      </c>
      <c r="S789" s="1">
        <v>5</v>
      </c>
      <c r="U789" s="48"/>
    </row>
    <row r="790" ht="75" customHeight="1" spans="1:21" x14ac:dyDescent="0.25">
      <c r="A790" s="1" t="s">
        <v>3576</v>
      </c>
      <c r="B790" s="1">
        <v>2023</v>
      </c>
      <c r="C790" s="2" t="s">
        <v>290</v>
      </c>
      <c r="D790" s="1" t="s">
        <v>25</v>
      </c>
      <c r="E790" s="1">
        <v>318575</v>
      </c>
      <c r="F790" s="1" t="s">
        <v>37</v>
      </c>
      <c r="G790" s="11">
        <v>44933</v>
      </c>
      <c r="H790" s="11" t="s">
        <v>3842</v>
      </c>
      <c r="I790" s="2" t="s">
        <v>4547</v>
      </c>
      <c r="J790" s="2" t="s">
        <v>4548</v>
      </c>
      <c r="K790" s="12">
        <v>0.020833333332120674</v>
      </c>
      <c r="L790" s="12">
        <v>0.020833333332120674</v>
      </c>
      <c r="M790" s="13">
        <f>CRF_3[[#This Row],[Time Spent on Configuration]]+CRF_3[[#This Row],[Time Spent on Review/Testing]]</f>
        <v>NaN</v>
      </c>
      <c r="O790" s="1" t="s">
        <v>53</v>
      </c>
      <c r="P790" s="1" t="s">
        <v>32</v>
      </c>
      <c r="Q790" s="1" t="s">
        <v>488</v>
      </c>
      <c r="R790" s="11">
        <v>44933</v>
      </c>
      <c r="S790" s="1">
        <v>5</v>
      </c>
      <c r="U790" s="48"/>
    </row>
    <row r="791" ht="105" customHeight="1" spans="1:21" x14ac:dyDescent="0.25">
      <c r="A791" s="1" t="s">
        <v>3576</v>
      </c>
      <c r="B791" s="1">
        <v>2023</v>
      </c>
      <c r="C791" s="2" t="s">
        <v>283</v>
      </c>
      <c r="D791" s="1" t="s">
        <v>25</v>
      </c>
      <c r="E791" s="1">
        <v>318607</v>
      </c>
      <c r="F791" s="1" t="s">
        <v>37</v>
      </c>
      <c r="G791" s="11">
        <v>44935</v>
      </c>
      <c r="H791" s="11" t="s">
        <v>28</v>
      </c>
      <c r="I791" s="2" t="s">
        <v>4549</v>
      </c>
      <c r="J791" s="2" t="s">
        <v>4550</v>
      </c>
      <c r="K791" s="12">
        <v>0.020833333332120674</v>
      </c>
      <c r="L791" s="12">
        <v>0.03125</v>
      </c>
      <c r="M791" s="13">
        <f>CRF_3[[#This Row],[Time Spent on Configuration]]+CRF_3[[#This Row],[Time Spent on Review/Testing]]</f>
        <v>NaN</v>
      </c>
      <c r="O791" s="1" t="s">
        <v>32</v>
      </c>
      <c r="P791" s="1" t="s">
        <v>483</v>
      </c>
      <c r="Q791" s="1" t="s">
        <v>488</v>
      </c>
      <c r="R791" s="11">
        <v>44935</v>
      </c>
      <c r="S791" s="1">
        <v>5</v>
      </c>
      <c r="U791" s="48"/>
    </row>
    <row r="792" ht="45" customHeight="1" spans="1:21" x14ac:dyDescent="0.25">
      <c r="A792" s="1" t="s">
        <v>3576</v>
      </c>
      <c r="B792" s="1">
        <v>2023</v>
      </c>
      <c r="C792" s="2" t="s">
        <v>545</v>
      </c>
      <c r="D792" s="1" t="s">
        <v>963</v>
      </c>
      <c r="E792" s="1">
        <v>314032</v>
      </c>
      <c r="F792" s="1" t="s">
        <v>37</v>
      </c>
      <c r="G792" s="11">
        <v>44936</v>
      </c>
      <c r="H792" s="11" t="s">
        <v>3842</v>
      </c>
      <c r="I792" s="2" t="s">
        <v>4551</v>
      </c>
      <c r="J792" s="2" t="s">
        <v>4552</v>
      </c>
      <c r="K792" s="12">
        <v>0.020833333332120674</v>
      </c>
      <c r="L792" s="12">
        <v>0.024305555554747116</v>
      </c>
      <c r="M792" s="13">
        <f>CRF_3[[#This Row],[Time Spent on Configuration]]+CRF_3[[#This Row],[Time Spent on Review/Testing]]</f>
        <v>NaN</v>
      </c>
      <c r="O792" s="1" t="s">
        <v>31</v>
      </c>
      <c r="P792" s="1" t="s">
        <v>483</v>
      </c>
      <c r="Q792" s="1" t="s">
        <v>484</v>
      </c>
      <c r="R792" s="11">
        <v>44936</v>
      </c>
      <c r="S792" s="1">
        <v>5</v>
      </c>
      <c r="U792" s="48"/>
    </row>
    <row r="793" spans="1:21" x14ac:dyDescent="0.25">
      <c r="A793" s="1" t="s">
        <v>3576</v>
      </c>
      <c r="B793" s="1">
        <v>2023</v>
      </c>
      <c r="C793" s="2" t="s">
        <v>2125</v>
      </c>
      <c r="D793" s="1" t="s">
        <v>186</v>
      </c>
      <c r="E793" s="1">
        <v>318445</v>
      </c>
      <c r="F793" s="1" t="s">
        <v>37</v>
      </c>
      <c r="G793" s="11">
        <v>44937</v>
      </c>
      <c r="H793" s="11" t="s">
        <v>670</v>
      </c>
      <c r="I793" s="2" t="s">
        <v>4553</v>
      </c>
      <c r="J793" s="2" t="s">
        <v>3081</v>
      </c>
      <c r="K793" s="12">
        <v>0.013888888890505768</v>
      </c>
      <c r="L793" s="12">
        <v>0.03125</v>
      </c>
      <c r="M793" s="13">
        <f>CRF_3[[#This Row],[Time Spent on Configuration]]+CRF_3[[#This Row],[Time Spent on Review/Testing]]</f>
        <v>NaN</v>
      </c>
      <c r="O793" s="1" t="s">
        <v>31</v>
      </c>
      <c r="P793" s="1" t="s">
        <v>483</v>
      </c>
      <c r="Q793" s="1" t="s">
        <v>42</v>
      </c>
      <c r="R793" s="11">
        <v>44937</v>
      </c>
      <c r="S793" s="1">
        <v>5</v>
      </c>
      <c r="U793" s="48"/>
    </row>
    <row r="794" ht="30" customHeight="1" spans="1:21" x14ac:dyDescent="0.25">
      <c r="A794" s="1" t="s">
        <v>3576</v>
      </c>
      <c r="B794" s="1">
        <v>2023</v>
      </c>
      <c r="C794" s="2" t="s">
        <v>99</v>
      </c>
      <c r="D794" s="1" t="s">
        <v>25</v>
      </c>
      <c r="E794" s="1">
        <v>318779</v>
      </c>
      <c r="F794" s="1" t="s">
        <v>2092</v>
      </c>
      <c r="G794" s="11">
        <v>44937</v>
      </c>
      <c r="H794" s="11" t="s">
        <v>28</v>
      </c>
      <c r="I794" s="2" t="s">
        <v>4554</v>
      </c>
      <c r="J794" s="2" t="s">
        <v>4554</v>
      </c>
      <c r="K794" s="12">
        <v>0.020833333332120674</v>
      </c>
      <c r="L794" s="12">
        <v>0.041666666667879326</v>
      </c>
      <c r="M794" s="13">
        <f>CRF_3[[#This Row],[Time Spent on Configuration]]+CRF_3[[#This Row],[Time Spent on Review/Testing]]</f>
        <v>NaN</v>
      </c>
      <c r="O794" s="1" t="s">
        <v>32</v>
      </c>
      <c r="P794" s="1" t="s">
        <v>483</v>
      </c>
      <c r="Q794" s="1" t="s">
        <v>484</v>
      </c>
      <c r="R794" s="11">
        <v>44937</v>
      </c>
      <c r="S794" s="1">
        <v>5</v>
      </c>
      <c r="U794" s="48"/>
    </row>
    <row r="795" spans="1:21" x14ac:dyDescent="0.25">
      <c r="A795" s="1" t="s">
        <v>3576</v>
      </c>
      <c r="B795" s="1">
        <v>2023</v>
      </c>
      <c r="C795" s="2" t="s">
        <v>199</v>
      </c>
      <c r="D795" s="1" t="s">
        <v>541</v>
      </c>
      <c r="E795" s="1">
        <v>319116</v>
      </c>
      <c r="F795" s="1" t="s">
        <v>37</v>
      </c>
      <c r="G795" s="11">
        <v>44939</v>
      </c>
      <c r="H795" s="11" t="s">
        <v>38</v>
      </c>
      <c r="I795" s="2" t="s">
        <v>3085</v>
      </c>
      <c r="J795" s="2" t="s">
        <v>3086</v>
      </c>
      <c r="K795" s="12">
        <v>0.020833333332120674</v>
      </c>
      <c r="L795" s="12">
        <v>0.038194444445252884</v>
      </c>
      <c r="M795" s="13">
        <f>CRF_3[[#This Row],[Time Spent on Configuration]]+CRF_3[[#This Row],[Time Spent on Review/Testing]]</f>
        <v>NaN</v>
      </c>
      <c r="O795" s="1" t="s">
        <v>31</v>
      </c>
      <c r="P795" s="1" t="s">
        <v>483</v>
      </c>
      <c r="Q795" s="1" t="s">
        <v>488</v>
      </c>
      <c r="R795" s="11">
        <v>44939</v>
      </c>
      <c r="S795" s="1">
        <v>5</v>
      </c>
      <c r="U795" s="48"/>
    </row>
    <row r="796" ht="45" customHeight="1" spans="1:21" x14ac:dyDescent="0.25">
      <c r="A796" s="1" t="s">
        <v>3576</v>
      </c>
      <c r="B796" s="1">
        <v>2023</v>
      </c>
      <c r="C796" s="2" t="s">
        <v>308</v>
      </c>
      <c r="D796" s="1" t="s">
        <v>4555</v>
      </c>
      <c r="E796" s="1">
        <v>317340</v>
      </c>
      <c r="F796" s="1" t="s">
        <v>27</v>
      </c>
      <c r="G796" s="11">
        <v>44942</v>
      </c>
      <c r="H796" s="14" t="s">
        <v>133</v>
      </c>
      <c r="I796" s="2" t="s">
        <v>4556</v>
      </c>
      <c r="J796" s="2" t="s">
        <v>3089</v>
      </c>
      <c r="K796" s="12">
        <v>0.006944444445252884</v>
      </c>
      <c r="L796" s="12">
        <v>0.018055555556202307</v>
      </c>
      <c r="M796" s="13">
        <f>CRF_3[[#This Row],[Time Spent on Configuration]]+CRF_3[[#This Row],[Time Spent on Review/Testing]]</f>
        <v>NaN</v>
      </c>
      <c r="O796" s="1" t="s">
        <v>32</v>
      </c>
      <c r="P796" s="1" t="s">
        <v>483</v>
      </c>
      <c r="Q796" s="1" t="s">
        <v>488</v>
      </c>
      <c r="R796" s="11">
        <v>44942</v>
      </c>
      <c r="S796" s="1">
        <v>5</v>
      </c>
      <c r="U796" s="48"/>
    </row>
    <row r="797" spans="1:21" x14ac:dyDescent="0.25">
      <c r="A797" s="1" t="s">
        <v>3576</v>
      </c>
      <c r="B797" s="1">
        <v>2023</v>
      </c>
      <c r="C797" s="2" t="s">
        <v>985</v>
      </c>
      <c r="D797" s="1" t="s">
        <v>25</v>
      </c>
      <c r="E797" s="1">
        <v>312862</v>
      </c>
      <c r="F797" s="1" t="s">
        <v>37</v>
      </c>
      <c r="G797" s="11">
        <v>44942</v>
      </c>
      <c r="H797" s="11" t="s">
        <v>38</v>
      </c>
      <c r="I797" s="2" t="s">
        <v>3091</v>
      </c>
      <c r="J797" s="2" t="s">
        <v>3092</v>
      </c>
      <c r="K797" s="12">
        <v>0.03472222222262644</v>
      </c>
      <c r="L797" s="12">
        <v>0.06805555555547471</v>
      </c>
      <c r="M797" s="13">
        <f>CRF_3[[#This Row],[Time Spent on Configuration]]+CRF_3[[#This Row],[Time Spent on Review/Testing]]</f>
        <v>NaN</v>
      </c>
      <c r="O797" s="1" t="s">
        <v>31</v>
      </c>
      <c r="P797" s="1" t="s">
        <v>483</v>
      </c>
      <c r="Q797" s="1" t="s">
        <v>488</v>
      </c>
      <c r="R797" s="11">
        <v>44942</v>
      </c>
      <c r="S797" s="1">
        <v>5</v>
      </c>
      <c r="U797" s="48"/>
    </row>
    <row r="798" spans="1:21" x14ac:dyDescent="0.25">
      <c r="A798" s="1" t="s">
        <v>3576</v>
      </c>
      <c r="B798" s="1">
        <v>2023</v>
      </c>
      <c r="C798" s="2" t="s">
        <v>283</v>
      </c>
      <c r="D798" s="1" t="s">
        <v>25</v>
      </c>
      <c r="E798" s="1">
        <v>319588</v>
      </c>
      <c r="F798" s="1" t="s">
        <v>37</v>
      </c>
      <c r="G798" s="11">
        <v>44945</v>
      </c>
      <c r="H798" s="11" t="s">
        <v>38</v>
      </c>
      <c r="I798" s="2" t="s">
        <v>3094</v>
      </c>
      <c r="J798" s="2" t="s">
        <v>3095</v>
      </c>
      <c r="K798" s="12">
        <v>0.041666666667879326</v>
      </c>
      <c r="L798" s="12">
        <v>0.038194444445252884</v>
      </c>
      <c r="M798" s="13">
        <f>CRF_3[[#This Row],[Time Spent on Configuration]]+CRF_3[[#This Row],[Time Spent on Review/Testing]]</f>
        <v>NaN</v>
      </c>
      <c r="O798" s="1" t="s">
        <v>31</v>
      </c>
      <c r="P798" s="1" t="s">
        <v>483</v>
      </c>
      <c r="Q798" s="1" t="s">
        <v>488</v>
      </c>
      <c r="R798" s="11">
        <v>44945</v>
      </c>
      <c r="S798" s="1">
        <v>5</v>
      </c>
      <c r="U798" s="48"/>
    </row>
    <row r="799" spans="1:21" x14ac:dyDescent="0.25">
      <c r="A799" s="1" t="s">
        <v>3576</v>
      </c>
      <c r="B799" s="1">
        <v>2023</v>
      </c>
      <c r="C799" s="2" t="s">
        <v>616</v>
      </c>
      <c r="D799" s="1" t="s">
        <v>617</v>
      </c>
      <c r="E799" s="1">
        <v>318980</v>
      </c>
      <c r="F799" s="1" t="s">
        <v>713</v>
      </c>
      <c r="G799" s="11">
        <v>44946</v>
      </c>
      <c r="H799" s="11" t="s">
        <v>28</v>
      </c>
      <c r="I799" s="2" t="s">
        <v>3097</v>
      </c>
      <c r="J799" s="2" t="s">
        <v>3098</v>
      </c>
      <c r="K799" s="12">
        <v>0.03472222222262644</v>
      </c>
      <c r="L799" s="12">
        <v>0.041666666667879326</v>
      </c>
      <c r="M799" s="13">
        <f>CRF_3[[#This Row],[Time Spent on Configuration]]+CRF_3[[#This Row],[Time Spent on Review/Testing]]</f>
        <v>NaN</v>
      </c>
      <c r="O799" s="1" t="s">
        <v>32</v>
      </c>
      <c r="P799" s="1" t="s">
        <v>483</v>
      </c>
      <c r="Q799" s="1" t="s">
        <v>484</v>
      </c>
      <c r="R799" s="11">
        <v>44946</v>
      </c>
      <c r="S799" s="1">
        <v>5</v>
      </c>
      <c r="U799" s="48"/>
    </row>
    <row r="800" ht="150" customHeight="1" spans="1:21" x14ac:dyDescent="0.25">
      <c r="A800" s="1" t="s">
        <v>3576</v>
      </c>
      <c r="B800" s="1">
        <v>2023</v>
      </c>
      <c r="C800" s="2" t="s">
        <v>283</v>
      </c>
      <c r="D800" s="1" t="s">
        <v>25</v>
      </c>
      <c r="E800" s="1">
        <v>319857</v>
      </c>
      <c r="F800" s="1" t="s">
        <v>27</v>
      </c>
      <c r="G800" s="11">
        <v>44947</v>
      </c>
      <c r="H800" s="11" t="s">
        <v>670</v>
      </c>
      <c r="I800" s="2" t="s">
        <v>4557</v>
      </c>
      <c r="J800" s="2" t="s">
        <v>4558</v>
      </c>
      <c r="K800" s="12">
        <v>0.006944444445252884</v>
      </c>
      <c r="L800" s="12">
        <v>0.013888888890505768</v>
      </c>
      <c r="M800" s="13">
        <f>CRF_3[[#This Row],[Time Spent on Configuration]]+CRF_3[[#This Row],[Time Spent on Review/Testing]]</f>
        <v>NaN</v>
      </c>
      <c r="O800" s="1" t="s">
        <v>32</v>
      </c>
      <c r="P800" s="1" t="s">
        <v>483</v>
      </c>
      <c r="Q800" s="1" t="s">
        <v>488</v>
      </c>
      <c r="R800" s="11">
        <v>44947</v>
      </c>
      <c r="S800" s="1">
        <v>5</v>
      </c>
      <c r="U800" s="48"/>
    </row>
    <row r="801" ht="45" customHeight="1" spans="1:21" x14ac:dyDescent="0.25">
      <c r="A801" s="1" t="s">
        <v>3576</v>
      </c>
      <c r="B801" s="1">
        <v>2023</v>
      </c>
      <c r="C801" s="2" t="s">
        <v>479</v>
      </c>
      <c r="D801" s="1" t="s">
        <v>25</v>
      </c>
      <c r="E801" s="1">
        <v>319787</v>
      </c>
      <c r="F801" s="1" t="s">
        <v>713</v>
      </c>
      <c r="G801" s="11">
        <v>44947</v>
      </c>
      <c r="H801" s="11" t="s">
        <v>670</v>
      </c>
      <c r="I801" s="2" t="s">
        <v>4559</v>
      </c>
      <c r="J801" s="2" t="s">
        <v>4560</v>
      </c>
      <c r="K801" s="12">
        <v>0.013888888890505768</v>
      </c>
      <c r="L801" s="12">
        <v>0.02361111111167702</v>
      </c>
      <c r="M801" s="13">
        <f>CRF_3[[#This Row],[Time Spent on Configuration]]+CRF_3[[#This Row],[Time Spent on Review/Testing]]</f>
        <v>NaN</v>
      </c>
      <c r="O801" s="1" t="s">
        <v>32</v>
      </c>
      <c r="P801" s="1" t="s">
        <v>483</v>
      </c>
      <c r="Q801" s="1" t="s">
        <v>488</v>
      </c>
      <c r="R801" s="11">
        <v>44947</v>
      </c>
      <c r="S801" s="1">
        <v>5</v>
      </c>
      <c r="U801" s="48"/>
    </row>
    <row r="802" ht="30" customHeight="1" spans="1:21" x14ac:dyDescent="0.25">
      <c r="A802" s="1" t="s">
        <v>3576</v>
      </c>
      <c r="B802" s="1">
        <v>2023</v>
      </c>
      <c r="C802" s="2" t="s">
        <v>35</v>
      </c>
      <c r="D802" s="1" t="s">
        <v>25</v>
      </c>
      <c r="E802" s="1">
        <v>320122</v>
      </c>
      <c r="F802" s="1" t="s">
        <v>37</v>
      </c>
      <c r="G802" s="11">
        <v>44950</v>
      </c>
      <c r="H802" s="11" t="s">
        <v>28</v>
      </c>
      <c r="I802" s="2" t="s">
        <v>3106</v>
      </c>
      <c r="J802" s="2" t="s">
        <v>3107</v>
      </c>
      <c r="K802" s="12">
        <v>0.041666666667879326</v>
      </c>
      <c r="L802" s="12">
        <v>0.07638888889050577</v>
      </c>
      <c r="M802" s="13">
        <f>CRF_3[[#This Row],[Time Spent on Configuration]]+CRF_3[[#This Row],[Time Spent on Review/Testing]]</f>
        <v>NaN</v>
      </c>
      <c r="O802" s="1" t="s">
        <v>31</v>
      </c>
      <c r="P802" s="1" t="s">
        <v>32</v>
      </c>
      <c r="Q802" s="1" t="s">
        <v>1405</v>
      </c>
      <c r="R802" s="11">
        <v>44950</v>
      </c>
      <c r="S802" s="1">
        <v>5</v>
      </c>
      <c r="U802" s="48"/>
    </row>
    <row r="803" spans="1:21" x14ac:dyDescent="0.25">
      <c r="A803" s="1" t="s">
        <v>3576</v>
      </c>
      <c r="B803" s="1">
        <v>2023</v>
      </c>
      <c r="C803" s="2" t="s">
        <v>260</v>
      </c>
      <c r="D803" s="1" t="s">
        <v>261</v>
      </c>
      <c r="E803" s="1">
        <v>317198</v>
      </c>
      <c r="F803" s="1" t="s">
        <v>27</v>
      </c>
      <c r="G803" s="11">
        <v>44950</v>
      </c>
      <c r="H803" s="11" t="s">
        <v>507</v>
      </c>
      <c r="I803" s="2" t="s">
        <v>3108</v>
      </c>
      <c r="J803" s="2" t="s">
        <v>3108</v>
      </c>
      <c r="K803" s="12">
        <v>0.006944444445252884</v>
      </c>
      <c r="L803" s="12">
        <v>0.027777777777373558</v>
      </c>
      <c r="M803" s="13">
        <f>CRF_3[[#This Row],[Time Spent on Configuration]]+CRF_3[[#This Row],[Time Spent on Review/Testing]]</f>
        <v>NaN</v>
      </c>
      <c r="O803" s="1" t="s">
        <v>574</v>
      </c>
      <c r="P803" s="1" t="s">
        <v>483</v>
      </c>
      <c r="Q803" s="1" t="s">
        <v>42</v>
      </c>
      <c r="R803" s="11">
        <v>44950</v>
      </c>
      <c r="S803" s="1">
        <v>5</v>
      </c>
      <c r="U803" s="48"/>
    </row>
    <row r="804" ht="90" customHeight="1" spans="1:21" x14ac:dyDescent="0.25">
      <c r="A804" s="1" t="s">
        <v>3576</v>
      </c>
      <c r="B804" s="1">
        <v>2023</v>
      </c>
      <c r="C804" s="2" t="s">
        <v>283</v>
      </c>
      <c r="D804" s="1" t="s">
        <v>25</v>
      </c>
      <c r="E804" s="1">
        <v>320041</v>
      </c>
      <c r="F804" s="1" t="s">
        <v>27</v>
      </c>
      <c r="G804" s="11">
        <v>44950</v>
      </c>
      <c r="H804" s="11" t="s">
        <v>28</v>
      </c>
      <c r="I804" s="2" t="s">
        <v>4561</v>
      </c>
      <c r="J804" s="2" t="s">
        <v>4562</v>
      </c>
      <c r="K804" s="12">
        <v>0.020833333332120674</v>
      </c>
      <c r="L804" s="12">
        <v>0.041666666667879326</v>
      </c>
      <c r="M804" s="13">
        <f>CRF_3[[#This Row],[Time Spent on Configuration]]+CRF_3[[#This Row],[Time Spent on Review/Testing]]</f>
        <v>NaN</v>
      </c>
      <c r="O804" s="1" t="s">
        <v>32</v>
      </c>
      <c r="P804" s="1" t="s">
        <v>483</v>
      </c>
      <c r="Q804" s="1" t="s">
        <v>488</v>
      </c>
      <c r="R804" s="11">
        <v>44950</v>
      </c>
      <c r="S804" s="1">
        <v>5</v>
      </c>
      <c r="U804" s="48"/>
    </row>
    <row r="805" spans="1:21" x14ac:dyDescent="0.25">
      <c r="A805" s="1" t="s">
        <v>3576</v>
      </c>
      <c r="B805" s="1">
        <v>2023</v>
      </c>
      <c r="C805" s="2" t="s">
        <v>99</v>
      </c>
      <c r="D805" s="1" t="s">
        <v>25</v>
      </c>
      <c r="E805" s="1">
        <v>320151</v>
      </c>
      <c r="F805" s="1" t="s">
        <v>713</v>
      </c>
      <c r="G805" s="11">
        <v>44951</v>
      </c>
      <c r="H805" s="11" t="s">
        <v>28</v>
      </c>
      <c r="I805" s="2" t="s">
        <v>4563</v>
      </c>
      <c r="J805" s="2" t="s">
        <v>3114</v>
      </c>
      <c r="K805" s="12">
        <v>0.03472222222262644</v>
      </c>
      <c r="L805" s="12">
        <v>0.041666666667879326</v>
      </c>
      <c r="M805" s="13">
        <f>CRF_3[[#This Row],[Time Spent on Configuration]]+CRF_3[[#This Row],[Time Spent on Review/Testing]]</f>
        <v>NaN</v>
      </c>
      <c r="O805" s="1" t="s">
        <v>32</v>
      </c>
      <c r="P805" s="1" t="s">
        <v>483</v>
      </c>
      <c r="Q805" s="1" t="s">
        <v>484</v>
      </c>
      <c r="R805" s="11">
        <v>44951</v>
      </c>
      <c r="S805" s="1">
        <v>5</v>
      </c>
      <c r="U805" s="48"/>
    </row>
    <row r="806" ht="75" customHeight="1" spans="1:21" x14ac:dyDescent="0.25">
      <c r="A806" s="1" t="s">
        <v>3576</v>
      </c>
      <c r="B806" s="1">
        <v>2023</v>
      </c>
      <c r="C806" s="2" t="s">
        <v>479</v>
      </c>
      <c r="D806" s="1" t="s">
        <v>25</v>
      </c>
      <c r="E806" s="1">
        <v>320234</v>
      </c>
      <c r="F806" s="1" t="s">
        <v>27</v>
      </c>
      <c r="G806" s="11">
        <v>44951</v>
      </c>
      <c r="H806" s="11" t="s">
        <v>507</v>
      </c>
      <c r="I806" s="2" t="s">
        <v>4564</v>
      </c>
      <c r="J806" s="2" t="s">
        <v>4564</v>
      </c>
      <c r="K806" s="12">
        <v>0.020833333332120674</v>
      </c>
      <c r="L806" s="12">
        <v>0.03125</v>
      </c>
      <c r="M806" s="13">
        <f>CRF_3[[#This Row],[Time Spent on Configuration]]+CRF_3[[#This Row],[Time Spent on Review/Testing]]</f>
        <v>NaN</v>
      </c>
      <c r="O806" s="1" t="s">
        <v>32</v>
      </c>
      <c r="P806" s="1" t="s">
        <v>483</v>
      </c>
      <c r="Q806" s="1" t="s">
        <v>488</v>
      </c>
      <c r="R806" s="11">
        <v>44951</v>
      </c>
      <c r="S806" s="1">
        <v>5</v>
      </c>
      <c r="U806" s="48"/>
    </row>
    <row r="807" ht="105" customHeight="1" spans="1:21" x14ac:dyDescent="0.25">
      <c r="A807" s="1" t="s">
        <v>3576</v>
      </c>
      <c r="B807" s="1">
        <v>2023</v>
      </c>
      <c r="C807" s="2" t="s">
        <v>334</v>
      </c>
      <c r="D807" s="1" t="s">
        <v>335</v>
      </c>
      <c r="E807" s="1">
        <v>317214</v>
      </c>
      <c r="F807" s="1" t="s">
        <v>27</v>
      </c>
      <c r="G807" s="11">
        <v>44951</v>
      </c>
      <c r="H807" s="11" t="s">
        <v>38</v>
      </c>
      <c r="I807" s="2" t="s">
        <v>4565</v>
      </c>
      <c r="J807" s="2" t="s">
        <v>4566</v>
      </c>
      <c r="K807" s="12">
        <v>0.027777777777373558</v>
      </c>
      <c r="L807" s="12">
        <v>0.04513888889050577</v>
      </c>
      <c r="M807" s="13">
        <f>CRF_3[[#This Row],[Time Spent on Configuration]]+CRF_3[[#This Row],[Time Spent on Review/Testing]]</f>
        <v>NaN</v>
      </c>
      <c r="O807" s="1" t="s">
        <v>32</v>
      </c>
      <c r="P807" s="1" t="s">
        <v>483</v>
      </c>
      <c r="Q807" s="1" t="s">
        <v>42</v>
      </c>
      <c r="R807" s="11">
        <v>44951</v>
      </c>
      <c r="S807" s="1">
        <v>5</v>
      </c>
      <c r="U807" s="48"/>
    </row>
    <row r="808" ht="90" customHeight="1" spans="1:21" x14ac:dyDescent="0.25">
      <c r="A808" s="1" t="s">
        <v>3594</v>
      </c>
      <c r="B808" s="1">
        <v>2023</v>
      </c>
      <c r="C808" s="2" t="s">
        <v>43</v>
      </c>
      <c r="D808" s="1" t="s">
        <v>44</v>
      </c>
      <c r="E808" s="1">
        <v>319131</v>
      </c>
      <c r="F808" s="1" t="s">
        <v>37</v>
      </c>
      <c r="G808" s="11">
        <v>44960</v>
      </c>
      <c r="H808" s="11" t="s">
        <v>74</v>
      </c>
      <c r="I808" s="2" t="s">
        <v>4567</v>
      </c>
      <c r="J808" s="2" t="s">
        <v>4568</v>
      </c>
      <c r="K808" s="12">
        <v>0.01736111110949423</v>
      </c>
      <c r="L808" s="12">
        <v>0.028472222220443655</v>
      </c>
      <c r="M808" s="13">
        <f>CRF_3[[#This Row],[Time Spent on Configuration]]+CRF_3[[#This Row],[Time Spent on Review/Testing]]</f>
        <v>NaN</v>
      </c>
      <c r="O808" s="1" t="s">
        <v>32</v>
      </c>
      <c r="P808" s="1" t="s">
        <v>483</v>
      </c>
      <c r="Q808" s="1" t="s">
        <v>484</v>
      </c>
      <c r="R808" s="11">
        <v>44960</v>
      </c>
      <c r="S808" s="1">
        <v>5</v>
      </c>
      <c r="U808" s="48"/>
    </row>
    <row r="809" ht="45" customHeight="1" spans="1:21" x14ac:dyDescent="0.25">
      <c r="A809" s="1" t="s">
        <v>3594</v>
      </c>
      <c r="B809" s="1">
        <v>2023</v>
      </c>
      <c r="C809" s="2" t="s">
        <v>199</v>
      </c>
      <c r="D809" s="1" t="s">
        <v>4569</v>
      </c>
      <c r="E809" s="1">
        <v>321152</v>
      </c>
      <c r="F809" s="1" t="s">
        <v>37</v>
      </c>
      <c r="G809" s="11">
        <v>44961</v>
      </c>
      <c r="H809" s="14" t="s">
        <v>133</v>
      </c>
      <c r="I809" s="2" t="s">
        <v>3125</v>
      </c>
      <c r="J809" s="2" t="s">
        <v>4570</v>
      </c>
      <c r="K809" s="12">
        <v>0.013888888890505768</v>
      </c>
      <c r="L809" s="12">
        <v>0.01736111110949423</v>
      </c>
      <c r="M809" s="13">
        <f>CRF_3[[#This Row],[Time Spent on Configuration]]+CRF_3[[#This Row],[Time Spent on Review/Testing]]</f>
        <v>NaN</v>
      </c>
      <c r="O809" s="1" t="s">
        <v>32</v>
      </c>
      <c r="P809" s="1" t="s">
        <v>483</v>
      </c>
      <c r="Q809" s="1" t="s">
        <v>488</v>
      </c>
      <c r="R809" s="11">
        <v>44961</v>
      </c>
      <c r="S809" s="1">
        <v>5</v>
      </c>
      <c r="U809" s="48"/>
    </row>
    <row r="810" ht="45" customHeight="1" spans="1:21" x14ac:dyDescent="0.25">
      <c r="A810" s="1" t="s">
        <v>3594</v>
      </c>
      <c r="B810" s="1">
        <v>2023</v>
      </c>
      <c r="C810" s="2" t="s">
        <v>2997</v>
      </c>
      <c r="D810" s="1" t="s">
        <v>25</v>
      </c>
      <c r="E810" s="1">
        <v>321276</v>
      </c>
      <c r="F810" s="1" t="s">
        <v>27</v>
      </c>
      <c r="G810" s="11">
        <v>44961</v>
      </c>
      <c r="H810" s="11" t="s">
        <v>507</v>
      </c>
      <c r="I810" s="2" t="s">
        <v>4571</v>
      </c>
      <c r="J810" s="2" t="s">
        <v>4572</v>
      </c>
      <c r="K810" s="12">
        <v>0.020833333332120674</v>
      </c>
      <c r="L810" s="12">
        <v>0.02500000000145519</v>
      </c>
      <c r="M810" s="13">
        <f>CRF_3[[#This Row],[Time Spent on Configuration]]+CRF_3[[#This Row],[Time Spent on Review/Testing]]</f>
        <v>NaN</v>
      </c>
      <c r="O810" s="1" t="s">
        <v>32</v>
      </c>
      <c r="P810" s="1" t="s">
        <v>483</v>
      </c>
      <c r="Q810" s="1" t="s">
        <v>488</v>
      </c>
      <c r="R810" s="11">
        <v>44961</v>
      </c>
      <c r="S810" s="1">
        <v>5</v>
      </c>
      <c r="U810" s="48"/>
    </row>
    <row r="811" ht="60" customHeight="1" spans="1:21" x14ac:dyDescent="0.25">
      <c r="A811" s="1" t="s">
        <v>3594</v>
      </c>
      <c r="B811" s="1">
        <v>2023</v>
      </c>
      <c r="C811" s="2" t="s">
        <v>286</v>
      </c>
      <c r="D811" s="1" t="s">
        <v>287</v>
      </c>
      <c r="E811" s="1">
        <v>320862</v>
      </c>
      <c r="F811" s="1" t="s">
        <v>27</v>
      </c>
      <c r="G811" s="11">
        <v>44961</v>
      </c>
      <c r="H811" s="11" t="s">
        <v>74</v>
      </c>
      <c r="I811" s="2" t="s">
        <v>4573</v>
      </c>
      <c r="J811" s="2" t="s">
        <v>3132</v>
      </c>
      <c r="K811" s="12">
        <v>0.041666666667879326</v>
      </c>
      <c r="L811" s="12">
        <v>0.020833333332120674</v>
      </c>
      <c r="M811" s="13">
        <f>CRF_3[[#This Row],[Time Spent on Configuration]]+CRF_3[[#This Row],[Time Spent on Review/Testing]]</f>
        <v>NaN</v>
      </c>
      <c r="O811" s="1" t="s">
        <v>3133</v>
      </c>
      <c r="P811" s="1" t="s">
        <v>483</v>
      </c>
      <c r="Q811" s="1" t="s">
        <v>484</v>
      </c>
      <c r="R811" s="11">
        <v>44961</v>
      </c>
      <c r="S811" s="1">
        <v>5</v>
      </c>
      <c r="U811" s="48"/>
    </row>
    <row r="812" ht="285" customHeight="1" spans="1:21" x14ac:dyDescent="0.25">
      <c r="A812" s="1" t="s">
        <v>3594</v>
      </c>
      <c r="B812" s="1">
        <v>2023</v>
      </c>
      <c r="C812" s="2" t="s">
        <v>185</v>
      </c>
      <c r="D812" s="1" t="s">
        <v>186</v>
      </c>
      <c r="E812" s="1">
        <v>321684</v>
      </c>
      <c r="F812" s="1" t="s">
        <v>37</v>
      </c>
      <c r="G812" s="11">
        <v>44967</v>
      </c>
      <c r="H812" s="11" t="s">
        <v>28</v>
      </c>
      <c r="I812" s="2" t="s">
        <v>4574</v>
      </c>
      <c r="J812" s="2" t="s">
        <v>4575</v>
      </c>
      <c r="K812" s="12">
        <v>0.041666666667879326</v>
      </c>
      <c r="L812" s="12">
        <v>0.0625</v>
      </c>
      <c r="M812" s="13">
        <f>CRF_3[[#This Row],[Time Spent on Configuration]]+CRF_3[[#This Row],[Time Spent on Review/Testing]]</f>
        <v>NaN</v>
      </c>
      <c r="O812" s="1" t="s">
        <v>32</v>
      </c>
      <c r="P812" s="1" t="s">
        <v>483</v>
      </c>
      <c r="Q812" s="1" t="s">
        <v>488</v>
      </c>
      <c r="R812" s="11">
        <v>44967</v>
      </c>
      <c r="S812" s="1">
        <v>5</v>
      </c>
      <c r="U812" s="48"/>
    </row>
    <row r="813" spans="1:21" x14ac:dyDescent="0.25">
      <c r="A813" s="1" t="s">
        <v>3594</v>
      </c>
      <c r="B813" s="1">
        <v>2023</v>
      </c>
      <c r="C813" s="2" t="s">
        <v>510</v>
      </c>
      <c r="D813" s="1" t="s">
        <v>25</v>
      </c>
      <c r="E813" s="1">
        <v>321855</v>
      </c>
      <c r="F813" s="1" t="s">
        <v>27</v>
      </c>
      <c r="G813" s="11">
        <v>44967</v>
      </c>
      <c r="H813" s="14" t="s">
        <v>353</v>
      </c>
      <c r="I813" s="2" t="s">
        <v>3138</v>
      </c>
      <c r="J813" s="2" t="s">
        <v>3139</v>
      </c>
      <c r="K813" s="12">
        <v>0.020833333332120674</v>
      </c>
      <c r="L813" s="12">
        <v>0.027777777777373558</v>
      </c>
      <c r="M813" s="13">
        <f>CRF_3[[#This Row],[Time Spent on Configuration]]+CRF_3[[#This Row],[Time Spent on Review/Testing]]</f>
        <v>NaN</v>
      </c>
      <c r="O813" s="1" t="s">
        <v>32</v>
      </c>
      <c r="P813" s="1" t="s">
        <v>483</v>
      </c>
      <c r="Q813" s="1" t="s">
        <v>488</v>
      </c>
      <c r="R813" s="11">
        <v>44967</v>
      </c>
      <c r="S813" s="1">
        <v>5</v>
      </c>
      <c r="U813" s="48"/>
    </row>
    <row r="814" spans="1:21" x14ac:dyDescent="0.25">
      <c r="A814" s="1" t="s">
        <v>3594</v>
      </c>
      <c r="B814" s="1">
        <v>2023</v>
      </c>
      <c r="C814" s="2" t="s">
        <v>118</v>
      </c>
      <c r="D814" s="1" t="s">
        <v>25</v>
      </c>
      <c r="E814" s="1">
        <v>321843</v>
      </c>
      <c r="F814" s="1" t="s">
        <v>37</v>
      </c>
      <c r="G814" s="11">
        <v>44967</v>
      </c>
      <c r="H814" s="11" t="s">
        <v>3141</v>
      </c>
      <c r="I814" s="2" t="s">
        <v>3142</v>
      </c>
      <c r="J814" s="2" t="s">
        <v>3142</v>
      </c>
      <c r="K814" s="12">
        <v>0.0625</v>
      </c>
      <c r="L814" s="12"/>
      <c r="M814" s="13">
        <f>CRF_3[[#This Row],[Time Spent on Configuration]]+CRF_3[[#This Row],[Time Spent on Review/Testing]]</f>
        <v>NaN</v>
      </c>
      <c r="O814" s="1" t="s">
        <v>31</v>
      </c>
      <c r="Q814" s="1" t="s">
        <v>488</v>
      </c>
      <c r="R814" s="11">
        <v>44967</v>
      </c>
      <c r="S814" s="1">
        <v>5</v>
      </c>
      <c r="U814" s="48"/>
    </row>
    <row r="815" ht="30" customHeight="1" spans="1:21" x14ac:dyDescent="0.25">
      <c r="A815" s="1" t="s">
        <v>3594</v>
      </c>
      <c r="B815" s="1">
        <v>2023</v>
      </c>
      <c r="C815" s="2" t="s">
        <v>35</v>
      </c>
      <c r="D815" s="1" t="s">
        <v>25</v>
      </c>
      <c r="E815" s="1">
        <v>322035</v>
      </c>
      <c r="F815" s="1" t="s">
        <v>37</v>
      </c>
      <c r="G815" s="11">
        <v>44970</v>
      </c>
      <c r="H815" s="11" t="s">
        <v>38</v>
      </c>
      <c r="I815" s="2" t="s">
        <v>4576</v>
      </c>
      <c r="J815" s="2" t="s">
        <v>4577</v>
      </c>
      <c r="K815" s="12">
        <v>0.041666666667879326</v>
      </c>
      <c r="L815" s="12">
        <v>0.027777777777373558</v>
      </c>
      <c r="M815" s="13">
        <f>CRF_3[[#This Row],[Time Spent on Configuration]]+CRF_3[[#This Row],[Time Spent on Review/Testing]]</f>
        <v>NaN</v>
      </c>
      <c r="O815" s="1" t="s">
        <v>31</v>
      </c>
      <c r="P815" s="1" t="s">
        <v>32</v>
      </c>
      <c r="Q815" s="1" t="s">
        <v>1405</v>
      </c>
      <c r="R815" s="11">
        <v>44970</v>
      </c>
      <c r="S815" s="1">
        <v>5</v>
      </c>
      <c r="U815" s="48"/>
    </row>
    <row r="816" spans="1:21" x14ac:dyDescent="0.25">
      <c r="A816" s="1" t="s">
        <v>3594</v>
      </c>
      <c r="B816" s="1">
        <v>2023</v>
      </c>
      <c r="C816" s="2" t="s">
        <v>146</v>
      </c>
      <c r="D816" s="1" t="s">
        <v>186</v>
      </c>
      <c r="E816" s="1">
        <v>322024</v>
      </c>
      <c r="F816" s="1" t="s">
        <v>37</v>
      </c>
      <c r="G816" s="11">
        <v>44977</v>
      </c>
      <c r="H816" s="11" t="s">
        <v>38</v>
      </c>
      <c r="I816" s="2" t="s">
        <v>3147</v>
      </c>
      <c r="J816" s="2" t="s">
        <v>3148</v>
      </c>
      <c r="K816" s="12">
        <v>0.020833333332120674</v>
      </c>
      <c r="L816" s="12">
        <v>0.041666666667879326</v>
      </c>
      <c r="M816" s="13">
        <f>CRF_3[[#This Row],[Time Spent on Configuration]]+CRF_3[[#This Row],[Time Spent on Review/Testing]]</f>
        <v>NaN</v>
      </c>
      <c r="O816" s="1" t="s">
        <v>31</v>
      </c>
      <c r="P816" s="1" t="s">
        <v>483</v>
      </c>
      <c r="Q816" s="1" t="s">
        <v>488</v>
      </c>
      <c r="R816" s="11">
        <v>44977</v>
      </c>
      <c r="S816" s="1">
        <v>5</v>
      </c>
      <c r="U816" s="48"/>
    </row>
    <row r="817" spans="1:21" x14ac:dyDescent="0.25">
      <c r="A817" s="1" t="s">
        <v>3594</v>
      </c>
      <c r="B817" s="1">
        <v>2023</v>
      </c>
      <c r="C817" s="2" t="s">
        <v>99</v>
      </c>
      <c r="D817" s="1" t="s">
        <v>25</v>
      </c>
      <c r="E817" s="1">
        <v>322840</v>
      </c>
      <c r="F817" s="1" t="s">
        <v>713</v>
      </c>
      <c r="G817" s="11">
        <v>44979</v>
      </c>
      <c r="H817" s="11" t="s">
        <v>28</v>
      </c>
      <c r="I817" s="40" t="s">
        <v>4578</v>
      </c>
      <c r="J817" s="40" t="s">
        <v>4579</v>
      </c>
      <c r="K817" s="12">
        <v>0.055555555554747116</v>
      </c>
      <c r="L817" s="12">
        <v>0.055555555554747116</v>
      </c>
      <c r="M817" s="13">
        <f>CRF_3[[#This Row],[Time Spent on Configuration]]+CRF_3[[#This Row],[Time Spent on Review/Testing]]</f>
        <v>NaN</v>
      </c>
      <c r="O817" s="1" t="s">
        <v>3152</v>
      </c>
      <c r="P817" s="1" t="s">
        <v>483</v>
      </c>
      <c r="Q817" s="1" t="s">
        <v>484</v>
      </c>
      <c r="R817" s="11">
        <v>44979</v>
      </c>
      <c r="S817" s="1">
        <v>5</v>
      </c>
      <c r="U817" s="48"/>
    </row>
    <row r="818" ht="45" customHeight="1" spans="1:21" x14ac:dyDescent="0.25">
      <c r="A818" s="1" t="s">
        <v>3594</v>
      </c>
      <c r="B818" s="1">
        <v>2023</v>
      </c>
      <c r="C818" s="2" t="s">
        <v>1451</v>
      </c>
      <c r="D818" s="1" t="s">
        <v>287</v>
      </c>
      <c r="E818" s="1">
        <v>322862</v>
      </c>
      <c r="F818" s="1" t="s">
        <v>713</v>
      </c>
      <c r="G818" s="11">
        <v>44979</v>
      </c>
      <c r="H818" s="11" t="s">
        <v>28</v>
      </c>
      <c r="I818" s="2" t="s">
        <v>4580</v>
      </c>
      <c r="J818" s="2" t="s">
        <v>3155</v>
      </c>
      <c r="K818" s="12">
        <v>0.020833333332120674</v>
      </c>
      <c r="L818" s="12">
        <v>0.08680555555474712</v>
      </c>
      <c r="M818" s="13">
        <f>CRF_3[[#This Row],[Time Spent on Configuration]]+CRF_3[[#This Row],[Time Spent on Review/Testing]]</f>
        <v>NaN</v>
      </c>
      <c r="O818" s="1" t="s">
        <v>3152</v>
      </c>
      <c r="P818" s="1" t="s">
        <v>3152</v>
      </c>
      <c r="Q818" s="1" t="s">
        <v>484</v>
      </c>
      <c r="R818" s="11">
        <v>44979</v>
      </c>
      <c r="S818" s="1">
        <v>5</v>
      </c>
      <c r="U818" s="48"/>
    </row>
    <row r="819" ht="30" customHeight="1" spans="1:21" x14ac:dyDescent="0.25">
      <c r="A819" s="1" t="s">
        <v>3594</v>
      </c>
      <c r="B819" s="1">
        <v>2023</v>
      </c>
      <c r="C819" s="2" t="s">
        <v>537</v>
      </c>
      <c r="D819" s="1" t="s">
        <v>25</v>
      </c>
      <c r="E819" s="1">
        <v>319759</v>
      </c>
      <c r="F819" s="1" t="s">
        <v>27</v>
      </c>
      <c r="G819" s="11">
        <v>44979</v>
      </c>
      <c r="H819" s="11" t="s">
        <v>507</v>
      </c>
      <c r="I819" s="2" t="s">
        <v>4581</v>
      </c>
      <c r="J819" s="2" t="s">
        <v>3158</v>
      </c>
      <c r="K819" s="12">
        <v>0.013888888890505768</v>
      </c>
      <c r="L819" s="12">
        <v>0.024305555554747116</v>
      </c>
      <c r="M819" s="13">
        <f>CRF_3[[#This Row],[Time Spent on Configuration]]+CRF_3[[#This Row],[Time Spent on Review/Testing]]</f>
        <v>NaN</v>
      </c>
      <c r="O819" s="1" t="s">
        <v>32</v>
      </c>
      <c r="P819" s="1" t="s">
        <v>483</v>
      </c>
      <c r="Q819" s="1" t="s">
        <v>488</v>
      </c>
      <c r="R819" s="11">
        <v>44979</v>
      </c>
      <c r="S819" s="1">
        <v>5</v>
      </c>
      <c r="U819" s="48"/>
    </row>
    <row r="820" spans="1:21" x14ac:dyDescent="0.25">
      <c r="A820" s="1" t="s">
        <v>3594</v>
      </c>
      <c r="B820" s="1">
        <v>2023</v>
      </c>
      <c r="C820" s="2" t="s">
        <v>99</v>
      </c>
      <c r="D820" s="1" t="s">
        <v>25</v>
      </c>
      <c r="E820" s="1">
        <v>322944</v>
      </c>
      <c r="F820" s="1" t="s">
        <v>27</v>
      </c>
      <c r="G820" s="11">
        <v>44980</v>
      </c>
      <c r="H820" s="11" t="s">
        <v>507</v>
      </c>
      <c r="I820" s="2" t="s">
        <v>4582</v>
      </c>
      <c r="J820" s="2" t="s">
        <v>3161</v>
      </c>
      <c r="K820" s="12">
        <v>0.013888888890505768</v>
      </c>
      <c r="L820" s="12">
        <v>0.024305555554747116</v>
      </c>
      <c r="M820" s="13">
        <f>CRF_3[[#This Row],[Time Spent on Configuration]]+CRF_3[[#This Row],[Time Spent on Review/Testing]]</f>
        <v>NaN</v>
      </c>
      <c r="O820" s="1" t="s">
        <v>32</v>
      </c>
      <c r="P820" s="1" t="s">
        <v>483</v>
      </c>
      <c r="Q820" s="1" t="s">
        <v>484</v>
      </c>
      <c r="R820" s="11">
        <v>44980</v>
      </c>
      <c r="S820" s="1">
        <v>5</v>
      </c>
      <c r="U820" s="48"/>
    </row>
    <row r="821" ht="75" customHeight="1" spans="1:21" x14ac:dyDescent="0.25">
      <c r="A821" s="1" t="s">
        <v>3594</v>
      </c>
      <c r="B821" s="1">
        <v>2023</v>
      </c>
      <c r="C821" s="2" t="s">
        <v>283</v>
      </c>
      <c r="D821" s="1" t="s">
        <v>25</v>
      </c>
      <c r="E821" s="1">
        <v>320237</v>
      </c>
      <c r="F821" s="1" t="s">
        <v>27</v>
      </c>
      <c r="G821" s="11">
        <v>44980</v>
      </c>
      <c r="H821" s="11" t="s">
        <v>507</v>
      </c>
      <c r="I821" s="2" t="s">
        <v>4583</v>
      </c>
      <c r="J821" s="2" t="s">
        <v>4584</v>
      </c>
      <c r="K821" s="12">
        <v>0.01736111110949423</v>
      </c>
      <c r="L821" s="12">
        <v>0.027777777777373558</v>
      </c>
      <c r="M821" s="13">
        <f>CRF_3[[#This Row],[Time Spent on Configuration]]+CRF_3[[#This Row],[Time Spent on Review/Testing]]</f>
        <v>NaN</v>
      </c>
      <c r="O821" s="1" t="s">
        <v>32</v>
      </c>
      <c r="P821" s="1" t="s">
        <v>483</v>
      </c>
      <c r="Q821" s="1" t="s">
        <v>488</v>
      </c>
      <c r="R821" s="11">
        <v>44980</v>
      </c>
      <c r="S821" s="1">
        <v>5</v>
      </c>
      <c r="U821" s="48"/>
    </row>
    <row r="822" spans="1:21" x14ac:dyDescent="0.25">
      <c r="A822" s="1" t="s">
        <v>3594</v>
      </c>
      <c r="B822" s="1">
        <v>2023</v>
      </c>
      <c r="C822" s="2" t="s">
        <v>2997</v>
      </c>
      <c r="D822" s="1" t="s">
        <v>25</v>
      </c>
      <c r="E822" s="1">
        <v>322932</v>
      </c>
      <c r="F822" s="1" t="s">
        <v>27</v>
      </c>
      <c r="G822" s="11">
        <v>44980</v>
      </c>
      <c r="H822" s="11" t="s">
        <v>38</v>
      </c>
      <c r="I822" s="2" t="s">
        <v>3166</v>
      </c>
      <c r="J822" s="2" t="s">
        <v>3167</v>
      </c>
      <c r="K822" s="12">
        <v>0.041666666667879326</v>
      </c>
      <c r="L822" s="12">
        <v>0.03472222222262644</v>
      </c>
      <c r="M822" s="13">
        <f>CRF_3[[#This Row],[Time Spent on Configuration]]+CRF_3[[#This Row],[Time Spent on Review/Testing]]</f>
        <v>NaN</v>
      </c>
      <c r="O822" s="1" t="s">
        <v>31</v>
      </c>
      <c r="P822" s="1" t="s">
        <v>32</v>
      </c>
      <c r="Q822" s="1" t="s">
        <v>488</v>
      </c>
      <c r="R822" s="11">
        <v>44980</v>
      </c>
      <c r="S822" s="1">
        <v>5</v>
      </c>
      <c r="U822" s="48"/>
    </row>
    <row r="823" spans="1:21" x14ac:dyDescent="0.25">
      <c r="A823" s="1" t="s">
        <v>3594</v>
      </c>
      <c r="B823" s="1">
        <v>2023</v>
      </c>
      <c r="C823" s="2" t="s">
        <v>35</v>
      </c>
      <c r="D823" s="1" t="s">
        <v>25</v>
      </c>
      <c r="E823" s="1">
        <v>322643</v>
      </c>
      <c r="F823" s="1" t="s">
        <v>37</v>
      </c>
      <c r="G823" s="11">
        <v>44981</v>
      </c>
      <c r="H823" s="11" t="s">
        <v>507</v>
      </c>
      <c r="I823" s="2" t="s">
        <v>4585</v>
      </c>
      <c r="J823" s="2" t="s">
        <v>4585</v>
      </c>
      <c r="K823" s="12">
        <v>0.041666666667879326</v>
      </c>
      <c r="L823" s="12">
        <v>0.06597222222262644</v>
      </c>
      <c r="M823" s="13">
        <f>CRF_3[[#This Row],[Time Spent on Configuration]]+CRF_3[[#This Row],[Time Spent on Review/Testing]]</f>
        <v>NaN</v>
      </c>
      <c r="O823" s="1" t="s">
        <v>31</v>
      </c>
      <c r="P823" s="1" t="s">
        <v>483</v>
      </c>
      <c r="Q823" s="1" t="s">
        <v>42</v>
      </c>
      <c r="R823" s="11">
        <v>44981</v>
      </c>
      <c r="S823" s="1">
        <v>5</v>
      </c>
      <c r="U823" s="48"/>
    </row>
    <row r="824" ht="45" customHeight="1" spans="1:21" x14ac:dyDescent="0.25">
      <c r="A824" s="1" t="s">
        <v>3594</v>
      </c>
      <c r="B824" s="1">
        <v>2023</v>
      </c>
      <c r="C824" s="2" t="s">
        <v>479</v>
      </c>
      <c r="D824" s="1" t="s">
        <v>25</v>
      </c>
      <c r="E824" s="1">
        <v>323340</v>
      </c>
      <c r="F824" s="1" t="s">
        <v>27</v>
      </c>
      <c r="G824" s="11">
        <v>44985</v>
      </c>
      <c r="H824" s="11" t="s">
        <v>38</v>
      </c>
      <c r="I824" s="2" t="s">
        <v>4586</v>
      </c>
      <c r="J824" s="2" t="s">
        <v>4587</v>
      </c>
      <c r="K824" s="12">
        <v>0.013888888890505768</v>
      </c>
      <c r="L824" s="12">
        <v>0.03541666666569654</v>
      </c>
      <c r="M824" s="13">
        <f>CRF_3[[#This Row],[Time Spent on Configuration]]+CRF_3[[#This Row],[Time Spent on Review/Testing]]</f>
        <v>NaN</v>
      </c>
      <c r="O824" s="1" t="s">
        <v>32</v>
      </c>
      <c r="P824" s="1" t="s">
        <v>483</v>
      </c>
      <c r="Q824" s="1" t="s">
        <v>488</v>
      </c>
      <c r="R824" s="11">
        <v>44985</v>
      </c>
      <c r="S824" s="1">
        <v>5</v>
      </c>
      <c r="U824" s="48"/>
    </row>
    <row r="825" ht="105" customHeight="1" spans="1:21" x14ac:dyDescent="0.25">
      <c r="A825" s="1" t="s">
        <v>3594</v>
      </c>
      <c r="B825" s="1">
        <v>2023</v>
      </c>
      <c r="C825" s="2" t="s">
        <v>43</v>
      </c>
      <c r="D825" s="1" t="s">
        <v>44</v>
      </c>
      <c r="E825" s="1">
        <v>297734</v>
      </c>
      <c r="F825" s="1" t="s">
        <v>37</v>
      </c>
      <c r="G825" s="11">
        <v>44985</v>
      </c>
      <c r="H825" s="11" t="s">
        <v>38</v>
      </c>
      <c r="I825" s="2" t="s">
        <v>4588</v>
      </c>
      <c r="J825" s="2" t="s">
        <v>4589</v>
      </c>
      <c r="K825" s="12">
        <v>0.013888888890505768</v>
      </c>
      <c r="L825" s="12">
        <v>0.03125</v>
      </c>
      <c r="M825" s="13">
        <f>CRF_3[[#This Row],[Time Spent on Configuration]]+CRF_3[[#This Row],[Time Spent on Review/Testing]]</f>
        <v>NaN</v>
      </c>
      <c r="O825" s="1" t="s">
        <v>32</v>
      </c>
      <c r="P825" s="1" t="s">
        <v>483</v>
      </c>
      <c r="Q825" s="1" t="s">
        <v>484</v>
      </c>
      <c r="R825" s="11">
        <v>44985</v>
      </c>
      <c r="S825" s="1">
        <v>5</v>
      </c>
      <c r="U825" s="48"/>
    </row>
    <row r="826" spans="1:21" x14ac:dyDescent="0.25">
      <c r="A826" s="1" t="s">
        <v>3613</v>
      </c>
      <c r="B826" s="1">
        <v>2023</v>
      </c>
      <c r="C826" s="2" t="s">
        <v>163</v>
      </c>
      <c r="D826" s="1" t="s">
        <v>25</v>
      </c>
      <c r="E826" s="1">
        <v>323953</v>
      </c>
      <c r="F826" s="1" t="s">
        <v>37</v>
      </c>
      <c r="G826" s="11">
        <v>44989</v>
      </c>
      <c r="H826" s="14" t="s">
        <v>353</v>
      </c>
      <c r="I826" s="2" t="s">
        <v>3178</v>
      </c>
      <c r="J826" s="2" t="s">
        <v>3179</v>
      </c>
      <c r="K826" s="12">
        <v>0.013888888890505768</v>
      </c>
      <c r="L826" s="12">
        <v>0.010416666667879326</v>
      </c>
      <c r="M826" s="13">
        <f>CRF_3[[#This Row],[Time Spent on Configuration]]+CRF_3[[#This Row],[Time Spent on Review/Testing]]</f>
        <v>NaN</v>
      </c>
      <c r="O826" s="1" t="s">
        <v>32</v>
      </c>
      <c r="P826" s="1" t="s">
        <v>483</v>
      </c>
      <c r="Q826" s="1" t="s">
        <v>488</v>
      </c>
      <c r="R826" s="11">
        <v>44989</v>
      </c>
      <c r="S826" s="1">
        <v>5</v>
      </c>
      <c r="U826" s="48"/>
    </row>
    <row r="827" ht="135" customHeight="1" spans="1:21" x14ac:dyDescent="0.25">
      <c r="A827" s="1" t="s">
        <v>3613</v>
      </c>
      <c r="B827" s="1">
        <v>2023</v>
      </c>
      <c r="C827" s="2" t="s">
        <v>529</v>
      </c>
      <c r="D827" s="1" t="s">
        <v>530</v>
      </c>
      <c r="E827" s="1">
        <v>324100</v>
      </c>
      <c r="F827" s="1" t="s">
        <v>713</v>
      </c>
      <c r="G827" s="11">
        <v>44992</v>
      </c>
      <c r="H827" s="11" t="s">
        <v>28</v>
      </c>
      <c r="I827" s="2" t="s">
        <v>4590</v>
      </c>
      <c r="J827" s="2" t="s">
        <v>3182</v>
      </c>
      <c r="K827" s="12">
        <v>0.027777777777373558</v>
      </c>
      <c r="L827" s="12">
        <v>0.08750000000145519</v>
      </c>
      <c r="M827" s="13">
        <f>CRF_3[[#This Row],[Time Spent on Configuration]]+CRF_3[[#This Row],[Time Spent on Review/Testing]]</f>
        <v>NaN</v>
      </c>
      <c r="O827" s="1" t="s">
        <v>41</v>
      </c>
      <c r="P827" s="1" t="s">
        <v>483</v>
      </c>
      <c r="Q827" s="1" t="s">
        <v>484</v>
      </c>
      <c r="R827" s="11">
        <v>44992</v>
      </c>
      <c r="S827" s="1">
        <v>5</v>
      </c>
      <c r="U827" s="48"/>
    </row>
    <row r="828" ht="75" customHeight="1" spans="1:21" x14ac:dyDescent="0.25">
      <c r="A828" s="1" t="s">
        <v>3613</v>
      </c>
      <c r="B828" s="1">
        <v>2023</v>
      </c>
      <c r="C828" s="2" t="s">
        <v>545</v>
      </c>
      <c r="D828" s="1" t="s">
        <v>963</v>
      </c>
      <c r="E828" s="1">
        <v>323868</v>
      </c>
      <c r="F828" s="1" t="s">
        <v>37</v>
      </c>
      <c r="G828" s="11">
        <v>44993</v>
      </c>
      <c r="H828" s="11" t="s">
        <v>74</v>
      </c>
      <c r="I828" s="2" t="s">
        <v>4591</v>
      </c>
      <c r="J828" s="2" t="s">
        <v>3185</v>
      </c>
      <c r="K828" s="12">
        <v>0.013888888890505768</v>
      </c>
      <c r="L828" s="12">
        <v>0.024305555554747116</v>
      </c>
      <c r="M828" s="13">
        <f>CRF_3[[#This Row],[Time Spent on Configuration]]+CRF_3[[#This Row],[Time Spent on Review/Testing]]</f>
        <v>NaN</v>
      </c>
      <c r="O828" s="1" t="s">
        <v>32</v>
      </c>
      <c r="P828" s="1" t="s">
        <v>41</v>
      </c>
      <c r="Q828" s="1" t="s">
        <v>484</v>
      </c>
      <c r="R828" s="11">
        <v>44993</v>
      </c>
      <c r="S828" s="1">
        <v>5</v>
      </c>
      <c r="U828" s="48"/>
    </row>
    <row r="829" spans="1:21" x14ac:dyDescent="0.25">
      <c r="A829" s="1" t="s">
        <v>3613</v>
      </c>
      <c r="B829" s="1">
        <v>2023</v>
      </c>
      <c r="C829" s="2" t="s">
        <v>1451</v>
      </c>
      <c r="D829" s="1" t="s">
        <v>287</v>
      </c>
      <c r="E829" s="1">
        <v>323973</v>
      </c>
      <c r="F829" s="1" t="s">
        <v>27</v>
      </c>
      <c r="G829" s="11">
        <v>44993</v>
      </c>
      <c r="H829" s="11" t="s">
        <v>74</v>
      </c>
      <c r="I829" s="2" t="s">
        <v>4592</v>
      </c>
      <c r="J829" s="2" t="s">
        <v>3188</v>
      </c>
      <c r="K829" s="12">
        <v>0.006944444445252884</v>
      </c>
      <c r="L829" s="12">
        <v>0.020833333332120674</v>
      </c>
      <c r="M829" s="13">
        <f>CRF_3[[#This Row],[Time Spent on Configuration]]+CRF_3[[#This Row],[Time Spent on Review/Testing]]</f>
        <v>NaN</v>
      </c>
      <c r="O829" s="1" t="s">
        <v>41</v>
      </c>
      <c r="P829" s="1" t="s">
        <v>4187</v>
      </c>
      <c r="Q829" s="1" t="s">
        <v>484</v>
      </c>
      <c r="R829" s="11">
        <v>44993</v>
      </c>
      <c r="U829" s="48"/>
    </row>
    <row r="830" ht="120" customHeight="1" spans="1:21" x14ac:dyDescent="0.25">
      <c r="A830" s="1" t="s">
        <v>3613</v>
      </c>
      <c r="B830" s="1">
        <v>2023</v>
      </c>
      <c r="C830" s="2" t="s">
        <v>510</v>
      </c>
      <c r="D830" s="1" t="s">
        <v>25</v>
      </c>
      <c r="E830" s="1">
        <v>324255</v>
      </c>
      <c r="F830" s="1" t="s">
        <v>37</v>
      </c>
      <c r="G830" s="11">
        <v>44993</v>
      </c>
      <c r="H830" s="11" t="s">
        <v>28</v>
      </c>
      <c r="I830" s="2" t="s">
        <v>4593</v>
      </c>
      <c r="J830" s="2" t="s">
        <v>3191</v>
      </c>
      <c r="K830" s="12">
        <v>0.020833333332120674</v>
      </c>
      <c r="L830" s="12">
        <v>0.041666666667879326</v>
      </c>
      <c r="M830" s="13">
        <f>CRF_3[[#This Row],[Time Spent on Configuration]]+CRF_3[[#This Row],[Time Spent on Review/Testing]]</f>
        <v>NaN</v>
      </c>
      <c r="O830" s="1" t="s">
        <v>53</v>
      </c>
      <c r="P830" s="1" t="s">
        <v>483</v>
      </c>
      <c r="Q830" s="1" t="s">
        <v>488</v>
      </c>
      <c r="R830" s="11">
        <v>44993</v>
      </c>
      <c r="S830" s="1">
        <v>5</v>
      </c>
      <c r="U830" s="48"/>
    </row>
    <row r="831" ht="90" customHeight="1" spans="1:21" x14ac:dyDescent="0.25">
      <c r="A831" s="1" t="s">
        <v>3613</v>
      </c>
      <c r="B831" s="1">
        <v>2023</v>
      </c>
      <c r="C831" s="2" t="s">
        <v>199</v>
      </c>
      <c r="D831" s="1" t="s">
        <v>541</v>
      </c>
      <c r="E831" s="1">
        <v>325044</v>
      </c>
      <c r="F831" s="1" t="s">
        <v>4195</v>
      </c>
      <c r="G831" s="11">
        <v>44998</v>
      </c>
      <c r="H831" s="14" t="s">
        <v>353</v>
      </c>
      <c r="I831" s="2" t="s">
        <v>4594</v>
      </c>
      <c r="J831" s="2" t="s">
        <v>4595</v>
      </c>
      <c r="K831" s="12">
        <v>0.010416666667879326</v>
      </c>
      <c r="L831" s="12">
        <v>0.01736111110949423</v>
      </c>
      <c r="M831" s="13">
        <f>CRF_3[[#This Row],[Time Spent on Configuration]]+CRF_3[[#This Row],[Time Spent on Review/Testing]]</f>
        <v>NaN</v>
      </c>
      <c r="O831" s="1" t="s">
        <v>41</v>
      </c>
      <c r="P831" s="1" t="s">
        <v>32</v>
      </c>
      <c r="Q831" s="1" t="s">
        <v>488</v>
      </c>
      <c r="R831" s="11">
        <v>44998</v>
      </c>
      <c r="S831" s="1">
        <v>5</v>
      </c>
      <c r="U831" s="48"/>
    </row>
    <row r="832" spans="1:21" x14ac:dyDescent="0.25">
      <c r="A832" s="1" t="s">
        <v>3613</v>
      </c>
      <c r="B832" s="1">
        <v>2023</v>
      </c>
      <c r="C832" s="2" t="s">
        <v>1204</v>
      </c>
      <c r="D832" s="1" t="s">
        <v>3195</v>
      </c>
      <c r="E832" s="1">
        <v>324452</v>
      </c>
      <c r="F832" s="1" t="s">
        <v>4195</v>
      </c>
      <c r="G832" s="11">
        <v>44998</v>
      </c>
      <c r="H832" s="14" t="s">
        <v>133</v>
      </c>
      <c r="I832" s="2" t="s">
        <v>4596</v>
      </c>
      <c r="J832" s="2" t="s">
        <v>3197</v>
      </c>
      <c r="K832" s="12">
        <v>0.07291666666787933</v>
      </c>
      <c r="L832" s="12">
        <v>0.07638888889050577</v>
      </c>
      <c r="M832" s="13">
        <f>CRF_3[[#This Row],[Time Spent on Configuration]]+CRF_3[[#This Row],[Time Spent on Review/Testing]]</f>
        <v>NaN</v>
      </c>
      <c r="O832" s="1" t="s">
        <v>31</v>
      </c>
      <c r="P832" s="1" t="s">
        <v>32</v>
      </c>
      <c r="Q832" s="1" t="s">
        <v>488</v>
      </c>
      <c r="R832" s="11">
        <v>44998</v>
      </c>
      <c r="S832" s="1">
        <v>5</v>
      </c>
      <c r="U832" s="48"/>
    </row>
    <row r="833" ht="45" customHeight="1" spans="1:21" x14ac:dyDescent="0.25">
      <c r="A833" s="1" t="s">
        <v>3613</v>
      </c>
      <c r="B833" s="1">
        <v>2023</v>
      </c>
      <c r="C833" s="2" t="s">
        <v>537</v>
      </c>
      <c r="D833" s="1" t="s">
        <v>25</v>
      </c>
      <c r="E833" s="1">
        <v>325960</v>
      </c>
      <c r="F833" s="1" t="s">
        <v>27</v>
      </c>
      <c r="G833" s="11">
        <v>45002</v>
      </c>
      <c r="H833" s="11" t="s">
        <v>38</v>
      </c>
      <c r="I833" s="2" t="s">
        <v>3199</v>
      </c>
      <c r="J833" s="2" t="s">
        <v>4597</v>
      </c>
      <c r="K833" s="12">
        <v>0.013888888890505768</v>
      </c>
      <c r="L833" s="12">
        <v>0.020833333332120674</v>
      </c>
      <c r="M833" s="13">
        <f>CRF_3[[#This Row],[Time Spent on Configuration]]+CRF_3[[#This Row],[Time Spent on Review/Testing]]</f>
        <v>NaN</v>
      </c>
      <c r="O833" s="1" t="s">
        <v>32</v>
      </c>
      <c r="P833" s="1" t="s">
        <v>483</v>
      </c>
      <c r="Q833" s="1" t="s">
        <v>488</v>
      </c>
      <c r="R833" s="11">
        <v>45002</v>
      </c>
      <c r="S833" s="1">
        <v>5</v>
      </c>
      <c r="U833" s="48"/>
    </row>
    <row r="834" ht="90" customHeight="1" spans="1:21" x14ac:dyDescent="0.25">
      <c r="A834" s="1" t="s">
        <v>3613</v>
      </c>
      <c r="B834" s="1">
        <v>2023</v>
      </c>
      <c r="C834" s="2" t="s">
        <v>489</v>
      </c>
      <c r="D834" s="1" t="s">
        <v>4598</v>
      </c>
      <c r="E834" s="1">
        <v>325750</v>
      </c>
      <c r="F834" s="1" t="s">
        <v>27</v>
      </c>
      <c r="G834" s="11">
        <v>45008</v>
      </c>
      <c r="H834" s="11" t="s">
        <v>28</v>
      </c>
      <c r="I834" s="2" t="s">
        <v>4599</v>
      </c>
      <c r="J834" s="2" t="s">
        <v>3203</v>
      </c>
      <c r="K834" s="12">
        <v>0.020833333332120674</v>
      </c>
      <c r="L834" s="12">
        <v>0.12986111111240461</v>
      </c>
      <c r="M834" s="13">
        <f>CRF_3[[#This Row],[Time Spent on Configuration]]+CRF_3[[#This Row],[Time Spent on Review/Testing]]</f>
        <v>NaN</v>
      </c>
      <c r="O834" s="1" t="s">
        <v>32</v>
      </c>
      <c r="P834" s="1" t="s">
        <v>41</v>
      </c>
      <c r="Q834" s="1" t="s">
        <v>42</v>
      </c>
      <c r="R834" s="11">
        <v>45008</v>
      </c>
      <c r="S834" s="1">
        <v>5</v>
      </c>
      <c r="U834" s="48"/>
    </row>
    <row r="835" spans="1:21" x14ac:dyDescent="0.25">
      <c r="A835" s="1" t="s">
        <v>3613</v>
      </c>
      <c r="B835" s="1">
        <v>2023</v>
      </c>
      <c r="C835" s="2" t="s">
        <v>163</v>
      </c>
      <c r="D835" s="1" t="s">
        <v>25</v>
      </c>
      <c r="E835" s="1">
        <v>326500</v>
      </c>
      <c r="F835" s="1" t="s">
        <v>37</v>
      </c>
      <c r="G835" s="11">
        <v>45012</v>
      </c>
      <c r="H835" s="11" t="s">
        <v>3842</v>
      </c>
      <c r="I835" s="2" t="s">
        <v>3205</v>
      </c>
      <c r="J835" s="2" t="s">
        <v>3206</v>
      </c>
      <c r="K835" s="12">
        <v>0.020833333332120674</v>
      </c>
      <c r="L835" s="12">
        <v>0.020833333332120674</v>
      </c>
      <c r="M835" s="13">
        <f>CRF_3[[#This Row],[Time Spent on Configuration]]+CRF_3[[#This Row],[Time Spent on Review/Testing]]</f>
        <v>NaN</v>
      </c>
      <c r="O835" s="1" t="s">
        <v>31</v>
      </c>
      <c r="P835" s="1" t="s">
        <v>32</v>
      </c>
      <c r="Q835" s="1" t="s">
        <v>488</v>
      </c>
      <c r="R835" s="11">
        <v>45012</v>
      </c>
      <c r="S835" s="1">
        <v>5</v>
      </c>
      <c r="U835" s="48"/>
    </row>
    <row r="836" ht="60" customHeight="1" spans="1:21" x14ac:dyDescent="0.25">
      <c r="A836" s="1" t="s">
        <v>3613</v>
      </c>
      <c r="B836" s="1">
        <v>2023</v>
      </c>
      <c r="C836" s="2" t="s">
        <v>537</v>
      </c>
      <c r="D836" s="1" t="s">
        <v>25</v>
      </c>
      <c r="E836" s="1">
        <v>326766</v>
      </c>
      <c r="F836" s="1" t="s">
        <v>27</v>
      </c>
      <c r="G836" s="11">
        <v>45013</v>
      </c>
      <c r="H836" s="11" t="s">
        <v>28</v>
      </c>
      <c r="I836" s="2" t="s">
        <v>4600</v>
      </c>
      <c r="J836" s="2" t="s">
        <v>4601</v>
      </c>
      <c r="K836" s="12">
        <v>0.02361111111167702</v>
      </c>
      <c r="L836" s="12">
        <v>0.08333333333212067</v>
      </c>
      <c r="M836" s="13">
        <f>CRF_3[[#This Row],[Time Spent on Configuration]]+CRF_3[[#This Row],[Time Spent on Review/Testing]]</f>
        <v>NaN</v>
      </c>
      <c r="O836" s="1" t="s">
        <v>4602</v>
      </c>
      <c r="P836" s="1" t="s">
        <v>483</v>
      </c>
      <c r="Q836" s="1" t="s">
        <v>42</v>
      </c>
      <c r="R836" s="11">
        <v>45013</v>
      </c>
      <c r="S836" s="1">
        <v>5</v>
      </c>
      <c r="U836" s="48"/>
    </row>
    <row r="837" ht="60" customHeight="1" spans="1:21" x14ac:dyDescent="0.25">
      <c r="A837" s="1" t="s">
        <v>3613</v>
      </c>
      <c r="B837" s="1">
        <v>2023</v>
      </c>
      <c r="C837" s="2" t="s">
        <v>529</v>
      </c>
      <c r="D837" s="1" t="s">
        <v>530</v>
      </c>
      <c r="E837" s="1">
        <v>326725</v>
      </c>
      <c r="F837" s="1" t="s">
        <v>37</v>
      </c>
      <c r="G837" s="11">
        <v>45015</v>
      </c>
      <c r="H837" s="11" t="s">
        <v>28</v>
      </c>
      <c r="I837" s="2" t="s">
        <v>4603</v>
      </c>
      <c r="J837" s="2" t="s">
        <v>4603</v>
      </c>
      <c r="K837" s="12">
        <v>0.024305555554747116</v>
      </c>
      <c r="L837" s="12">
        <v>0.10416666666787933</v>
      </c>
      <c r="M837" s="13">
        <f>CRF_3[[#This Row],[Time Spent on Configuration]]+CRF_3[[#This Row],[Time Spent on Review/Testing]]</f>
        <v>NaN</v>
      </c>
      <c r="O837" s="1" t="s">
        <v>32</v>
      </c>
      <c r="P837" s="1" t="s">
        <v>41</v>
      </c>
      <c r="Q837" s="1" t="s">
        <v>484</v>
      </c>
      <c r="R837" s="11">
        <v>45015</v>
      </c>
      <c r="S837" s="1">
        <v>5</v>
      </c>
      <c r="U837" s="48"/>
    </row>
    <row r="838" spans="1:21" x14ac:dyDescent="0.25">
      <c r="A838" s="1" t="s">
        <v>3613</v>
      </c>
      <c r="B838" s="1">
        <v>2023</v>
      </c>
      <c r="C838" s="2" t="s">
        <v>163</v>
      </c>
      <c r="D838" s="1" t="s">
        <v>25</v>
      </c>
      <c r="E838" s="1" t="s">
        <v>3212</v>
      </c>
      <c r="F838" s="1" t="s">
        <v>37</v>
      </c>
      <c r="G838" s="11">
        <v>45015</v>
      </c>
      <c r="H838" s="14" t="s">
        <v>74</v>
      </c>
      <c r="I838" s="2" t="s">
        <v>3213</v>
      </c>
      <c r="J838" s="2" t="s">
        <v>3214</v>
      </c>
      <c r="K838" s="12">
        <v>0.027777777777373558</v>
      </c>
      <c r="L838" s="12">
        <v>0.04861111110949423</v>
      </c>
      <c r="M838" s="13">
        <f>CRF_3[[#This Row],[Time Spent on Configuration]]+CRF_3[[#This Row],[Time Spent on Review/Testing]]</f>
        <v>NaN</v>
      </c>
      <c r="O838" s="1" t="s">
        <v>574</v>
      </c>
      <c r="P838" s="1" t="s">
        <v>483</v>
      </c>
      <c r="Q838" s="1" t="s">
        <v>488</v>
      </c>
      <c r="R838" s="11">
        <v>45015</v>
      </c>
      <c r="S838" s="1">
        <v>5</v>
      </c>
      <c r="U838" s="48"/>
    </row>
    <row r="839" ht="30" customHeight="1" spans="1:21" x14ac:dyDescent="0.25">
      <c r="A839" s="1" t="s">
        <v>3624</v>
      </c>
      <c r="B839" s="1">
        <v>2023</v>
      </c>
      <c r="C839" s="2" t="s">
        <v>804</v>
      </c>
      <c r="D839" s="1" t="s">
        <v>25</v>
      </c>
      <c r="E839" s="1">
        <v>326528</v>
      </c>
      <c r="F839" s="1" t="s">
        <v>27</v>
      </c>
      <c r="G839" s="11">
        <v>45017</v>
      </c>
      <c r="H839" s="11" t="s">
        <v>96</v>
      </c>
      <c r="I839" s="2" t="s">
        <v>3217</v>
      </c>
      <c r="J839" s="2" t="s">
        <v>3218</v>
      </c>
      <c r="K839" s="12">
        <v>0.027777777777373558</v>
      </c>
      <c r="L839" s="12">
        <v>0.020833333332120674</v>
      </c>
      <c r="M839" s="13">
        <f>CRF_3[[#This Row],[Time Spent on Configuration]]+CRF_3[[#This Row],[Time Spent on Review/Testing]]</f>
        <v>NaN</v>
      </c>
      <c r="O839" s="1" t="s">
        <v>31</v>
      </c>
      <c r="P839" s="1" t="s">
        <v>32</v>
      </c>
      <c r="Q839" s="1" t="s">
        <v>484</v>
      </c>
      <c r="R839" s="11">
        <v>45017</v>
      </c>
      <c r="S839" s="1">
        <v>5</v>
      </c>
      <c r="U839" s="48"/>
    </row>
    <row r="840" ht="90" customHeight="1" spans="1:21" x14ac:dyDescent="0.25">
      <c r="A840" s="1" t="s">
        <v>3624</v>
      </c>
      <c r="B840" s="1">
        <v>2023</v>
      </c>
      <c r="C840" s="2" t="s">
        <v>510</v>
      </c>
      <c r="D840" s="1" t="s">
        <v>25</v>
      </c>
      <c r="E840" s="1">
        <v>327514</v>
      </c>
      <c r="F840" s="1" t="s">
        <v>37</v>
      </c>
      <c r="G840" s="11">
        <v>45020</v>
      </c>
      <c r="H840" s="11" t="s">
        <v>74</v>
      </c>
      <c r="I840" s="2" t="s">
        <v>4604</v>
      </c>
      <c r="J840" s="2" t="s">
        <v>4605</v>
      </c>
      <c r="K840" s="12">
        <v>0.020833333332120674</v>
      </c>
      <c r="L840" s="12">
        <v>0.041666666667879326</v>
      </c>
      <c r="M840" s="13">
        <f>CRF_3[[#This Row],[Time Spent on Configuration]]+CRF_3[[#This Row],[Time Spent on Review/Testing]]</f>
        <v>NaN</v>
      </c>
      <c r="O840" s="1" t="s">
        <v>32</v>
      </c>
      <c r="P840" s="1" t="s">
        <v>483</v>
      </c>
      <c r="Q840" s="1" t="s">
        <v>488</v>
      </c>
      <c r="R840" s="11">
        <v>45020</v>
      </c>
      <c r="S840" s="1">
        <v>5</v>
      </c>
      <c r="U840" s="48"/>
    </row>
    <row r="841" ht="75" customHeight="1" spans="1:21" x14ac:dyDescent="0.25">
      <c r="A841" s="1" t="s">
        <v>3624</v>
      </c>
      <c r="B841" s="1">
        <v>2023</v>
      </c>
      <c r="C841" s="2" t="s">
        <v>118</v>
      </c>
      <c r="D841" s="1" t="s">
        <v>25</v>
      </c>
      <c r="E841" s="1">
        <v>326814</v>
      </c>
      <c r="F841" s="1" t="s">
        <v>37</v>
      </c>
      <c r="G841" s="11">
        <v>45020</v>
      </c>
      <c r="H841" s="11" t="s">
        <v>28</v>
      </c>
      <c r="I841" s="2" t="s">
        <v>4606</v>
      </c>
      <c r="J841" s="2" t="s">
        <v>4607</v>
      </c>
      <c r="K841" s="12">
        <v>0.03472222222262644</v>
      </c>
      <c r="L841" s="12">
        <v>0.055555555554747116</v>
      </c>
      <c r="M841" s="13">
        <f>CRF_3[[#This Row],[Time Spent on Configuration]]+CRF_3[[#This Row],[Time Spent on Review/Testing]]</f>
        <v>NaN</v>
      </c>
      <c r="O841" s="1" t="s">
        <v>31</v>
      </c>
      <c r="P841" s="1" t="s">
        <v>32</v>
      </c>
      <c r="Q841" s="1" t="s">
        <v>484</v>
      </c>
      <c r="R841" s="11">
        <v>45020</v>
      </c>
      <c r="S841" s="1">
        <v>5</v>
      </c>
      <c r="U841" s="48"/>
    </row>
    <row r="842" ht="75" customHeight="1" spans="1:21" x14ac:dyDescent="0.25">
      <c r="A842" s="1" t="s">
        <v>3624</v>
      </c>
      <c r="B842" s="1">
        <v>2023</v>
      </c>
      <c r="C842" s="2" t="s">
        <v>667</v>
      </c>
      <c r="D842" s="1" t="s">
        <v>668</v>
      </c>
      <c r="E842" s="1">
        <v>320601</v>
      </c>
      <c r="F842" s="1" t="s">
        <v>37</v>
      </c>
      <c r="G842" s="11">
        <v>45023</v>
      </c>
      <c r="H842" s="11" t="s">
        <v>74</v>
      </c>
      <c r="I842" s="2" t="s">
        <v>4608</v>
      </c>
      <c r="J842" s="2" t="s">
        <v>3227</v>
      </c>
      <c r="K842" s="12">
        <v>0.01736111110949423</v>
      </c>
      <c r="L842" s="12">
        <v>0.038194444445252884</v>
      </c>
      <c r="M842" s="13">
        <f>CRF_3[[#This Row],[Time Spent on Configuration]]+CRF_3[[#This Row],[Time Spent on Review/Testing]]</f>
        <v>NaN</v>
      </c>
      <c r="O842" s="1" t="s">
        <v>41</v>
      </c>
      <c r="P842" s="1" t="s">
        <v>4191</v>
      </c>
      <c r="Q842" s="1" t="s">
        <v>488</v>
      </c>
      <c r="R842" s="11">
        <v>45023</v>
      </c>
      <c r="S842" s="1">
        <v>5</v>
      </c>
      <c r="U842" s="48"/>
    </row>
    <row r="843" ht="60" customHeight="1" spans="1:21" x14ac:dyDescent="0.25">
      <c r="A843" s="1" t="s">
        <v>3624</v>
      </c>
      <c r="B843" s="1">
        <v>2023</v>
      </c>
      <c r="C843" s="2" t="s">
        <v>219</v>
      </c>
      <c r="D843" s="1" t="s">
        <v>186</v>
      </c>
      <c r="E843" s="1">
        <v>328078</v>
      </c>
      <c r="F843" s="1" t="s">
        <v>37</v>
      </c>
      <c r="G843" s="11">
        <v>45027</v>
      </c>
      <c r="H843" s="11" t="s">
        <v>28</v>
      </c>
      <c r="I843" s="2" t="s">
        <v>4609</v>
      </c>
      <c r="J843" s="2" t="s">
        <v>3230</v>
      </c>
      <c r="K843" s="12">
        <v>0.03472222222262644</v>
      </c>
      <c r="L843" s="12">
        <v>0.03125</v>
      </c>
      <c r="M843" s="13">
        <f>CRF_3[[#This Row],[Time Spent on Configuration]]+CRF_3[[#This Row],[Time Spent on Review/Testing]]</f>
        <v>NaN</v>
      </c>
      <c r="O843" s="1" t="s">
        <v>41</v>
      </c>
      <c r="P843" s="1" t="s">
        <v>32</v>
      </c>
      <c r="Q843" s="1" t="s">
        <v>488</v>
      </c>
      <c r="R843" s="11">
        <v>45027</v>
      </c>
      <c r="S843" s="1">
        <v>5</v>
      </c>
      <c r="U843" s="48"/>
    </row>
    <row r="844" ht="30" customHeight="1" spans="1:21" x14ac:dyDescent="0.25">
      <c r="A844" s="1" t="s">
        <v>3624</v>
      </c>
      <c r="B844" s="1">
        <v>2023</v>
      </c>
      <c r="C844" s="2" t="s">
        <v>804</v>
      </c>
      <c r="D844" s="1" t="s">
        <v>25</v>
      </c>
      <c r="E844" s="1">
        <v>326528</v>
      </c>
      <c r="F844" s="1" t="s">
        <v>27</v>
      </c>
      <c r="G844" s="11">
        <v>45028</v>
      </c>
      <c r="H844" s="11" t="s">
        <v>96</v>
      </c>
      <c r="I844" s="2" t="s">
        <v>3231</v>
      </c>
      <c r="J844" s="2" t="s">
        <v>3232</v>
      </c>
      <c r="K844" s="12">
        <v>0.027777777777373558</v>
      </c>
      <c r="L844" s="12">
        <v>0.038194444445252884</v>
      </c>
      <c r="M844" s="13">
        <f>CRF_3[[#This Row],[Time Spent on Configuration]]+CRF_3[[#This Row],[Time Spent on Review/Testing]]</f>
        <v>NaN</v>
      </c>
      <c r="O844" s="1" t="s">
        <v>31</v>
      </c>
      <c r="P844" s="1" t="s">
        <v>32</v>
      </c>
      <c r="Q844" s="1" t="s">
        <v>484</v>
      </c>
      <c r="R844" s="11">
        <v>45028</v>
      </c>
      <c r="S844" s="1">
        <v>5</v>
      </c>
      <c r="U844" s="48"/>
    </row>
    <row r="845" ht="45" customHeight="1" spans="1:21" x14ac:dyDescent="0.25">
      <c r="A845" s="1" t="s">
        <v>3624</v>
      </c>
      <c r="B845" s="1">
        <v>2023</v>
      </c>
      <c r="C845" s="2" t="s">
        <v>146</v>
      </c>
      <c r="D845" s="1" t="s">
        <v>186</v>
      </c>
      <c r="E845" s="1">
        <v>328571</v>
      </c>
      <c r="F845" s="1" t="s">
        <v>27</v>
      </c>
      <c r="G845" s="11">
        <v>45031</v>
      </c>
      <c r="H845" s="11" t="s">
        <v>507</v>
      </c>
      <c r="I845" s="2" t="s">
        <v>4610</v>
      </c>
      <c r="J845" s="2" t="s">
        <v>3235</v>
      </c>
      <c r="K845" s="12">
        <v>0.020833333332120674</v>
      </c>
      <c r="L845" s="12">
        <v>0.027777777777373558</v>
      </c>
      <c r="M845" s="13">
        <f>CRF_3[[#This Row],[Time Spent on Configuration]]+CRF_3[[#This Row],[Time Spent on Review/Testing]]</f>
        <v>NaN</v>
      </c>
      <c r="O845" s="1" t="s">
        <v>53</v>
      </c>
      <c r="P845" s="1" t="s">
        <v>32</v>
      </c>
      <c r="Q845" s="1" t="s">
        <v>488</v>
      </c>
      <c r="R845" s="11">
        <v>45031</v>
      </c>
      <c r="S845" s="1">
        <v>5</v>
      </c>
      <c r="U845" s="48"/>
    </row>
    <row r="846" ht="90" customHeight="1" spans="1:21" x14ac:dyDescent="0.25">
      <c r="A846" s="1" t="s">
        <v>3624</v>
      </c>
      <c r="B846" s="1">
        <v>2023</v>
      </c>
      <c r="C846" s="2" t="s">
        <v>529</v>
      </c>
      <c r="D846" s="1" t="s">
        <v>530</v>
      </c>
      <c r="E846" s="1">
        <v>327935</v>
      </c>
      <c r="F846" s="1" t="s">
        <v>37</v>
      </c>
      <c r="G846" s="11">
        <v>45031</v>
      </c>
      <c r="H846" s="11" t="s">
        <v>28</v>
      </c>
      <c r="I846" s="2" t="s">
        <v>4611</v>
      </c>
      <c r="J846" s="2" t="s">
        <v>4612</v>
      </c>
      <c r="K846" s="12">
        <v>0.041666666667879326</v>
      </c>
      <c r="L846" s="12">
        <v>0.038194444445252884</v>
      </c>
      <c r="M846" s="13">
        <f>CRF_3[[#This Row],[Time Spent on Configuration]]+CRF_3[[#This Row],[Time Spent on Review/Testing]]</f>
        <v>NaN</v>
      </c>
      <c r="O846" s="1" t="s">
        <v>41</v>
      </c>
      <c r="P846" s="1" t="s">
        <v>32</v>
      </c>
      <c r="Q846" s="1" t="s">
        <v>484</v>
      </c>
      <c r="R846" s="11">
        <v>45031</v>
      </c>
      <c r="S846" s="1">
        <v>5</v>
      </c>
      <c r="U846" s="48"/>
    </row>
    <row r="847" spans="1:21" x14ac:dyDescent="0.25">
      <c r="A847" s="1" t="s">
        <v>3624</v>
      </c>
      <c r="B847" s="1">
        <v>2023</v>
      </c>
      <c r="C847" s="2" t="s">
        <v>529</v>
      </c>
      <c r="D847" s="1" t="s">
        <v>530</v>
      </c>
      <c r="E847" s="1">
        <v>326211</v>
      </c>
      <c r="F847" s="1" t="s">
        <v>713</v>
      </c>
      <c r="G847" s="11">
        <v>45035</v>
      </c>
      <c r="H847" s="11" t="s">
        <v>74</v>
      </c>
      <c r="I847" s="2" t="s">
        <v>3240</v>
      </c>
      <c r="J847" s="2" t="s">
        <v>3241</v>
      </c>
      <c r="K847" s="12">
        <v>0.020833333332120674</v>
      </c>
      <c r="L847" s="12">
        <v>0.027777777777373558</v>
      </c>
      <c r="M847" s="13">
        <f>CRF_3[[#This Row],[Time Spent on Configuration]]+CRF_3[[#This Row],[Time Spent on Review/Testing]]</f>
        <v>NaN</v>
      </c>
      <c r="O847" s="1" t="s">
        <v>32</v>
      </c>
      <c r="P847" s="1" t="s">
        <v>483</v>
      </c>
      <c r="Q847" s="1" t="s">
        <v>117</v>
      </c>
      <c r="R847" s="11">
        <v>45035</v>
      </c>
      <c r="S847" s="1">
        <v>5</v>
      </c>
      <c r="U847" s="48"/>
    </row>
    <row r="848" ht="45" customHeight="1" spans="1:21" x14ac:dyDescent="0.25">
      <c r="A848" s="1" t="s">
        <v>3624</v>
      </c>
      <c r="B848" s="1">
        <v>2023</v>
      </c>
      <c r="C848" s="2" t="s">
        <v>185</v>
      </c>
      <c r="D848" s="1" t="s">
        <v>186</v>
      </c>
      <c r="E848" s="1">
        <v>326145</v>
      </c>
      <c r="F848" s="1" t="s">
        <v>27</v>
      </c>
      <c r="G848" s="11">
        <v>45041</v>
      </c>
      <c r="H848" s="11" t="s">
        <v>38</v>
      </c>
      <c r="I848" s="2" t="s">
        <v>3243</v>
      </c>
      <c r="J848" s="2" t="s">
        <v>4613</v>
      </c>
      <c r="K848" s="12">
        <v>0.013888888890505768</v>
      </c>
      <c r="L848" s="12">
        <v>0.026388888887595385</v>
      </c>
      <c r="M848" s="13">
        <f>CRF_3[[#This Row],[Time Spent on Configuration]]+CRF_3[[#This Row],[Time Spent on Review/Testing]]</f>
        <v>NaN</v>
      </c>
      <c r="O848" s="1" t="s">
        <v>32</v>
      </c>
      <c r="P848" s="1" t="s">
        <v>41</v>
      </c>
      <c r="Q848" s="1" t="s">
        <v>484</v>
      </c>
      <c r="R848" s="11">
        <v>45041</v>
      </c>
      <c r="S848" s="1">
        <v>5</v>
      </c>
      <c r="U848" s="48"/>
    </row>
    <row r="849" ht="45" customHeight="1" spans="1:21" x14ac:dyDescent="0.25">
      <c r="A849" s="1" t="s">
        <v>3624</v>
      </c>
      <c r="B849" s="1">
        <v>2023</v>
      </c>
      <c r="C849" s="2" t="s">
        <v>118</v>
      </c>
      <c r="D849" s="1" t="s">
        <v>25</v>
      </c>
      <c r="E849" s="1">
        <v>329395</v>
      </c>
      <c r="F849" s="1" t="s">
        <v>37</v>
      </c>
      <c r="G849" s="11">
        <v>45041</v>
      </c>
      <c r="H849" s="11" t="s">
        <v>38</v>
      </c>
      <c r="I849" s="2" t="s">
        <v>4614</v>
      </c>
      <c r="J849" s="2" t="s">
        <v>4615</v>
      </c>
      <c r="K849" s="12">
        <v>0.013888888890505768</v>
      </c>
      <c r="L849" s="12">
        <v>0.02916666666715173</v>
      </c>
      <c r="M849" s="13">
        <f>CRF_3[[#This Row],[Time Spent on Configuration]]+CRF_3[[#This Row],[Time Spent on Review/Testing]]</f>
        <v>NaN</v>
      </c>
      <c r="O849" s="1" t="s">
        <v>32</v>
      </c>
      <c r="P849" s="1" t="s">
        <v>41</v>
      </c>
      <c r="Q849" s="1" t="s">
        <v>484</v>
      </c>
      <c r="R849" s="11">
        <v>45041</v>
      </c>
      <c r="S849" s="1">
        <v>5</v>
      </c>
      <c r="U849" s="48"/>
    </row>
    <row r="850" spans="1:21" x14ac:dyDescent="0.25">
      <c r="A850" s="1" t="s">
        <v>3624</v>
      </c>
      <c r="B850" s="1">
        <v>2023</v>
      </c>
      <c r="C850" s="2" t="s">
        <v>537</v>
      </c>
      <c r="D850" s="1" t="s">
        <v>25</v>
      </c>
      <c r="E850" s="1">
        <v>329385</v>
      </c>
      <c r="F850" s="1" t="s">
        <v>27</v>
      </c>
      <c r="G850" s="11">
        <v>45042</v>
      </c>
      <c r="H850" s="11" t="s">
        <v>74</v>
      </c>
      <c r="I850" s="2" t="s">
        <v>3249</v>
      </c>
      <c r="J850" s="2" t="s">
        <v>3250</v>
      </c>
      <c r="K850" s="12">
        <v>0.013888888890505768</v>
      </c>
      <c r="L850" s="12">
        <v>0.020833333332120674</v>
      </c>
      <c r="M850" s="13">
        <f>CRF_3[[#This Row],[Time Spent on Configuration]]+CRF_3[[#This Row],[Time Spent on Review/Testing]]</f>
        <v>NaN</v>
      </c>
      <c r="O850" s="1" t="s">
        <v>32</v>
      </c>
      <c r="P850" s="1" t="s">
        <v>483</v>
      </c>
      <c r="Q850" s="1" t="s">
        <v>42</v>
      </c>
      <c r="R850" s="11">
        <v>45042</v>
      </c>
      <c r="S850" s="1">
        <v>5</v>
      </c>
      <c r="U850" s="48"/>
    </row>
    <row r="851" ht="60" customHeight="1" spans="1:21" x14ac:dyDescent="0.25">
      <c r="A851" s="1" t="s">
        <v>3624</v>
      </c>
      <c r="B851" s="1">
        <v>2023</v>
      </c>
      <c r="C851" s="2" t="s">
        <v>529</v>
      </c>
      <c r="D851" s="1" t="s">
        <v>530</v>
      </c>
      <c r="E851" s="1">
        <v>328905</v>
      </c>
      <c r="F851" s="1" t="s">
        <v>713</v>
      </c>
      <c r="G851" s="11">
        <v>45042</v>
      </c>
      <c r="H851" s="11" t="s">
        <v>28</v>
      </c>
      <c r="I851" s="2" t="s">
        <v>4616</v>
      </c>
      <c r="J851" s="2" t="s">
        <v>4616</v>
      </c>
      <c r="K851" s="12">
        <v>0.027777777777373558</v>
      </c>
      <c r="L851" s="12">
        <v>0.038194444445252884</v>
      </c>
      <c r="M851" s="13">
        <f>CRF_3[[#This Row],[Time Spent on Configuration]]+CRF_3[[#This Row],[Time Spent on Review/Testing]]</f>
        <v>NaN</v>
      </c>
      <c r="O851" s="1" t="s">
        <v>41</v>
      </c>
      <c r="P851" s="1" t="s">
        <v>32</v>
      </c>
      <c r="Q851" s="1" t="s">
        <v>484</v>
      </c>
      <c r="R851" s="11">
        <v>45042</v>
      </c>
      <c r="S851" s="1">
        <v>5</v>
      </c>
      <c r="U851" s="48"/>
    </row>
    <row r="852" ht="30" customHeight="1" spans="1:21" x14ac:dyDescent="0.25">
      <c r="A852" s="1" t="s">
        <v>3624</v>
      </c>
      <c r="B852" s="1">
        <v>2023</v>
      </c>
      <c r="C852" s="2" t="s">
        <v>283</v>
      </c>
      <c r="D852" s="1" t="s">
        <v>25</v>
      </c>
      <c r="E852" s="1">
        <v>329421</v>
      </c>
      <c r="F852" s="1" t="s">
        <v>713</v>
      </c>
      <c r="G852" s="11">
        <v>45045</v>
      </c>
      <c r="H852" s="11" t="s">
        <v>28</v>
      </c>
      <c r="I852" s="2" t="s">
        <v>4617</v>
      </c>
      <c r="J852" s="2" t="s">
        <v>4617</v>
      </c>
      <c r="K852" s="12">
        <v>0.04861111110949423</v>
      </c>
      <c r="L852" s="12">
        <v>0.0625</v>
      </c>
      <c r="M852" s="13">
        <f>CRF_3[[#This Row],[Time Spent on Configuration]]+CRF_3[[#This Row],[Time Spent on Review/Testing]]</f>
        <v>NaN</v>
      </c>
      <c r="O852" s="1" t="s">
        <v>574</v>
      </c>
      <c r="P852" s="1" t="s">
        <v>483</v>
      </c>
      <c r="Q852" s="1" t="s">
        <v>488</v>
      </c>
      <c r="R852" s="11">
        <v>45045</v>
      </c>
      <c r="S852" s="1">
        <v>5</v>
      </c>
      <c r="U852" s="48"/>
    </row>
    <row r="853" ht="30" customHeight="1" spans="1:21" x14ac:dyDescent="0.25">
      <c r="A853" s="1" t="s">
        <v>3646</v>
      </c>
      <c r="B853" s="1">
        <v>2023</v>
      </c>
      <c r="C853" s="2" t="s">
        <v>479</v>
      </c>
      <c r="D853" s="1" t="s">
        <v>25</v>
      </c>
      <c r="E853" s="1">
        <v>324731</v>
      </c>
      <c r="F853" s="1" t="s">
        <v>27</v>
      </c>
      <c r="G853" s="11">
        <v>45048</v>
      </c>
      <c r="H853" s="11" t="s">
        <v>38</v>
      </c>
      <c r="I853" s="2" t="s">
        <v>3257</v>
      </c>
      <c r="J853" s="2" t="s">
        <v>3258</v>
      </c>
      <c r="K853" s="12">
        <v>0.013888888890505768</v>
      </c>
      <c r="L853" s="12">
        <v>0.027777777777373558</v>
      </c>
      <c r="M853" s="13">
        <f>CRF_3[[#This Row],[Time Spent on Configuration]]+CRF_3[[#This Row],[Time Spent on Review/Testing]]</f>
        <v>NaN</v>
      </c>
      <c r="O853" s="1" t="s">
        <v>32</v>
      </c>
      <c r="P853" s="1" t="s">
        <v>483</v>
      </c>
      <c r="Q853" s="1" t="s">
        <v>488</v>
      </c>
      <c r="R853" s="11">
        <v>45048</v>
      </c>
      <c r="S853" s="1">
        <v>5</v>
      </c>
      <c r="U853" s="48"/>
    </row>
    <row r="854" ht="180" customHeight="1" spans="1:21" x14ac:dyDescent="0.25">
      <c r="A854" s="1" t="s">
        <v>3646</v>
      </c>
      <c r="B854" s="1">
        <v>2023</v>
      </c>
      <c r="C854" s="2" t="s">
        <v>616</v>
      </c>
      <c r="D854" s="1" t="s">
        <v>617</v>
      </c>
      <c r="E854" s="1">
        <v>329904</v>
      </c>
      <c r="F854" s="1" t="s">
        <v>713</v>
      </c>
      <c r="G854" s="11">
        <v>45048</v>
      </c>
      <c r="H854" s="11" t="s">
        <v>28</v>
      </c>
      <c r="I854" s="2" t="s">
        <v>4618</v>
      </c>
      <c r="J854" s="2" t="s">
        <v>4619</v>
      </c>
      <c r="K854" s="12">
        <v>0.08611111111167702</v>
      </c>
      <c r="L854" s="12">
        <v>0.13194444444525288</v>
      </c>
      <c r="M854" s="13">
        <f>CRF_3[[#This Row],[Time Spent on Configuration]]+CRF_3[[#This Row],[Time Spent on Review/Testing]]</f>
        <v>NaN</v>
      </c>
      <c r="O854" s="1" t="s">
        <v>574</v>
      </c>
      <c r="P854" s="1" t="s">
        <v>483</v>
      </c>
      <c r="Q854" s="1" t="s">
        <v>488</v>
      </c>
      <c r="R854" s="11">
        <v>45049</v>
      </c>
      <c r="S854" s="1">
        <v>5</v>
      </c>
      <c r="U854" s="48"/>
    </row>
    <row r="855" ht="75" customHeight="1" spans="1:21" x14ac:dyDescent="0.25">
      <c r="A855" s="1" t="s">
        <v>3646</v>
      </c>
      <c r="B855" s="1">
        <v>2023</v>
      </c>
      <c r="C855" s="2" t="s">
        <v>283</v>
      </c>
      <c r="D855" s="1" t="s">
        <v>25</v>
      </c>
      <c r="E855" s="1">
        <v>329421</v>
      </c>
      <c r="F855" s="1" t="s">
        <v>713</v>
      </c>
      <c r="G855" s="11">
        <v>45051</v>
      </c>
      <c r="H855" s="11" t="s">
        <v>28</v>
      </c>
      <c r="I855" s="2" t="s">
        <v>4620</v>
      </c>
      <c r="J855" s="2" t="s">
        <v>4620</v>
      </c>
      <c r="K855" s="12">
        <v>0.0625</v>
      </c>
      <c r="L855" s="12">
        <v>0.055555555554747116</v>
      </c>
      <c r="M855" s="13">
        <f>CRF_3[[#This Row],[Time Spent on Configuration]]+CRF_3[[#This Row],[Time Spent on Review/Testing]]</f>
        <v>NaN</v>
      </c>
      <c r="O855" s="1" t="s">
        <v>31</v>
      </c>
      <c r="P855" s="1" t="s">
        <v>32</v>
      </c>
      <c r="Q855" s="1" t="s">
        <v>488</v>
      </c>
      <c r="R855" s="11">
        <v>45051</v>
      </c>
      <c r="S855" s="1">
        <v>5</v>
      </c>
      <c r="U855" s="48"/>
    </row>
    <row r="856" spans="1:21" x14ac:dyDescent="0.25">
      <c r="A856" s="1" t="s">
        <v>3646</v>
      </c>
      <c r="B856" s="1">
        <v>2023</v>
      </c>
      <c r="C856" s="2" t="s">
        <v>479</v>
      </c>
      <c r="D856" s="1" t="s">
        <v>25</v>
      </c>
      <c r="E856" s="1">
        <v>330186</v>
      </c>
      <c r="F856" s="1" t="s">
        <v>27</v>
      </c>
      <c r="G856" s="11">
        <v>45055</v>
      </c>
      <c r="H856" s="14" t="s">
        <v>353</v>
      </c>
      <c r="I856" s="2" t="s">
        <v>3264</v>
      </c>
      <c r="J856" s="2" t="s">
        <v>3265</v>
      </c>
      <c r="K856" s="12">
        <v>0.020833333332120674</v>
      </c>
      <c r="L856" s="12">
        <v>0.04861111110949423</v>
      </c>
      <c r="M856" s="13">
        <f>CRF_3[[#This Row],[Time Spent on Configuration]]+CRF_3[[#This Row],[Time Spent on Review/Testing]]</f>
        <v>NaN</v>
      </c>
      <c r="O856" s="1" t="s">
        <v>32</v>
      </c>
      <c r="P856" s="1" t="s">
        <v>41</v>
      </c>
      <c r="Q856" s="1" t="s">
        <v>488</v>
      </c>
      <c r="R856" s="11">
        <v>45055</v>
      </c>
      <c r="S856" s="1">
        <v>5</v>
      </c>
      <c r="U856" s="48"/>
    </row>
    <row r="857" ht="60" customHeight="1" spans="1:21" x14ac:dyDescent="0.25">
      <c r="A857" s="1" t="s">
        <v>3646</v>
      </c>
      <c r="B857" s="1">
        <v>2023</v>
      </c>
      <c r="C857" s="2" t="s">
        <v>258</v>
      </c>
      <c r="D857" s="1" t="s">
        <v>25</v>
      </c>
      <c r="E857" s="1">
        <v>329684</v>
      </c>
      <c r="F857" s="1" t="s">
        <v>713</v>
      </c>
      <c r="G857" s="11">
        <v>45055</v>
      </c>
      <c r="H857" s="11" t="s">
        <v>28</v>
      </c>
      <c r="I857" s="2" t="s">
        <v>4621</v>
      </c>
      <c r="J857" s="2" t="s">
        <v>3268</v>
      </c>
      <c r="K857" s="12">
        <v>0.041666666667879326</v>
      </c>
      <c r="L857" s="12">
        <v>0.03472222222262644</v>
      </c>
      <c r="M857" s="13">
        <f>CRF_3[[#This Row],[Time Spent on Configuration]]+CRF_3[[#This Row],[Time Spent on Review/Testing]]</f>
        <v>NaN</v>
      </c>
      <c r="O857" s="1" t="s">
        <v>41</v>
      </c>
      <c r="P857" s="1" t="s">
        <v>483</v>
      </c>
      <c r="Q857" s="1" t="s">
        <v>42</v>
      </c>
      <c r="R857" s="11">
        <v>45055</v>
      </c>
      <c r="S857" s="1">
        <v>5</v>
      </c>
      <c r="U857" s="48"/>
    </row>
    <row r="858" ht="45" customHeight="1" spans="1:21" x14ac:dyDescent="0.25">
      <c r="A858" s="1" t="s">
        <v>3646</v>
      </c>
      <c r="B858" s="1">
        <v>2023</v>
      </c>
      <c r="C858" s="2" t="s">
        <v>199</v>
      </c>
      <c r="D858" s="1" t="s">
        <v>541</v>
      </c>
      <c r="E858" s="1">
        <v>331957</v>
      </c>
      <c r="F858" s="1" t="s">
        <v>37</v>
      </c>
      <c r="G858" s="11">
        <v>45064</v>
      </c>
      <c r="H858" s="11" t="s">
        <v>28</v>
      </c>
      <c r="I858" s="2" t="s">
        <v>4622</v>
      </c>
      <c r="J858" s="2" t="s">
        <v>3271</v>
      </c>
      <c r="K858" s="12">
        <v>0.055555555554747116</v>
      </c>
      <c r="L858" s="12">
        <v>0.0625</v>
      </c>
      <c r="M858" s="13">
        <f>CRF_3[[#This Row],[Time Spent on Configuration]]+CRF_3[[#This Row],[Time Spent on Review/Testing]]</f>
        <v>NaN</v>
      </c>
      <c r="O858" s="1" t="s">
        <v>41</v>
      </c>
      <c r="P858" s="1" t="s">
        <v>32</v>
      </c>
      <c r="Q858" s="1" t="s">
        <v>488</v>
      </c>
      <c r="R858" s="11">
        <v>45064</v>
      </c>
      <c r="S858" s="1">
        <v>5</v>
      </c>
      <c r="U858" s="48"/>
    </row>
    <row r="859" ht="210" customHeight="1" spans="1:21" x14ac:dyDescent="0.25">
      <c r="A859" s="1" t="s">
        <v>3646</v>
      </c>
      <c r="B859" s="1">
        <v>2023</v>
      </c>
      <c r="C859" s="2" t="s">
        <v>616</v>
      </c>
      <c r="D859" s="1" t="s">
        <v>617</v>
      </c>
      <c r="E859" s="1">
        <v>318216</v>
      </c>
      <c r="F859" s="1" t="s">
        <v>37</v>
      </c>
      <c r="G859" s="11">
        <v>45064</v>
      </c>
      <c r="H859" s="11" t="s">
        <v>28</v>
      </c>
      <c r="I859" s="2" t="s">
        <v>4623</v>
      </c>
      <c r="J859" s="2" t="s">
        <v>4623</v>
      </c>
      <c r="K859" s="12">
        <v>0.055555555554747116</v>
      </c>
      <c r="L859" s="12">
        <v>0.0625</v>
      </c>
      <c r="M859" s="13">
        <f>CRF_3[[#This Row],[Time Spent on Configuration]]+CRF_3[[#This Row],[Time Spent on Review/Testing]]</f>
        <v>NaN</v>
      </c>
      <c r="O859" s="1" t="s">
        <v>31</v>
      </c>
      <c r="P859" s="1" t="s">
        <v>32</v>
      </c>
      <c r="Q859" s="1" t="s">
        <v>484</v>
      </c>
      <c r="R859" s="11">
        <v>45064</v>
      </c>
      <c r="S859" s="1">
        <v>5</v>
      </c>
      <c r="U859" s="48"/>
    </row>
    <row r="860" ht="30" customHeight="1" spans="1:21" x14ac:dyDescent="0.25">
      <c r="A860" s="1" t="s">
        <v>3646</v>
      </c>
      <c r="B860" s="1">
        <v>2023</v>
      </c>
      <c r="C860" s="2" t="s">
        <v>99</v>
      </c>
      <c r="D860" s="1" t="s">
        <v>25</v>
      </c>
      <c r="E860" s="1">
        <v>332018</v>
      </c>
      <c r="F860" s="1" t="s">
        <v>713</v>
      </c>
      <c r="G860" s="11">
        <v>45068</v>
      </c>
      <c r="H860" s="11" t="s">
        <v>28</v>
      </c>
      <c r="I860" s="2" t="s">
        <v>4624</v>
      </c>
      <c r="J860" s="2" t="s">
        <v>3276</v>
      </c>
      <c r="K860" s="12">
        <v>0.055555555554747116</v>
      </c>
      <c r="L860" s="12">
        <v>0.06597222222262644</v>
      </c>
      <c r="M860" s="13">
        <f>CRF_3[[#This Row],[Time Spent on Configuration]]+CRF_3[[#This Row],[Time Spent on Review/Testing]]</f>
        <v>NaN</v>
      </c>
      <c r="O860" s="1" t="s">
        <v>41</v>
      </c>
      <c r="P860" s="1" t="s">
        <v>32</v>
      </c>
      <c r="Q860" s="1" t="s">
        <v>484</v>
      </c>
      <c r="R860" s="11">
        <v>45068</v>
      </c>
      <c r="S860" s="1">
        <v>5</v>
      </c>
      <c r="U860" s="48"/>
    </row>
    <row r="861" ht="90" customHeight="1" spans="1:21" x14ac:dyDescent="0.25">
      <c r="A861" s="1" t="s">
        <v>3646</v>
      </c>
      <c r="B861" s="1">
        <v>2023</v>
      </c>
      <c r="C861" s="2" t="s">
        <v>2997</v>
      </c>
      <c r="D861" s="1" t="s">
        <v>25</v>
      </c>
      <c r="E861" s="1">
        <v>332732</v>
      </c>
      <c r="F861" s="1" t="s">
        <v>37</v>
      </c>
      <c r="G861" s="11">
        <v>45070</v>
      </c>
      <c r="H861" s="14" t="s">
        <v>353</v>
      </c>
      <c r="I861" s="2" t="s">
        <v>4625</v>
      </c>
      <c r="J861" s="2" t="s">
        <v>3279</v>
      </c>
      <c r="K861" s="12">
        <v>0.013888888890505768</v>
      </c>
      <c r="L861" s="12">
        <v>0.013888888890505768</v>
      </c>
      <c r="M861" s="13">
        <f>CRF_3[[#This Row],[Time Spent on Configuration]]+CRF_3[[#This Row],[Time Spent on Review/Testing]]</f>
        <v>NaN</v>
      </c>
      <c r="O861" s="1" t="s">
        <v>32</v>
      </c>
      <c r="P861" s="1" t="s">
        <v>483</v>
      </c>
      <c r="Q861" s="1" t="s">
        <v>488</v>
      </c>
      <c r="R861" s="11">
        <v>45070</v>
      </c>
      <c r="S861" s="1">
        <v>5</v>
      </c>
      <c r="U861" s="48"/>
    </row>
    <row r="862" spans="1:21" x14ac:dyDescent="0.25">
      <c r="A862" s="1" t="s">
        <v>3646</v>
      </c>
      <c r="B862" s="1">
        <v>2023</v>
      </c>
      <c r="C862" s="2" t="s">
        <v>258</v>
      </c>
      <c r="D862" s="1" t="s">
        <v>25</v>
      </c>
      <c r="E862" s="1">
        <v>329920</v>
      </c>
      <c r="F862" s="1" t="s">
        <v>37</v>
      </c>
      <c r="G862" s="11">
        <v>45070</v>
      </c>
      <c r="H862" s="11" t="s">
        <v>74</v>
      </c>
      <c r="I862" s="2" t="s">
        <v>4626</v>
      </c>
      <c r="J862" s="2" t="s">
        <v>4627</v>
      </c>
      <c r="K862" s="12">
        <v>0.020833333332120674</v>
      </c>
      <c r="L862" s="12">
        <v>0.027777777777373558</v>
      </c>
      <c r="M862" s="13">
        <f>CRF_3[[#This Row],[Time Spent on Configuration]]+CRF_3[[#This Row],[Time Spent on Review/Testing]]</f>
        <v>NaN</v>
      </c>
      <c r="O862" s="1" t="s">
        <v>31</v>
      </c>
      <c r="P862" s="1" t="s">
        <v>32</v>
      </c>
      <c r="Q862" s="1" t="s">
        <v>42</v>
      </c>
      <c r="R862" s="11">
        <v>45070</v>
      </c>
      <c r="S862" s="1">
        <v>5</v>
      </c>
      <c r="U862" s="48"/>
    </row>
    <row r="863" ht="30" customHeight="1" spans="1:21" x14ac:dyDescent="0.25">
      <c r="A863" s="1" t="s">
        <v>3646</v>
      </c>
      <c r="B863" s="1">
        <v>2023</v>
      </c>
      <c r="C863" s="2" t="s">
        <v>99</v>
      </c>
      <c r="D863" s="1" t="s">
        <v>25</v>
      </c>
      <c r="E863" s="1">
        <v>332674</v>
      </c>
      <c r="F863" s="1" t="s">
        <v>713</v>
      </c>
      <c r="G863" s="11">
        <v>45070</v>
      </c>
      <c r="H863" s="11" t="s">
        <v>28</v>
      </c>
      <c r="I863" s="2" t="s">
        <v>4628</v>
      </c>
      <c r="J863" s="2" t="s">
        <v>3285</v>
      </c>
      <c r="K863" s="12">
        <v>0.03888888888832298</v>
      </c>
      <c r="L863" s="12">
        <v>0.041666666667879326</v>
      </c>
      <c r="M863" s="13">
        <f>CRF_3[[#This Row],[Time Spent on Configuration]]+CRF_3[[#This Row],[Time Spent on Review/Testing]]</f>
        <v>NaN</v>
      </c>
      <c r="O863" s="1" t="s">
        <v>41</v>
      </c>
      <c r="P863" s="1" t="s">
        <v>483</v>
      </c>
      <c r="Q863" s="1" t="s">
        <v>484</v>
      </c>
      <c r="R863" s="11">
        <v>45070</v>
      </c>
      <c r="S863" s="1">
        <v>5</v>
      </c>
      <c r="U863" s="48"/>
    </row>
    <row r="864" spans="1:21" x14ac:dyDescent="0.25">
      <c r="A864" s="1" t="s">
        <v>3646</v>
      </c>
      <c r="B864" s="1">
        <v>2023</v>
      </c>
      <c r="C864" s="2" t="s">
        <v>2315</v>
      </c>
      <c r="D864" s="1" t="s">
        <v>25</v>
      </c>
      <c r="E864" s="1">
        <v>332730</v>
      </c>
      <c r="F864" s="1" t="s">
        <v>37</v>
      </c>
      <c r="G864" s="11">
        <v>45071</v>
      </c>
      <c r="H864" s="11" t="s">
        <v>38</v>
      </c>
      <c r="I864" s="2" t="s">
        <v>3287</v>
      </c>
      <c r="J864" s="2" t="s">
        <v>3288</v>
      </c>
      <c r="K864" s="12">
        <v>0.013888888890505768</v>
      </c>
      <c r="L864" s="12">
        <v>0.027777777777373558</v>
      </c>
      <c r="M864" s="13">
        <f>CRF_3[[#This Row],[Time Spent on Configuration]]+CRF_3[[#This Row],[Time Spent on Review/Testing]]</f>
        <v>NaN</v>
      </c>
      <c r="O864" s="1" t="s">
        <v>32</v>
      </c>
      <c r="P864" s="1" t="s">
        <v>483</v>
      </c>
      <c r="Q864" s="1" t="s">
        <v>484</v>
      </c>
      <c r="R864" s="11">
        <v>45071</v>
      </c>
      <c r="S864" s="1">
        <v>5</v>
      </c>
      <c r="U864" s="48"/>
    </row>
    <row r="865" ht="30" customHeight="1" spans="1:21" x14ac:dyDescent="0.25">
      <c r="A865" s="1" t="s">
        <v>3646</v>
      </c>
      <c r="B865" s="1">
        <v>2023</v>
      </c>
      <c r="C865" s="2" t="s">
        <v>113</v>
      </c>
      <c r="D865" s="1" t="s">
        <v>25</v>
      </c>
      <c r="E865" s="1">
        <v>332038</v>
      </c>
      <c r="F865" s="1" t="s">
        <v>37</v>
      </c>
      <c r="G865" s="11">
        <v>45071</v>
      </c>
      <c r="H865" s="11" t="s">
        <v>3290</v>
      </c>
      <c r="I865" s="2" t="s">
        <v>3291</v>
      </c>
      <c r="J865" s="2" t="s">
        <v>3292</v>
      </c>
      <c r="K865" s="12">
        <v>0.03888888888832298</v>
      </c>
      <c r="L865" s="12"/>
      <c r="M865" s="13">
        <f>CRF_3[[#This Row],[Time Spent on Configuration]]+CRF_3[[#This Row],[Time Spent on Review/Testing]]</f>
        <v>NaN</v>
      </c>
      <c r="O865" s="1" t="s">
        <v>31</v>
      </c>
      <c r="Q865" s="1" t="s">
        <v>484</v>
      </c>
      <c r="R865" s="11">
        <v>45071</v>
      </c>
      <c r="S865" s="1">
        <v>5</v>
      </c>
      <c r="U865" s="48"/>
    </row>
    <row r="866" ht="45" customHeight="1" spans="1:21" x14ac:dyDescent="0.25">
      <c r="A866" s="1" t="s">
        <v>3646</v>
      </c>
      <c r="B866" s="1">
        <v>2023</v>
      </c>
      <c r="C866" s="2" t="s">
        <v>308</v>
      </c>
      <c r="D866" s="1" t="s">
        <v>309</v>
      </c>
      <c r="E866" s="1">
        <v>331561</v>
      </c>
      <c r="F866" s="1" t="s">
        <v>37</v>
      </c>
      <c r="G866" s="11">
        <v>45071</v>
      </c>
      <c r="H866" s="11" t="s">
        <v>38</v>
      </c>
      <c r="I866" s="2" t="s">
        <v>4629</v>
      </c>
      <c r="J866" s="2" t="s">
        <v>4630</v>
      </c>
      <c r="K866" s="12">
        <v>0.03888888888832298</v>
      </c>
      <c r="L866" s="12">
        <v>0.03125</v>
      </c>
      <c r="M866" s="13">
        <f>CRF_3[[#This Row],[Time Spent on Configuration]]+CRF_3[[#This Row],[Time Spent on Review/Testing]]</f>
        <v>NaN</v>
      </c>
      <c r="O866" s="1" t="s">
        <v>31</v>
      </c>
      <c r="P866" s="1" t="s">
        <v>32</v>
      </c>
      <c r="Q866" s="1" t="s">
        <v>488</v>
      </c>
      <c r="R866" s="11">
        <v>45071</v>
      </c>
      <c r="S866" s="1">
        <v>5</v>
      </c>
      <c r="U866" s="48"/>
    </row>
    <row r="867" ht="150" customHeight="1" spans="1:21" x14ac:dyDescent="0.25">
      <c r="A867" s="1" t="s">
        <v>3646</v>
      </c>
      <c r="B867" s="1">
        <v>2023</v>
      </c>
      <c r="C867" s="2" t="s">
        <v>3296</v>
      </c>
      <c r="D867" s="1" t="s">
        <v>309</v>
      </c>
      <c r="E867" s="1">
        <v>332749</v>
      </c>
      <c r="F867" s="1" t="s">
        <v>37</v>
      </c>
      <c r="G867" s="11">
        <v>45071</v>
      </c>
      <c r="H867" s="11" t="s">
        <v>28</v>
      </c>
      <c r="I867" s="2" t="s">
        <v>4631</v>
      </c>
      <c r="J867" s="2" t="s">
        <v>4632</v>
      </c>
      <c r="K867" s="12">
        <v>0.03125</v>
      </c>
      <c r="L867" s="12"/>
      <c r="M867" s="13">
        <f>CRF_3[[#This Row],[Time Spent on Configuration]]+CRF_3[[#This Row],[Time Spent on Review/Testing]]</f>
        <v>NaN</v>
      </c>
      <c r="O867" s="1" t="s">
        <v>53</v>
      </c>
      <c r="Q867" s="1" t="s">
        <v>488</v>
      </c>
      <c r="R867" s="11">
        <v>45071</v>
      </c>
      <c r="S867" s="1">
        <v>5</v>
      </c>
      <c r="U867" s="48"/>
    </row>
    <row r="868" ht="30" customHeight="1" spans="1:21" x14ac:dyDescent="0.25">
      <c r="A868" s="1" t="s">
        <v>3646</v>
      </c>
      <c r="B868" s="1">
        <v>2023</v>
      </c>
      <c r="C868" s="2" t="s">
        <v>113</v>
      </c>
      <c r="D868" s="1" t="s">
        <v>25</v>
      </c>
      <c r="E868" s="1">
        <v>333069</v>
      </c>
      <c r="F868" s="1" t="s">
        <v>37</v>
      </c>
      <c r="G868" s="11">
        <v>45072</v>
      </c>
      <c r="H868" s="11" t="s">
        <v>3842</v>
      </c>
      <c r="I868" s="2" t="s">
        <v>3301</v>
      </c>
      <c r="J868" s="2" t="s">
        <v>4633</v>
      </c>
      <c r="K868" s="12">
        <v>0.013888888890505768</v>
      </c>
      <c r="L868" s="12">
        <v>0.01736111110949423</v>
      </c>
      <c r="M868" s="13">
        <f>CRF_3[[#This Row],[Time Spent on Configuration]]+CRF_3[[#This Row],[Time Spent on Review/Testing]]</f>
        <v>NaN</v>
      </c>
      <c r="O868" s="1" t="s">
        <v>32</v>
      </c>
      <c r="P868" s="1" t="s">
        <v>483</v>
      </c>
      <c r="Q868" s="1" t="s">
        <v>484</v>
      </c>
      <c r="R868" s="11">
        <v>45072</v>
      </c>
      <c r="S868" s="1">
        <v>5</v>
      </c>
      <c r="U868" s="48"/>
    </row>
    <row r="869" ht="135" customHeight="1" spans="1:21" x14ac:dyDescent="0.25">
      <c r="A869" s="1" t="s">
        <v>3646</v>
      </c>
      <c r="B869" s="1">
        <v>2023</v>
      </c>
      <c r="C869" s="2" t="s">
        <v>43</v>
      </c>
      <c r="D869" s="1" t="s">
        <v>44</v>
      </c>
      <c r="E869" s="1">
        <v>328200</v>
      </c>
      <c r="F869" s="1" t="s">
        <v>37</v>
      </c>
      <c r="G869" s="11">
        <v>45072</v>
      </c>
      <c r="H869" s="11" t="s">
        <v>28</v>
      </c>
      <c r="I869" s="2" t="s">
        <v>4634</v>
      </c>
      <c r="J869" s="2" t="s">
        <v>4635</v>
      </c>
      <c r="K869" s="12">
        <v>0.03472222222262644</v>
      </c>
      <c r="L869" s="12">
        <v>0.052083333332120674</v>
      </c>
      <c r="M869" s="13">
        <f>CRF_3[[#This Row],[Time Spent on Configuration]]+CRF_3[[#This Row],[Time Spent on Review/Testing]]</f>
        <v>NaN</v>
      </c>
      <c r="O869" s="1" t="s">
        <v>31</v>
      </c>
      <c r="P869" s="1" t="s">
        <v>483</v>
      </c>
      <c r="Q869" s="1" t="s">
        <v>484</v>
      </c>
      <c r="R869" s="11">
        <v>45072</v>
      </c>
      <c r="S869" s="1">
        <v>5</v>
      </c>
      <c r="U869" s="48"/>
    </row>
    <row r="870" spans="1:21" x14ac:dyDescent="0.25">
      <c r="A870" s="1" t="s">
        <v>3646</v>
      </c>
      <c r="B870" s="1">
        <v>2023</v>
      </c>
      <c r="C870" s="2" t="s">
        <v>283</v>
      </c>
      <c r="D870" s="1" t="s">
        <v>25</v>
      </c>
      <c r="E870" s="1">
        <v>332892</v>
      </c>
      <c r="F870" s="1" t="s">
        <v>37</v>
      </c>
      <c r="G870" s="11">
        <v>45075</v>
      </c>
      <c r="H870" s="11" t="s">
        <v>38</v>
      </c>
      <c r="I870" s="2" t="s">
        <v>3307</v>
      </c>
      <c r="J870" s="2" t="s">
        <v>3308</v>
      </c>
      <c r="K870" s="12">
        <v>0.013888888890505768</v>
      </c>
      <c r="L870" s="12">
        <v>0.020833333332120674</v>
      </c>
      <c r="M870" s="13">
        <f>CRF_3[[#This Row],[Time Spent on Configuration]]+CRF_3[[#This Row],[Time Spent on Review/Testing]]</f>
        <v>NaN</v>
      </c>
      <c r="O870" s="1" t="s">
        <v>31</v>
      </c>
      <c r="P870" s="1" t="s">
        <v>483</v>
      </c>
      <c r="Q870" s="1" t="s">
        <v>488</v>
      </c>
      <c r="R870" s="11">
        <v>45075</v>
      </c>
      <c r="S870" s="1">
        <v>5</v>
      </c>
      <c r="U870" s="48"/>
    </row>
    <row r="871" ht="30" customHeight="1" spans="1:21" x14ac:dyDescent="0.25">
      <c r="A871" s="1" t="s">
        <v>3646</v>
      </c>
      <c r="B871" s="1">
        <v>2023</v>
      </c>
      <c r="C871" s="2" t="s">
        <v>667</v>
      </c>
      <c r="D871" s="1" t="s">
        <v>668</v>
      </c>
      <c r="E871" s="1">
        <v>332522</v>
      </c>
      <c r="F871" s="1" t="s">
        <v>37</v>
      </c>
      <c r="G871" s="11">
        <v>45075</v>
      </c>
      <c r="H871" s="11" t="s">
        <v>74</v>
      </c>
      <c r="I871" s="2" t="s">
        <v>4636</v>
      </c>
      <c r="J871" s="2" t="s">
        <v>4637</v>
      </c>
      <c r="K871" s="12">
        <v>0.013888888890505768</v>
      </c>
      <c r="L871" s="12">
        <v>0.03125</v>
      </c>
      <c r="M871" s="13">
        <f>CRF_3[[#This Row],[Time Spent on Configuration]]+CRF_3[[#This Row],[Time Spent on Review/Testing]]</f>
        <v>NaN</v>
      </c>
      <c r="O871" s="1" t="s">
        <v>31</v>
      </c>
      <c r="P871" s="1" t="s">
        <v>483</v>
      </c>
      <c r="Q871" s="1" t="s">
        <v>488</v>
      </c>
      <c r="R871" s="11">
        <v>45075</v>
      </c>
      <c r="S871" s="1">
        <v>5</v>
      </c>
      <c r="U871" s="48"/>
    </row>
    <row r="872" ht="135" customHeight="1" spans="1:21" x14ac:dyDescent="0.25">
      <c r="A872" s="1" t="s">
        <v>3646</v>
      </c>
      <c r="B872" s="1">
        <v>2023</v>
      </c>
      <c r="C872" s="2" t="s">
        <v>43</v>
      </c>
      <c r="D872" s="1" t="s">
        <v>44</v>
      </c>
      <c r="E872" s="1">
        <v>328200</v>
      </c>
      <c r="F872" s="1" t="s">
        <v>37</v>
      </c>
      <c r="G872" s="11">
        <v>45077</v>
      </c>
      <c r="H872" s="11" t="s">
        <v>28</v>
      </c>
      <c r="I872" s="2" t="s">
        <v>4638</v>
      </c>
      <c r="J872" s="2" t="s">
        <v>4639</v>
      </c>
      <c r="K872" s="12">
        <v>0.0625</v>
      </c>
      <c r="L872" s="12">
        <v>0.038194444445252884</v>
      </c>
      <c r="M872" s="13">
        <f>CRF_3[[#This Row],[Time Spent on Configuration]]+CRF_3[[#This Row],[Time Spent on Review/Testing]]</f>
        <v>NaN</v>
      </c>
      <c r="O872" s="1" t="s">
        <v>31</v>
      </c>
      <c r="P872" s="1" t="s">
        <v>483</v>
      </c>
      <c r="Q872" s="1" t="s">
        <v>484</v>
      </c>
      <c r="R872" s="11">
        <v>45077</v>
      </c>
      <c r="S872" s="1">
        <v>5</v>
      </c>
      <c r="U872" s="48"/>
    </row>
    <row r="873" ht="90" customHeight="1" spans="1:21" x14ac:dyDescent="0.25">
      <c r="A873" s="1" t="s">
        <v>3663</v>
      </c>
      <c r="B873" s="1">
        <v>2023</v>
      </c>
      <c r="C873" s="2" t="s">
        <v>529</v>
      </c>
      <c r="D873" s="1" t="s">
        <v>530</v>
      </c>
      <c r="E873" s="1">
        <v>334020</v>
      </c>
      <c r="F873" s="1" t="s">
        <v>37</v>
      </c>
      <c r="G873" s="11">
        <v>45084</v>
      </c>
      <c r="H873" s="11" t="s">
        <v>28</v>
      </c>
      <c r="I873" s="2" t="s">
        <v>4640</v>
      </c>
      <c r="J873" s="2" t="s">
        <v>4641</v>
      </c>
      <c r="K873" s="12">
        <v>0.05902777777737356</v>
      </c>
      <c r="L873" s="12">
        <v>0.0625</v>
      </c>
      <c r="M873" s="13">
        <f>CRF_3[[#This Row],[Time Spent on Configuration]]+CRF_3[[#This Row],[Time Spent on Review/Testing]]</f>
        <v>NaN</v>
      </c>
      <c r="O873" s="1" t="s">
        <v>41</v>
      </c>
      <c r="P873" s="1" t="s">
        <v>32</v>
      </c>
      <c r="Q873" s="1" t="s">
        <v>484</v>
      </c>
      <c r="R873" s="11">
        <v>45084</v>
      </c>
      <c r="S873" s="1">
        <v>5</v>
      </c>
      <c r="U873" s="48"/>
    </row>
    <row r="874" ht="60" customHeight="1" spans="1:21" x14ac:dyDescent="0.25">
      <c r="A874" s="1" t="s">
        <v>3663</v>
      </c>
      <c r="B874" s="1">
        <v>2023</v>
      </c>
      <c r="C874" s="2" t="s">
        <v>667</v>
      </c>
      <c r="D874" s="1" t="s">
        <v>668</v>
      </c>
      <c r="E874" s="1">
        <v>334509</v>
      </c>
      <c r="F874" s="1" t="s">
        <v>37</v>
      </c>
      <c r="G874" s="11">
        <v>45085</v>
      </c>
      <c r="H874" s="11" t="s">
        <v>3319</v>
      </c>
      <c r="I874" s="2" t="s">
        <v>4642</v>
      </c>
      <c r="J874" s="2" t="s">
        <v>3321</v>
      </c>
      <c r="K874" s="12">
        <v>0.013888888890505768</v>
      </c>
      <c r="L874" s="12">
        <v>0.013888888890505768</v>
      </c>
      <c r="M874" s="13">
        <f>CRF_3[[#This Row],[Time Spent on Configuration]]+CRF_3[[#This Row],[Time Spent on Review/Testing]]</f>
        <v>NaN</v>
      </c>
      <c r="O874" s="1" t="s">
        <v>32</v>
      </c>
      <c r="P874" s="1" t="s">
        <v>483</v>
      </c>
      <c r="Q874" s="1" t="s">
        <v>488</v>
      </c>
      <c r="R874" s="11">
        <v>45085</v>
      </c>
      <c r="S874" s="1">
        <v>5</v>
      </c>
      <c r="U874" s="48"/>
    </row>
    <row r="875" ht="90" customHeight="1" spans="1:21" x14ac:dyDescent="0.25">
      <c r="A875" s="1" t="s">
        <v>3663</v>
      </c>
      <c r="B875" s="1">
        <v>2023</v>
      </c>
      <c r="C875" s="2" t="s">
        <v>263</v>
      </c>
      <c r="D875" s="1" t="s">
        <v>25</v>
      </c>
      <c r="E875" s="1">
        <v>333951</v>
      </c>
      <c r="F875" s="1" t="s">
        <v>27</v>
      </c>
      <c r="G875" s="11">
        <v>45092</v>
      </c>
      <c r="H875" s="11" t="s">
        <v>28</v>
      </c>
      <c r="I875" s="2" t="s">
        <v>3323</v>
      </c>
      <c r="J875" s="2" t="s">
        <v>4643</v>
      </c>
      <c r="K875" s="12">
        <v>0.055555555554747116</v>
      </c>
      <c r="L875" s="12">
        <v>0.052083333332120674</v>
      </c>
      <c r="M875" s="13">
        <f>CRF_3[[#This Row],[Time Spent on Configuration]]+CRF_3[[#This Row],[Time Spent on Review/Testing]]</f>
        <v>NaN</v>
      </c>
      <c r="O875" s="1" t="s">
        <v>32</v>
      </c>
      <c r="P875" s="1" t="s">
        <v>483</v>
      </c>
      <c r="Q875" s="1" t="s">
        <v>42</v>
      </c>
      <c r="R875" s="11">
        <v>45092</v>
      </c>
      <c r="S875" s="1">
        <v>5</v>
      </c>
      <c r="U875" s="48"/>
    </row>
    <row r="876" ht="30" customHeight="1" spans="1:21" x14ac:dyDescent="0.25">
      <c r="A876" s="1" t="s">
        <v>3663</v>
      </c>
      <c r="B876" s="1">
        <v>2023</v>
      </c>
      <c r="C876" s="2" t="s">
        <v>525</v>
      </c>
      <c r="D876" s="1" t="s">
        <v>25</v>
      </c>
      <c r="E876" s="1">
        <v>333886</v>
      </c>
      <c r="F876" s="1" t="s">
        <v>37</v>
      </c>
      <c r="G876" s="11">
        <v>45097</v>
      </c>
      <c r="H876" s="11" t="s">
        <v>28</v>
      </c>
      <c r="I876" s="2" t="s">
        <v>4644</v>
      </c>
      <c r="J876" s="2" t="s">
        <v>3327</v>
      </c>
      <c r="K876" s="12">
        <v>0.041666666667879326</v>
      </c>
      <c r="L876" s="12">
        <v>0.03472222222262644</v>
      </c>
      <c r="M876" s="13">
        <f>CRF_3[[#This Row],[Time Spent on Configuration]]+CRF_3[[#This Row],[Time Spent on Review/Testing]]</f>
        <v>NaN</v>
      </c>
      <c r="O876" s="1" t="s">
        <v>41</v>
      </c>
      <c r="P876" s="1" t="s">
        <v>32</v>
      </c>
      <c r="Q876" s="1" t="s">
        <v>484</v>
      </c>
      <c r="R876" s="11">
        <v>45097</v>
      </c>
      <c r="S876" s="1">
        <v>5</v>
      </c>
      <c r="U876" s="48"/>
    </row>
    <row r="877" ht="60" customHeight="1" spans="1:21" x14ac:dyDescent="0.25">
      <c r="A877" s="1" t="s">
        <v>3663</v>
      </c>
      <c r="B877" s="1">
        <v>2023</v>
      </c>
      <c r="C877" s="2" t="s">
        <v>258</v>
      </c>
      <c r="D877" s="1" t="s">
        <v>25</v>
      </c>
      <c r="E877" s="1">
        <v>335503</v>
      </c>
      <c r="F877" s="1" t="s">
        <v>27</v>
      </c>
      <c r="G877" s="11">
        <v>45098</v>
      </c>
      <c r="H877" s="11" t="s">
        <v>74</v>
      </c>
      <c r="I877" s="2" t="s">
        <v>4645</v>
      </c>
      <c r="J877" s="2" t="s">
        <v>4646</v>
      </c>
      <c r="K877" s="12">
        <v>0.055555555554747116</v>
      </c>
      <c r="L877" s="12">
        <v>0.07986111110949423</v>
      </c>
      <c r="M877" s="13">
        <f>CRF_3[[#This Row],[Time Spent on Configuration]]+CRF_3[[#This Row],[Time Spent on Review/Testing]]</f>
        <v>NaN</v>
      </c>
      <c r="O877" s="1" t="s">
        <v>41</v>
      </c>
      <c r="P877" s="1" t="s">
        <v>483</v>
      </c>
      <c r="Q877" s="1" t="s">
        <v>488</v>
      </c>
      <c r="R877" s="11">
        <v>45098</v>
      </c>
      <c r="S877" s="1">
        <v>5</v>
      </c>
      <c r="U877" s="48"/>
    </row>
    <row r="878" ht="120" customHeight="1" spans="1:21" x14ac:dyDescent="0.25">
      <c r="A878" s="1" t="s">
        <v>3663</v>
      </c>
      <c r="B878" s="1">
        <v>2023</v>
      </c>
      <c r="C878" s="2" t="s">
        <v>281</v>
      </c>
      <c r="D878" s="1" t="s">
        <v>186</v>
      </c>
      <c r="E878" s="1">
        <v>331634</v>
      </c>
      <c r="F878" s="1" t="s">
        <v>713</v>
      </c>
      <c r="G878" s="11">
        <v>45097</v>
      </c>
      <c r="H878" s="11" t="s">
        <v>38</v>
      </c>
      <c r="I878" s="2" t="s">
        <v>3332</v>
      </c>
      <c r="J878" s="2" t="s">
        <v>4647</v>
      </c>
      <c r="K878" s="12">
        <v>0.055555555554747116</v>
      </c>
      <c r="L878" s="12">
        <v>0.04861111110949423</v>
      </c>
      <c r="M878" s="13">
        <f>CRF_3[[#This Row],[Time Spent on Configuration]]+CRF_3[[#This Row],[Time Spent on Review/Testing]]</f>
        <v>NaN</v>
      </c>
      <c r="O878" s="1" t="s">
        <v>53</v>
      </c>
      <c r="P878" s="1" t="s">
        <v>483</v>
      </c>
      <c r="Q878" s="1" t="s">
        <v>488</v>
      </c>
      <c r="R878" s="11">
        <v>45097</v>
      </c>
      <c r="S878" s="1">
        <v>5</v>
      </c>
      <c r="U878" s="48"/>
    </row>
    <row r="879" spans="1:21" x14ac:dyDescent="0.25">
      <c r="A879" s="1" t="s">
        <v>3663</v>
      </c>
      <c r="B879" s="1">
        <v>2023</v>
      </c>
      <c r="C879" s="2" t="s">
        <v>545</v>
      </c>
      <c r="D879" s="1" t="s">
        <v>963</v>
      </c>
      <c r="E879" s="1">
        <v>332167</v>
      </c>
      <c r="F879" s="1" t="s">
        <v>37</v>
      </c>
      <c r="G879" s="11">
        <v>45099</v>
      </c>
      <c r="H879" s="11" t="s">
        <v>74</v>
      </c>
      <c r="I879" s="2" t="s">
        <v>4648</v>
      </c>
      <c r="J879" s="2" t="s">
        <v>3336</v>
      </c>
      <c r="K879" s="12">
        <v>0.01736111110949423</v>
      </c>
      <c r="L879" s="12">
        <v>0.024305555554747116</v>
      </c>
      <c r="M879" s="13">
        <f>CRF_3[[#This Row],[Time Spent on Configuration]]+CRF_3[[#This Row],[Time Spent on Review/Testing]]</f>
        <v>NaN</v>
      </c>
      <c r="O879" s="1" t="s">
        <v>32</v>
      </c>
      <c r="P879" s="1" t="s">
        <v>483</v>
      </c>
      <c r="Q879" s="1" t="s">
        <v>484</v>
      </c>
      <c r="R879" s="11">
        <v>45099</v>
      </c>
      <c r="S879" s="1">
        <v>5</v>
      </c>
      <c r="U879" s="48"/>
    </row>
    <row r="880" ht="30" customHeight="1" spans="1:21" x14ac:dyDescent="0.25">
      <c r="A880" s="1" t="s">
        <v>3663</v>
      </c>
      <c r="B880" s="1">
        <v>2023</v>
      </c>
      <c r="C880" s="2" t="s">
        <v>113</v>
      </c>
      <c r="D880" s="1" t="s">
        <v>25</v>
      </c>
      <c r="E880" s="1">
        <v>334218</v>
      </c>
      <c r="F880" s="1" t="s">
        <v>37</v>
      </c>
      <c r="G880" s="11">
        <v>45099</v>
      </c>
      <c r="H880" s="11" t="s">
        <v>38</v>
      </c>
      <c r="I880" s="2" t="s">
        <v>3338</v>
      </c>
      <c r="J880" s="2" t="s">
        <v>3339</v>
      </c>
      <c r="K880" s="12">
        <v>0.020833333332120674</v>
      </c>
      <c r="L880" s="12">
        <v>0.05902777777737356</v>
      </c>
      <c r="M880" s="13">
        <f>CRF_3[[#This Row],[Time Spent on Configuration]]+CRF_3[[#This Row],[Time Spent on Review/Testing]]</f>
        <v>NaN</v>
      </c>
      <c r="O880" s="1" t="s">
        <v>32</v>
      </c>
      <c r="P880" s="1" t="s">
        <v>41</v>
      </c>
      <c r="Q880" s="1" t="s">
        <v>484</v>
      </c>
      <c r="R880" s="11">
        <v>45099</v>
      </c>
      <c r="S880" s="1">
        <v>5</v>
      </c>
      <c r="U880" s="48"/>
    </row>
    <row r="881" spans="1:21" x14ac:dyDescent="0.25">
      <c r="A881" s="1" t="s">
        <v>3663</v>
      </c>
      <c r="B881" s="1">
        <v>2023</v>
      </c>
      <c r="C881" s="2" t="s">
        <v>796</v>
      </c>
      <c r="D881" s="1" t="s">
        <v>285</v>
      </c>
      <c r="E881" s="1">
        <v>335942</v>
      </c>
      <c r="F881" s="1" t="s">
        <v>27</v>
      </c>
      <c r="G881" s="11">
        <v>45099</v>
      </c>
      <c r="H881" s="11" t="s">
        <v>28</v>
      </c>
      <c r="I881" s="2" t="s">
        <v>3341</v>
      </c>
      <c r="J881" s="2" t="s">
        <v>3342</v>
      </c>
      <c r="K881" s="12">
        <v>0.041666666667879326</v>
      </c>
      <c r="L881" s="12">
        <v>0.07986111110949423</v>
      </c>
      <c r="M881" s="13">
        <f>CRF_3[[#This Row],[Time Spent on Configuration]]+CRF_3[[#This Row],[Time Spent on Review/Testing]]</f>
        <v>NaN</v>
      </c>
      <c r="O881" s="1" t="s">
        <v>41</v>
      </c>
      <c r="P881" s="1" t="s">
        <v>32</v>
      </c>
      <c r="Q881" s="1" t="s">
        <v>484</v>
      </c>
      <c r="R881" s="11">
        <v>45099</v>
      </c>
      <c r="S881" s="1">
        <v>5</v>
      </c>
      <c r="U881" s="48"/>
    </row>
    <row r="882" ht="210" customHeight="1" spans="1:21" x14ac:dyDescent="0.25">
      <c r="A882" s="1" t="s">
        <v>3663</v>
      </c>
      <c r="B882" s="1">
        <v>2023</v>
      </c>
      <c r="C882" s="2" t="s">
        <v>219</v>
      </c>
      <c r="D882" s="1" t="s">
        <v>186</v>
      </c>
      <c r="E882" s="1">
        <v>328078</v>
      </c>
      <c r="F882" s="1" t="s">
        <v>37</v>
      </c>
      <c r="G882" s="11">
        <v>45101</v>
      </c>
      <c r="H882" s="11" t="s">
        <v>28</v>
      </c>
      <c r="I882" s="2" t="s">
        <v>4649</v>
      </c>
      <c r="J882" s="2" t="s">
        <v>4650</v>
      </c>
      <c r="K882" s="12">
        <v>0.03472222222262644</v>
      </c>
      <c r="L882" s="12">
        <v>0.041666666667879326</v>
      </c>
      <c r="M882" s="13">
        <f>CRF_3[[#This Row],[Time Spent on Configuration]]+CRF_3[[#This Row],[Time Spent on Review/Testing]]</f>
        <v>NaN</v>
      </c>
      <c r="O882" s="1" t="s">
        <v>32</v>
      </c>
      <c r="P882" s="1" t="s">
        <v>483</v>
      </c>
      <c r="Q882" s="1" t="s">
        <v>488</v>
      </c>
      <c r="R882" s="11">
        <v>45101</v>
      </c>
      <c r="S882" s="1">
        <v>5</v>
      </c>
      <c r="U882" s="48"/>
    </row>
    <row r="883" ht="30" customHeight="1" spans="1:21" x14ac:dyDescent="0.25">
      <c r="A883" s="1" t="s">
        <v>3663</v>
      </c>
      <c r="B883" s="1">
        <v>2023</v>
      </c>
      <c r="C883" s="2" t="s">
        <v>479</v>
      </c>
      <c r="D883" s="1" t="s">
        <v>25</v>
      </c>
      <c r="E883" s="1">
        <v>334776</v>
      </c>
      <c r="F883" s="1" t="s">
        <v>713</v>
      </c>
      <c r="G883" s="11">
        <v>45101</v>
      </c>
      <c r="H883" s="11" t="s">
        <v>670</v>
      </c>
      <c r="I883" s="2" t="s">
        <v>3346</v>
      </c>
      <c r="J883" s="2" t="s">
        <v>3347</v>
      </c>
      <c r="K883" s="12">
        <v>0.013888888890505768</v>
      </c>
      <c r="L883" s="12">
        <v>0.020833333332120674</v>
      </c>
      <c r="M883" s="13">
        <f>CRF_3[[#This Row],[Time Spent on Configuration]]+CRF_3[[#This Row],[Time Spent on Review/Testing]]</f>
        <v>NaN</v>
      </c>
      <c r="O883" s="1" t="s">
        <v>53</v>
      </c>
      <c r="P883" s="1" t="s">
        <v>32</v>
      </c>
      <c r="Q883" s="1" t="s">
        <v>488</v>
      </c>
      <c r="R883" s="11">
        <v>45101</v>
      </c>
      <c r="S883" s="1">
        <v>5</v>
      </c>
      <c r="U883" s="48"/>
    </row>
    <row r="884" ht="60" customHeight="1" spans="1:21" x14ac:dyDescent="0.25">
      <c r="A884" s="1" t="s">
        <v>3663</v>
      </c>
      <c r="B884" s="1">
        <v>2023</v>
      </c>
      <c r="C884" s="2" t="s">
        <v>281</v>
      </c>
      <c r="D884" s="1" t="s">
        <v>186</v>
      </c>
      <c r="E884" s="1">
        <v>336371</v>
      </c>
      <c r="F884" s="1" t="s">
        <v>27</v>
      </c>
      <c r="G884" s="11">
        <v>45104</v>
      </c>
      <c r="H884" s="11" t="s">
        <v>507</v>
      </c>
      <c r="I884" s="2" t="s">
        <v>4651</v>
      </c>
      <c r="J884" s="2" t="s">
        <v>3350</v>
      </c>
      <c r="K884" s="12">
        <v>0.013888888890505768</v>
      </c>
      <c r="L884" s="12">
        <v>0.020833333332120674</v>
      </c>
      <c r="M884" s="13">
        <f>CRF_3[[#This Row],[Time Spent on Configuration]]+CRF_3[[#This Row],[Time Spent on Review/Testing]]</f>
        <v>NaN</v>
      </c>
      <c r="O884" s="1" t="s">
        <v>32</v>
      </c>
      <c r="P884" s="1" t="s">
        <v>483</v>
      </c>
      <c r="Q884" s="1" t="s">
        <v>488</v>
      </c>
      <c r="R884" s="11">
        <v>45104</v>
      </c>
      <c r="S884" s="1">
        <v>5</v>
      </c>
      <c r="U884" s="48"/>
    </row>
    <row r="885" ht="210" customHeight="1" spans="1:21" x14ac:dyDescent="0.25">
      <c r="A885" s="1" t="s">
        <v>3663</v>
      </c>
      <c r="B885" s="1">
        <v>2023</v>
      </c>
      <c r="C885" s="2" t="s">
        <v>35</v>
      </c>
      <c r="D885" s="1" t="s">
        <v>25</v>
      </c>
      <c r="E885" s="1">
        <v>336142</v>
      </c>
      <c r="F885" s="1" t="s">
        <v>27</v>
      </c>
      <c r="G885" s="11">
        <v>45105</v>
      </c>
      <c r="H885" s="11" t="s">
        <v>38</v>
      </c>
      <c r="I885" s="2" t="s">
        <v>4652</v>
      </c>
      <c r="J885" s="2" t="s">
        <v>4653</v>
      </c>
      <c r="K885" s="12">
        <v>0.020833333332120674</v>
      </c>
      <c r="L885" s="12"/>
      <c r="M885" s="13">
        <f>CRF_3[[#This Row],[Time Spent on Configuration]]+CRF_3[[#This Row],[Time Spent on Review/Testing]]</f>
        <v>NaN</v>
      </c>
      <c r="O885" s="1" t="s">
        <v>2358</v>
      </c>
      <c r="Q885" s="1" t="s">
        <v>42</v>
      </c>
      <c r="R885" s="11">
        <v>45105</v>
      </c>
      <c r="S885" s="1">
        <v>5</v>
      </c>
      <c r="U885" s="48"/>
    </row>
    <row r="886" spans="1:21" x14ac:dyDescent="0.25">
      <c r="A886" s="1" t="s">
        <v>3663</v>
      </c>
      <c r="B886" s="1">
        <v>2023</v>
      </c>
      <c r="C886" s="2" t="s">
        <v>489</v>
      </c>
      <c r="D886" s="1" t="s">
        <v>490</v>
      </c>
      <c r="E886" s="1">
        <v>336179</v>
      </c>
      <c r="F886" s="1" t="s">
        <v>27</v>
      </c>
      <c r="G886" s="11">
        <v>45106</v>
      </c>
      <c r="H886" s="11" t="s">
        <v>38</v>
      </c>
      <c r="I886" s="2" t="s">
        <v>3355</v>
      </c>
      <c r="J886" s="2" t="s">
        <v>3356</v>
      </c>
      <c r="K886" s="12">
        <v>0.03472222222262644</v>
      </c>
      <c r="L886" s="12">
        <v>0.020833333332120674</v>
      </c>
      <c r="M886" s="13">
        <f>CRF_3[[#This Row],[Time Spent on Configuration]]+CRF_3[[#This Row],[Time Spent on Review/Testing]]</f>
        <v>NaN</v>
      </c>
      <c r="O886" s="1" t="s">
        <v>31</v>
      </c>
      <c r="P886" s="1" t="s">
        <v>2358</v>
      </c>
      <c r="Q886" s="1" t="s">
        <v>42</v>
      </c>
      <c r="R886" s="11">
        <v>45106</v>
      </c>
      <c r="S886" s="1">
        <v>5</v>
      </c>
      <c r="U886" s="48"/>
    </row>
    <row r="887" ht="75" customHeight="1" spans="1:21" x14ac:dyDescent="0.25">
      <c r="A887" s="1" t="s">
        <v>3663</v>
      </c>
      <c r="B887" s="1">
        <v>2023</v>
      </c>
      <c r="C887" s="2" t="s">
        <v>258</v>
      </c>
      <c r="D887" s="1" t="s">
        <v>25</v>
      </c>
      <c r="E887" s="1">
        <v>321692</v>
      </c>
      <c r="F887" s="1" t="s">
        <v>27</v>
      </c>
      <c r="G887" s="11">
        <v>45107</v>
      </c>
      <c r="H887" s="11" t="s">
        <v>507</v>
      </c>
      <c r="I887" s="2" t="s">
        <v>4654</v>
      </c>
      <c r="J887" s="2" t="s">
        <v>4654</v>
      </c>
      <c r="K887" s="12">
        <v>0.03125</v>
      </c>
      <c r="L887" s="12">
        <v>0.06944444444525288</v>
      </c>
      <c r="M887" s="13">
        <f>CRF_3[[#This Row],[Time Spent on Configuration]]+CRF_3[[#This Row],[Time Spent on Review/Testing]]</f>
        <v>NaN</v>
      </c>
      <c r="O887" s="1" t="s">
        <v>31</v>
      </c>
      <c r="P887" s="1" t="s">
        <v>483</v>
      </c>
      <c r="Q887" s="1" t="s">
        <v>42</v>
      </c>
      <c r="R887" s="11">
        <v>45107</v>
      </c>
      <c r="S887" s="1">
        <v>5</v>
      </c>
      <c r="U887" s="48"/>
    </row>
    <row r="888" spans="1:21" x14ac:dyDescent="0.25">
      <c r="A888" s="1" t="s">
        <v>3663</v>
      </c>
      <c r="B888" s="1">
        <v>2023</v>
      </c>
      <c r="C888" s="2" t="s">
        <v>529</v>
      </c>
      <c r="D888" s="1" t="s">
        <v>530</v>
      </c>
      <c r="E888" s="1">
        <v>336231</v>
      </c>
      <c r="F888" s="1" t="s">
        <v>37</v>
      </c>
      <c r="G888" s="11">
        <v>45107</v>
      </c>
      <c r="H888" s="11" t="s">
        <v>28</v>
      </c>
      <c r="I888" s="2" t="s">
        <v>3360</v>
      </c>
      <c r="J888" s="2" t="s">
        <v>3361</v>
      </c>
      <c r="K888" s="12">
        <v>0.08541666666496894</v>
      </c>
      <c r="L888" s="12">
        <v>0.055555555554747116</v>
      </c>
      <c r="M888" s="13">
        <f>CRF_3[[#This Row],[Time Spent on Configuration]]+CRF_3[[#This Row],[Time Spent on Review/Testing]]</f>
        <v>NaN</v>
      </c>
      <c r="O888" s="1" t="s">
        <v>41</v>
      </c>
      <c r="P888" s="1" t="s">
        <v>32</v>
      </c>
      <c r="Q888" s="1" t="s">
        <v>484</v>
      </c>
      <c r="R888" s="11">
        <v>45107</v>
      </c>
      <c r="S888" s="1">
        <v>5</v>
      </c>
      <c r="U888" s="48"/>
    </row>
    <row r="889" ht="30" customHeight="1" spans="1:21" x14ac:dyDescent="0.25">
      <c r="A889" s="1" t="s">
        <v>3676</v>
      </c>
      <c r="B889" s="1">
        <v>2023</v>
      </c>
      <c r="C889" s="2" t="s">
        <v>667</v>
      </c>
      <c r="D889" s="1" t="s">
        <v>668</v>
      </c>
      <c r="E889" s="1">
        <v>336591</v>
      </c>
      <c r="F889" s="1" t="s">
        <v>37</v>
      </c>
      <c r="G889" s="11">
        <v>45110</v>
      </c>
      <c r="H889" s="11" t="s">
        <v>507</v>
      </c>
      <c r="I889" s="2" t="s">
        <v>3364</v>
      </c>
      <c r="J889" s="2" t="s">
        <v>3365</v>
      </c>
      <c r="K889" s="12">
        <v>0.013888888890505768</v>
      </c>
      <c r="L889" s="12">
        <v>0.024305555554747116</v>
      </c>
      <c r="M889" s="13">
        <f>CRF_3[[#This Row],[Time Spent on Configuration]]+CRF_3[[#This Row],[Time Spent on Review/Testing]]</f>
        <v>NaN</v>
      </c>
      <c r="O889" s="1" t="s">
        <v>32</v>
      </c>
      <c r="P889" s="1" t="s">
        <v>483</v>
      </c>
      <c r="Q889" s="1" t="s">
        <v>42</v>
      </c>
      <c r="R889" s="11">
        <v>45110</v>
      </c>
      <c r="S889" s="1">
        <v>5</v>
      </c>
      <c r="U889" s="48"/>
    </row>
    <row r="890" spans="1:21" x14ac:dyDescent="0.25">
      <c r="A890" s="1" t="s">
        <v>3676</v>
      </c>
      <c r="B890" s="1">
        <v>2023</v>
      </c>
      <c r="C890" s="2" t="s">
        <v>35</v>
      </c>
      <c r="D890" s="1" t="s">
        <v>25</v>
      </c>
      <c r="E890" s="1">
        <v>336388</v>
      </c>
      <c r="F890" s="1" t="s">
        <v>27</v>
      </c>
      <c r="G890" s="11">
        <v>45118</v>
      </c>
      <c r="H890" s="11" t="s">
        <v>507</v>
      </c>
      <c r="I890" s="2" t="s">
        <v>3367</v>
      </c>
      <c r="J890" s="2" t="s">
        <v>3368</v>
      </c>
      <c r="K890" s="12">
        <v>0.013888888890505768</v>
      </c>
      <c r="L890" s="12">
        <v>0.020833333332120674</v>
      </c>
      <c r="M890" s="13">
        <f>CRF_3[[#This Row],[Time Spent on Configuration]]+CRF_3[[#This Row],[Time Spent on Review/Testing]]</f>
        <v>NaN</v>
      </c>
      <c r="O890" s="1" t="s">
        <v>32</v>
      </c>
      <c r="P890" s="1" t="s">
        <v>483</v>
      </c>
      <c r="Q890" s="1" t="s">
        <v>42</v>
      </c>
      <c r="R890" s="11">
        <v>45118</v>
      </c>
      <c r="S890" s="1">
        <v>5</v>
      </c>
      <c r="U890" s="48"/>
    </row>
    <row r="891" spans="1:21" x14ac:dyDescent="0.25">
      <c r="A891" s="1" t="s">
        <v>3676</v>
      </c>
      <c r="B891" s="1">
        <v>2023</v>
      </c>
      <c r="C891" s="2" t="s">
        <v>796</v>
      </c>
      <c r="D891" s="1" t="s">
        <v>285</v>
      </c>
      <c r="E891" s="1">
        <v>338124</v>
      </c>
      <c r="F891" s="1" t="s">
        <v>37</v>
      </c>
      <c r="G891" s="11">
        <v>45119</v>
      </c>
      <c r="H891" s="11" t="s">
        <v>3842</v>
      </c>
      <c r="I891" s="2" t="s">
        <v>3370</v>
      </c>
      <c r="J891" s="2" t="s">
        <v>3371</v>
      </c>
      <c r="K891" s="12">
        <v>0.010416666667879326</v>
      </c>
      <c r="L891" s="12">
        <v>0.01736111110949423</v>
      </c>
      <c r="M891" s="13">
        <f>CRF_3[[#This Row],[Time Spent on Configuration]]+CRF_3[[#This Row],[Time Spent on Review/Testing]]</f>
        <v>NaN</v>
      </c>
      <c r="O891" s="1" t="s">
        <v>31</v>
      </c>
      <c r="P891" s="1" t="s">
        <v>483</v>
      </c>
      <c r="Q891" s="1" t="s">
        <v>42</v>
      </c>
      <c r="R891" s="11">
        <v>45119</v>
      </c>
      <c r="S891" s="1">
        <v>5</v>
      </c>
      <c r="U891" s="48"/>
    </row>
    <row r="892" ht="135" customHeight="1" spans="1:21" x14ac:dyDescent="0.25">
      <c r="A892" s="1" t="s">
        <v>3676</v>
      </c>
      <c r="B892" s="1">
        <v>2023</v>
      </c>
      <c r="C892" s="2" t="s">
        <v>35</v>
      </c>
      <c r="D892" s="1" t="s">
        <v>25</v>
      </c>
      <c r="E892" s="1">
        <v>337345</v>
      </c>
      <c r="F892" s="1" t="s">
        <v>27</v>
      </c>
      <c r="G892" s="11">
        <v>45119</v>
      </c>
      <c r="H892" s="11" t="s">
        <v>74</v>
      </c>
      <c r="I892" s="2" t="s">
        <v>4655</v>
      </c>
      <c r="J892" s="2" t="s">
        <v>4656</v>
      </c>
      <c r="K892" s="12">
        <v>0.14583333333212067</v>
      </c>
      <c r="L892" s="12">
        <v>0.125</v>
      </c>
      <c r="M892" s="13">
        <f>CRF_3[[#This Row],[Time Spent on Configuration]]+CRF_3[[#This Row],[Time Spent on Review/Testing]]</f>
        <v>NaN</v>
      </c>
      <c r="O892" s="1" t="s">
        <v>32</v>
      </c>
      <c r="P892" s="1" t="s">
        <v>483</v>
      </c>
      <c r="Q892" s="1" t="s">
        <v>42</v>
      </c>
      <c r="R892" s="11">
        <v>45119</v>
      </c>
      <c r="S892" s="1">
        <v>5</v>
      </c>
      <c r="U892" s="48"/>
    </row>
    <row r="893" spans="1:21" x14ac:dyDescent="0.25">
      <c r="A893" s="1" t="s">
        <v>3676</v>
      </c>
      <c r="B893" s="1">
        <v>2023</v>
      </c>
      <c r="C893" s="2" t="s">
        <v>163</v>
      </c>
      <c r="D893" s="1" t="s">
        <v>25</v>
      </c>
      <c r="E893" s="1">
        <v>338543</v>
      </c>
      <c r="F893" s="1" t="s">
        <v>27</v>
      </c>
      <c r="G893" s="11">
        <v>45120</v>
      </c>
      <c r="H893" s="11" t="s">
        <v>2088</v>
      </c>
      <c r="I893" s="2" t="s">
        <v>3376</v>
      </c>
      <c r="J893" s="2" t="s">
        <v>3377</v>
      </c>
      <c r="K893" s="12">
        <v>0.01736111110949423</v>
      </c>
      <c r="L893" s="12">
        <v>0.03472222222262644</v>
      </c>
      <c r="M893" s="13">
        <f>CRF_3[[#This Row],[Time Spent on Configuration]]+CRF_3[[#This Row],[Time Spent on Review/Testing]]</f>
        <v>NaN</v>
      </c>
      <c r="O893" s="1" t="s">
        <v>32</v>
      </c>
      <c r="P893" s="1" t="s">
        <v>41</v>
      </c>
      <c r="Q893" s="1" t="s">
        <v>488</v>
      </c>
      <c r="R893" s="11">
        <v>45120</v>
      </c>
      <c r="S893" s="1">
        <v>5</v>
      </c>
      <c r="U893" s="48"/>
    </row>
    <row r="894" ht="60" customHeight="1" spans="1:21" x14ac:dyDescent="0.25">
      <c r="A894" s="1" t="s">
        <v>3676</v>
      </c>
      <c r="B894" s="1">
        <v>2023</v>
      </c>
      <c r="C894" s="2" t="s">
        <v>308</v>
      </c>
      <c r="D894" s="1" t="s">
        <v>309</v>
      </c>
      <c r="E894" s="1">
        <v>338644</v>
      </c>
      <c r="F894" s="1" t="s">
        <v>37</v>
      </c>
      <c r="G894" s="11">
        <v>45125</v>
      </c>
      <c r="H894" s="11" t="s">
        <v>28</v>
      </c>
      <c r="I894" s="2" t="s">
        <v>4657</v>
      </c>
      <c r="J894" s="2" t="s">
        <v>4658</v>
      </c>
      <c r="K894" s="12">
        <v>0.020833333332120674</v>
      </c>
      <c r="L894" s="12">
        <v>0.03125</v>
      </c>
      <c r="M894" s="13">
        <f>CRF_3[[#This Row],[Time Spent on Configuration]]+CRF_3[[#This Row],[Time Spent on Review/Testing]]</f>
        <v>NaN</v>
      </c>
      <c r="O894" s="1" t="s">
        <v>32</v>
      </c>
      <c r="P894" s="1" t="s">
        <v>483</v>
      </c>
      <c r="Q894" s="1" t="s">
        <v>488</v>
      </c>
      <c r="R894" s="11">
        <v>45125</v>
      </c>
      <c r="S894" s="1">
        <v>5</v>
      </c>
      <c r="U894" s="48"/>
    </row>
    <row r="895" ht="75" customHeight="1" spans="1:21" x14ac:dyDescent="0.25">
      <c r="A895" s="1" t="s">
        <v>3676</v>
      </c>
      <c r="B895" s="1">
        <v>2023</v>
      </c>
      <c r="C895" s="2" t="s">
        <v>219</v>
      </c>
      <c r="D895" s="1" t="s">
        <v>186</v>
      </c>
      <c r="E895" s="1">
        <v>336098</v>
      </c>
      <c r="F895" s="1" t="s">
        <v>27</v>
      </c>
      <c r="G895" s="11">
        <v>45126</v>
      </c>
      <c r="H895" s="11" t="s">
        <v>28</v>
      </c>
      <c r="I895" s="2" t="s">
        <v>4659</v>
      </c>
      <c r="J895" s="2" t="s">
        <v>4660</v>
      </c>
      <c r="K895" s="12">
        <v>0.03472222222262644</v>
      </c>
      <c r="L895" s="12">
        <v>0.03472222222262644</v>
      </c>
      <c r="M895" s="13">
        <f>CRF_3[[#This Row],[Time Spent on Configuration]]+CRF_3[[#This Row],[Time Spent on Review/Testing]]</f>
        <v>NaN</v>
      </c>
      <c r="O895" s="1" t="s">
        <v>32</v>
      </c>
      <c r="P895" s="1" t="s">
        <v>483</v>
      </c>
      <c r="Q895" s="1" t="s">
        <v>488</v>
      </c>
      <c r="R895" s="11">
        <v>45126</v>
      </c>
      <c r="S895" s="1">
        <v>5</v>
      </c>
      <c r="U895" s="48"/>
    </row>
    <row r="896" ht="45" customHeight="1" spans="1:21" x14ac:dyDescent="0.25">
      <c r="A896" s="1" t="s">
        <v>3676</v>
      </c>
      <c r="B896" s="1">
        <v>2023</v>
      </c>
      <c r="C896" s="2" t="s">
        <v>286</v>
      </c>
      <c r="D896" s="1" t="s">
        <v>287</v>
      </c>
      <c r="E896" s="1">
        <v>336770</v>
      </c>
      <c r="F896" s="1" t="s">
        <v>27</v>
      </c>
      <c r="G896" s="11">
        <v>45128</v>
      </c>
      <c r="H896" s="11" t="s">
        <v>38</v>
      </c>
      <c r="I896" s="2" t="s">
        <v>4661</v>
      </c>
      <c r="J896" s="2" t="s">
        <v>3386</v>
      </c>
      <c r="K896" s="12">
        <v>0.020833333332120674</v>
      </c>
      <c r="L896" s="12">
        <v>0.027777777777373558</v>
      </c>
      <c r="M896" s="13">
        <f>CRF_3[[#This Row],[Time Spent on Configuration]]+CRF_3[[#This Row],[Time Spent on Review/Testing]]</f>
        <v>NaN</v>
      </c>
      <c r="O896" s="1" t="s">
        <v>574</v>
      </c>
      <c r="P896" s="1" t="s">
        <v>41</v>
      </c>
      <c r="Q896" s="1" t="s">
        <v>484</v>
      </c>
      <c r="R896" s="11">
        <v>45128</v>
      </c>
      <c r="S896" s="1">
        <v>5</v>
      </c>
      <c r="U896" s="48"/>
    </row>
    <row r="897" ht="45" customHeight="1" spans="1:21" x14ac:dyDescent="0.25">
      <c r="A897" s="1" t="s">
        <v>3676</v>
      </c>
      <c r="B897" s="1">
        <v>2023</v>
      </c>
      <c r="C897" s="2" t="s">
        <v>2315</v>
      </c>
      <c r="D897" s="1" t="s">
        <v>25</v>
      </c>
      <c r="E897" s="1">
        <v>339191</v>
      </c>
      <c r="F897" s="1" t="s">
        <v>37</v>
      </c>
      <c r="G897" s="11">
        <v>45129</v>
      </c>
      <c r="H897" s="11" t="s">
        <v>28</v>
      </c>
      <c r="I897" s="2" t="s">
        <v>4662</v>
      </c>
      <c r="J897" s="2" t="s">
        <v>4663</v>
      </c>
      <c r="K897" s="12">
        <v>0.10416666666787933</v>
      </c>
      <c r="L897" s="12">
        <v>0.09027777777737356</v>
      </c>
      <c r="M897" s="13">
        <f>CRF_3[[#This Row],[Time Spent on Configuration]]+CRF_3[[#This Row],[Time Spent on Review/Testing]]</f>
        <v>NaN</v>
      </c>
      <c r="O897" s="1" t="s">
        <v>31</v>
      </c>
      <c r="P897" s="1" t="s">
        <v>483</v>
      </c>
      <c r="Q897" s="1" t="s">
        <v>484</v>
      </c>
      <c r="R897" s="11">
        <v>45131</v>
      </c>
      <c r="S897" s="1">
        <v>5</v>
      </c>
      <c r="U897" s="48"/>
    </row>
    <row r="898" spans="1:21" x14ac:dyDescent="0.25">
      <c r="A898" s="1" t="s">
        <v>3676</v>
      </c>
      <c r="B898" s="1">
        <v>2023</v>
      </c>
      <c r="C898" s="2" t="s">
        <v>99</v>
      </c>
      <c r="D898" s="1" t="s">
        <v>25</v>
      </c>
      <c r="E898" s="1">
        <v>340076</v>
      </c>
      <c r="F898" s="1" t="s">
        <v>713</v>
      </c>
      <c r="G898" s="11">
        <v>45133</v>
      </c>
      <c r="H898" s="11" t="s">
        <v>28</v>
      </c>
      <c r="I898" s="2" t="s">
        <v>3391</v>
      </c>
      <c r="J898" s="2" t="s">
        <v>3392</v>
      </c>
      <c r="K898" s="12">
        <v>0.04513888889050577</v>
      </c>
      <c r="L898" s="12">
        <v>0.055555555554747116</v>
      </c>
      <c r="M898" s="13">
        <f>CRF_3[[#This Row],[Time Spent on Configuration]]+CRF_3[[#This Row],[Time Spent on Review/Testing]]</f>
        <v>NaN</v>
      </c>
      <c r="O898" s="1" t="s">
        <v>41</v>
      </c>
      <c r="P898" s="1" t="s">
        <v>32</v>
      </c>
      <c r="Q898" s="1" t="s">
        <v>484</v>
      </c>
      <c r="R898" s="11">
        <v>45133</v>
      </c>
      <c r="S898" s="1">
        <v>5</v>
      </c>
      <c r="U898" s="48"/>
    </row>
    <row r="899" spans="1:21" x14ac:dyDescent="0.25">
      <c r="A899" s="1" t="s">
        <v>3690</v>
      </c>
      <c r="B899" s="1">
        <v>2023</v>
      </c>
      <c r="C899" s="69" t="s">
        <v>616</v>
      </c>
      <c r="D899" s="1" t="s">
        <v>617</v>
      </c>
      <c r="E899" s="1">
        <v>340629</v>
      </c>
      <c r="F899" s="1" t="s">
        <v>713</v>
      </c>
      <c r="G899" s="11">
        <v>45140</v>
      </c>
      <c r="H899" s="11" t="s">
        <v>670</v>
      </c>
      <c r="I899" s="2" t="s">
        <v>4664</v>
      </c>
      <c r="J899" s="2" t="s">
        <v>3396</v>
      </c>
      <c r="K899" s="12">
        <v>0.01736111110949423</v>
      </c>
      <c r="L899" s="12"/>
      <c r="M899" s="13">
        <f>CRF_3[[#This Row],[Time Spent on Configuration]]+CRF_3[[#This Row],[Time Spent on Review/Testing]]</f>
        <v>NaN</v>
      </c>
      <c r="O899" s="1" t="s">
        <v>41</v>
      </c>
      <c r="Q899" s="1" t="s">
        <v>484</v>
      </c>
      <c r="R899" s="11">
        <v>45140</v>
      </c>
      <c r="S899" s="1">
        <v>5</v>
      </c>
      <c r="U899" s="48"/>
    </row>
    <row r="900" ht="165" customHeight="1" spans="1:21" x14ac:dyDescent="0.25">
      <c r="A900" s="1" t="s">
        <v>3690</v>
      </c>
      <c r="B900" s="1">
        <v>2023</v>
      </c>
      <c r="C900" s="2" t="s">
        <v>281</v>
      </c>
      <c r="D900" s="1" t="s">
        <v>186</v>
      </c>
      <c r="E900" s="1">
        <v>339179</v>
      </c>
      <c r="F900" s="1" t="s">
        <v>27</v>
      </c>
      <c r="G900" s="11">
        <v>45141</v>
      </c>
      <c r="H900" s="11" t="s">
        <v>74</v>
      </c>
      <c r="I900" s="2" t="s">
        <v>4665</v>
      </c>
      <c r="J900" s="2" t="s">
        <v>3399</v>
      </c>
      <c r="K900" s="12">
        <v>0.013888888890505768</v>
      </c>
      <c r="L900" s="12">
        <v>0.020833333332120674</v>
      </c>
      <c r="M900" s="13">
        <f>CRF_3[[#This Row],[Time Spent on Configuration]]+CRF_3[[#This Row],[Time Spent on Review/Testing]]</f>
        <v>NaN</v>
      </c>
      <c r="O900" s="1" t="s">
        <v>32</v>
      </c>
      <c r="P900" s="1" t="s">
        <v>483</v>
      </c>
      <c r="Q900" s="1" t="s">
        <v>488</v>
      </c>
      <c r="R900" s="11">
        <v>45141</v>
      </c>
      <c r="S900" s="1">
        <v>5</v>
      </c>
      <c r="U900" s="48"/>
    </row>
    <row r="901" spans="1:21" x14ac:dyDescent="0.25">
      <c r="A901" s="1" t="s">
        <v>3690</v>
      </c>
      <c r="B901" s="1">
        <v>2023</v>
      </c>
      <c r="C901" s="2" t="s">
        <v>2997</v>
      </c>
      <c r="D901" s="1" t="s">
        <v>25</v>
      </c>
      <c r="E901" s="1">
        <v>341183</v>
      </c>
      <c r="F901" s="1" t="s">
        <v>27</v>
      </c>
      <c r="G901" s="11">
        <v>45146</v>
      </c>
      <c r="H901" s="11" t="s">
        <v>74</v>
      </c>
      <c r="I901" s="2" t="s">
        <v>3401</v>
      </c>
      <c r="J901" s="2" t="s">
        <v>3402</v>
      </c>
      <c r="K901" s="12">
        <v>0.01736111110949423</v>
      </c>
      <c r="L901" s="12">
        <v>0.024305555554747116</v>
      </c>
      <c r="M901" s="13">
        <f>CRF_3[[#This Row],[Time Spent on Configuration]]+CRF_3[[#This Row],[Time Spent on Review/Testing]]</f>
        <v>NaN</v>
      </c>
      <c r="O901" s="1" t="s">
        <v>32</v>
      </c>
      <c r="P901" s="1" t="s">
        <v>483</v>
      </c>
      <c r="Q901" s="1" t="s">
        <v>488</v>
      </c>
      <c r="R901" s="11">
        <v>45146</v>
      </c>
      <c r="S901" s="1">
        <v>5</v>
      </c>
      <c r="U901" s="48"/>
    </row>
    <row r="902" ht="45" customHeight="1" spans="1:21" x14ac:dyDescent="0.25">
      <c r="A902" s="1" t="s">
        <v>3690</v>
      </c>
      <c r="B902" s="1">
        <v>2023</v>
      </c>
      <c r="C902" s="2" t="s">
        <v>334</v>
      </c>
      <c r="D902" s="1" t="s">
        <v>335</v>
      </c>
      <c r="E902" s="1">
        <v>340469</v>
      </c>
      <c r="F902" s="1" t="s">
        <v>27</v>
      </c>
      <c r="G902" s="11">
        <v>45152</v>
      </c>
      <c r="H902" s="11" t="s">
        <v>353</v>
      </c>
      <c r="I902" s="2" t="s">
        <v>4666</v>
      </c>
      <c r="J902" s="2" t="s">
        <v>4667</v>
      </c>
      <c r="K902" s="12">
        <v>0.020833333332120674</v>
      </c>
      <c r="L902" s="12">
        <v>0.027777777777373558</v>
      </c>
      <c r="M902" s="13">
        <f>CRF_3[[#This Row],[Time Spent on Configuration]]+CRF_3[[#This Row],[Time Spent on Review/Testing]]</f>
        <v>NaN</v>
      </c>
      <c r="O902" s="1" t="s">
        <v>32</v>
      </c>
      <c r="P902" s="1" t="s">
        <v>483</v>
      </c>
      <c r="Q902" s="1" t="s">
        <v>484</v>
      </c>
      <c r="R902" s="11">
        <v>45152</v>
      </c>
      <c r="S902" s="1">
        <v>5</v>
      </c>
      <c r="U902" s="48"/>
    </row>
    <row r="903" ht="30" customHeight="1" spans="1:21" x14ac:dyDescent="0.25">
      <c r="A903" s="1" t="s">
        <v>3690</v>
      </c>
      <c r="B903" s="1">
        <v>2023</v>
      </c>
      <c r="C903" s="2" t="s">
        <v>113</v>
      </c>
      <c r="D903" s="1" t="s">
        <v>25</v>
      </c>
      <c r="E903" s="1">
        <v>342060</v>
      </c>
      <c r="F903" s="1" t="s">
        <v>37</v>
      </c>
      <c r="G903" s="11">
        <v>45154</v>
      </c>
      <c r="H903" s="11" t="s">
        <v>353</v>
      </c>
      <c r="I903" s="2" t="s">
        <v>4668</v>
      </c>
      <c r="J903" s="2" t="s">
        <v>3408</v>
      </c>
      <c r="K903" s="12">
        <v>0.01736111110949423</v>
      </c>
      <c r="L903" s="12">
        <v>0.027777777777373558</v>
      </c>
      <c r="M903" s="13">
        <f>CRF_3[[#This Row],[Time Spent on Configuration]]+CRF_3[[#This Row],[Time Spent on Review/Testing]]</f>
        <v>NaN</v>
      </c>
      <c r="O903" s="1" t="s">
        <v>32</v>
      </c>
      <c r="P903" s="1" t="s">
        <v>483</v>
      </c>
      <c r="Q903" s="1" t="s">
        <v>484</v>
      </c>
      <c r="R903" s="11">
        <v>45154</v>
      </c>
      <c r="S903" s="1">
        <v>5</v>
      </c>
      <c r="U903" s="48"/>
    </row>
    <row r="904" ht="30" customHeight="1" spans="1:21" x14ac:dyDescent="0.25">
      <c r="A904" s="1" t="s">
        <v>3690</v>
      </c>
      <c r="B904" s="1">
        <v>2023</v>
      </c>
      <c r="C904" s="2" t="s">
        <v>113</v>
      </c>
      <c r="D904" s="1" t="s">
        <v>25</v>
      </c>
      <c r="E904" s="1">
        <v>339987</v>
      </c>
      <c r="F904" s="1" t="s">
        <v>37</v>
      </c>
      <c r="G904" s="11">
        <v>45154</v>
      </c>
      <c r="H904" s="11" t="s">
        <v>3290</v>
      </c>
      <c r="I904" s="2" t="s">
        <v>3410</v>
      </c>
      <c r="J904" s="2" t="s">
        <v>4669</v>
      </c>
      <c r="K904" s="12">
        <v>0.041666666667879326</v>
      </c>
      <c r="L904" s="12">
        <v>0.041666666667879326</v>
      </c>
      <c r="M904" s="13">
        <f>CRF_3[[#This Row],[Time Spent on Configuration]]+CRF_3[[#This Row],[Time Spent on Review/Testing]]</f>
        <v>NaN</v>
      </c>
      <c r="O904" s="1" t="s">
        <v>574</v>
      </c>
      <c r="P904" s="1" t="s">
        <v>41</v>
      </c>
      <c r="Q904" s="1" t="s">
        <v>484</v>
      </c>
      <c r="R904" s="11">
        <v>45154</v>
      </c>
      <c r="S904" s="1">
        <v>5</v>
      </c>
      <c r="U904" s="48"/>
    </row>
    <row r="905" spans="1:21" x14ac:dyDescent="0.25">
      <c r="A905" s="1" t="s">
        <v>3690</v>
      </c>
      <c r="B905" s="1">
        <v>2023</v>
      </c>
      <c r="C905" s="2" t="s">
        <v>48</v>
      </c>
      <c r="D905" s="1" t="s">
        <v>25</v>
      </c>
      <c r="E905" s="1">
        <v>344038</v>
      </c>
      <c r="F905" s="1" t="s">
        <v>37</v>
      </c>
      <c r="G905" s="11">
        <v>45160</v>
      </c>
      <c r="H905" s="11" t="s">
        <v>28</v>
      </c>
      <c r="I905" s="2" t="s">
        <v>3413</v>
      </c>
      <c r="J905" s="2" t="s">
        <v>3413</v>
      </c>
      <c r="K905" s="12">
        <v>0.0625</v>
      </c>
      <c r="L905" s="12">
        <v>0.06944444444525288</v>
      </c>
      <c r="M905" s="13">
        <f>CRF_3[[#This Row],[Time Spent on Configuration]]+CRF_3[[#This Row],[Time Spent on Review/Testing]]</f>
        <v>NaN</v>
      </c>
      <c r="O905" s="1" t="s">
        <v>31</v>
      </c>
      <c r="P905" s="1" t="s">
        <v>483</v>
      </c>
      <c r="Q905" s="1" t="s">
        <v>488</v>
      </c>
      <c r="R905" s="11">
        <v>45160</v>
      </c>
      <c r="S905" s="1">
        <v>5</v>
      </c>
      <c r="U905" s="48"/>
    </row>
    <row r="906" ht="30" customHeight="1" spans="1:21" x14ac:dyDescent="0.25">
      <c r="A906" s="1" t="s">
        <v>3690</v>
      </c>
      <c r="B906" s="1">
        <v>2023</v>
      </c>
      <c r="C906" s="2" t="s">
        <v>185</v>
      </c>
      <c r="D906" s="1" t="s">
        <v>186</v>
      </c>
      <c r="E906" s="1">
        <v>344050</v>
      </c>
      <c r="F906" s="1" t="s">
        <v>27</v>
      </c>
      <c r="G906" s="11">
        <v>45167</v>
      </c>
      <c r="H906" s="11" t="s">
        <v>507</v>
      </c>
      <c r="I906" s="2" t="s">
        <v>3415</v>
      </c>
      <c r="J906" s="2" t="s">
        <v>3416</v>
      </c>
      <c r="K906" s="12">
        <v>0.020833333332120674</v>
      </c>
      <c r="L906" s="12">
        <v>0.055555555554747116</v>
      </c>
      <c r="M906" s="13">
        <f>CRF_3[[#This Row],[Time Spent on Configuration]]+CRF_3[[#This Row],[Time Spent on Review/Testing]]</f>
        <v>NaN</v>
      </c>
      <c r="O906" s="1" t="s">
        <v>41</v>
      </c>
      <c r="P906" s="1" t="s">
        <v>32</v>
      </c>
      <c r="Q906" s="1" t="s">
        <v>484</v>
      </c>
      <c r="R906" s="11">
        <v>45167</v>
      </c>
      <c r="S906" s="1">
        <v>5</v>
      </c>
      <c r="U906" s="48"/>
    </row>
    <row r="907" spans="1:21" x14ac:dyDescent="0.25">
      <c r="A907" s="1" t="s">
        <v>3690</v>
      </c>
      <c r="B907" s="1">
        <v>2023</v>
      </c>
      <c r="C907" s="2" t="s">
        <v>48</v>
      </c>
      <c r="D907" s="1" t="s">
        <v>25</v>
      </c>
      <c r="E907" s="1">
        <v>344821</v>
      </c>
      <c r="F907" s="1" t="s">
        <v>27</v>
      </c>
      <c r="G907" s="11">
        <v>45168</v>
      </c>
      <c r="H907" s="11" t="s">
        <v>38</v>
      </c>
      <c r="I907" s="2" t="s">
        <v>3418</v>
      </c>
      <c r="J907" s="2" t="s">
        <v>3418</v>
      </c>
      <c r="K907" s="12">
        <v>0.020833333332120674</v>
      </c>
      <c r="L907" s="12">
        <v>0.027777777777373558</v>
      </c>
      <c r="M907" s="13">
        <f>CRF_3[[#This Row],[Time Spent on Configuration]]+CRF_3[[#This Row],[Time Spent on Review/Testing]]</f>
        <v>NaN</v>
      </c>
      <c r="O907" s="1" t="s">
        <v>31</v>
      </c>
      <c r="P907" s="1" t="s">
        <v>483</v>
      </c>
      <c r="Q907" s="1" t="s">
        <v>488</v>
      </c>
      <c r="R907" s="11">
        <v>45168</v>
      </c>
      <c r="S907" s="1">
        <v>5</v>
      </c>
      <c r="U907" s="48"/>
    </row>
    <row r="908" ht="135" customHeight="1" spans="1:21" x14ac:dyDescent="0.25">
      <c r="A908" s="1" t="s">
        <v>3690</v>
      </c>
      <c r="B908" s="1">
        <v>2023</v>
      </c>
      <c r="C908" s="2" t="s">
        <v>48</v>
      </c>
      <c r="D908" s="1" t="s">
        <v>25</v>
      </c>
      <c r="E908" s="1">
        <v>345153</v>
      </c>
      <c r="F908" s="1" t="s">
        <v>27</v>
      </c>
      <c r="G908" s="11">
        <v>45168</v>
      </c>
      <c r="H908" s="11" t="s">
        <v>38</v>
      </c>
      <c r="I908" s="2" t="s">
        <v>4670</v>
      </c>
      <c r="J908" s="2" t="s">
        <v>4670</v>
      </c>
      <c r="K908" s="12">
        <v>0.041666666667879326</v>
      </c>
      <c r="L908" s="12">
        <v>0.055555555554747116</v>
      </c>
      <c r="M908" s="13">
        <f>CRF_3[[#This Row],[Time Spent on Configuration]]+CRF_3[[#This Row],[Time Spent on Review/Testing]]</f>
        <v>NaN</v>
      </c>
      <c r="O908" s="1" t="s">
        <v>31</v>
      </c>
      <c r="P908" s="1" t="s">
        <v>483</v>
      </c>
      <c r="Q908" s="1" t="s">
        <v>488</v>
      </c>
      <c r="R908" s="11">
        <v>45168</v>
      </c>
      <c r="S908" s="1">
        <v>5</v>
      </c>
      <c r="U908" s="48"/>
    </row>
    <row r="909" spans="1:21" x14ac:dyDescent="0.25">
      <c r="A909" s="1" t="s">
        <v>3690</v>
      </c>
      <c r="B909" s="1">
        <v>2023</v>
      </c>
      <c r="C909" s="2" t="s">
        <v>48</v>
      </c>
      <c r="D909" s="1" t="s">
        <v>25</v>
      </c>
      <c r="E909" s="1">
        <v>344982</v>
      </c>
      <c r="F909" s="1" t="s">
        <v>27</v>
      </c>
      <c r="G909" s="11">
        <v>45168</v>
      </c>
      <c r="H909" s="11" t="s">
        <v>74</v>
      </c>
      <c r="I909" s="2" t="s">
        <v>4671</v>
      </c>
      <c r="J909" s="2" t="s">
        <v>4671</v>
      </c>
      <c r="K909" s="12">
        <v>0.041666666667879326</v>
      </c>
      <c r="L909" s="12">
        <v>0.041666666667879326</v>
      </c>
      <c r="M909" s="13">
        <f>CRF_3[[#This Row],[Time Spent on Configuration]]+CRF_3[[#This Row],[Time Spent on Review/Testing]]</f>
        <v>NaN</v>
      </c>
      <c r="O909" s="1" t="s">
        <v>31</v>
      </c>
      <c r="P909" s="1" t="s">
        <v>483</v>
      </c>
      <c r="Q909" s="1" t="s">
        <v>484</v>
      </c>
      <c r="R909" s="11">
        <v>45168</v>
      </c>
      <c r="S909" s="1">
        <v>5</v>
      </c>
      <c r="U909" s="48"/>
    </row>
    <row r="910" ht="30" customHeight="1" spans="1:21" x14ac:dyDescent="0.25">
      <c r="A910" s="1" t="s">
        <v>3690</v>
      </c>
      <c r="B910" s="1">
        <v>2023</v>
      </c>
      <c r="C910" s="2" t="s">
        <v>667</v>
      </c>
      <c r="D910" s="1" t="s">
        <v>668</v>
      </c>
      <c r="E910" s="1">
        <v>344381</v>
      </c>
      <c r="F910" s="1" t="s">
        <v>37</v>
      </c>
      <c r="G910" s="11">
        <v>45168</v>
      </c>
      <c r="H910" s="11" t="s">
        <v>670</v>
      </c>
      <c r="I910" s="2" t="s">
        <v>3424</v>
      </c>
      <c r="J910" s="2" t="s">
        <v>3425</v>
      </c>
      <c r="K910" s="12">
        <v>0.013888888890505768</v>
      </c>
      <c r="L910" s="12">
        <v>0.04861111110949423</v>
      </c>
      <c r="M910" s="13">
        <f>CRF_3[[#This Row],[Time Spent on Configuration]]+CRF_3[[#This Row],[Time Spent on Review/Testing]]</f>
        <v>NaN</v>
      </c>
      <c r="O910" s="1" t="s">
        <v>41</v>
      </c>
      <c r="P910" s="1" t="s">
        <v>32</v>
      </c>
      <c r="Q910" s="1" t="s">
        <v>42</v>
      </c>
      <c r="R910" s="11">
        <v>45169</v>
      </c>
      <c r="S910" s="1">
        <v>5</v>
      </c>
      <c r="U910" s="48"/>
    </row>
    <row r="911" spans="1:21" x14ac:dyDescent="0.25">
      <c r="A911" s="1" t="s">
        <v>3699</v>
      </c>
      <c r="B911" s="1">
        <v>2023</v>
      </c>
      <c r="C911" s="2" t="s">
        <v>308</v>
      </c>
      <c r="D911" s="1" t="s">
        <v>309</v>
      </c>
      <c r="E911" s="1">
        <v>341408</v>
      </c>
      <c r="F911" s="1" t="s">
        <v>37</v>
      </c>
      <c r="G911" s="11">
        <v>45170</v>
      </c>
      <c r="H911" s="11" t="s">
        <v>38</v>
      </c>
      <c r="I911" s="2" t="s">
        <v>4672</v>
      </c>
      <c r="J911" s="70" t="s">
        <v>3429</v>
      </c>
      <c r="K911" s="12">
        <v>0.041666666667879326</v>
      </c>
      <c r="L911" s="12">
        <v>0.027777777777373558</v>
      </c>
      <c r="M911" s="13">
        <f>CRF_3[[#This Row],[Time Spent on Configuration]]+CRF_3[[#This Row],[Time Spent on Review/Testing]]</f>
        <v>NaN</v>
      </c>
      <c r="O911" s="1" t="s">
        <v>31</v>
      </c>
      <c r="P911" s="1" t="s">
        <v>483</v>
      </c>
      <c r="Q911" s="1" t="s">
        <v>488</v>
      </c>
      <c r="R911" s="11">
        <v>45170</v>
      </c>
      <c r="S911" s="1">
        <v>5</v>
      </c>
      <c r="U911" s="48"/>
    </row>
    <row r="912" spans="1:21" x14ac:dyDescent="0.25">
      <c r="A912" s="1" t="s">
        <v>3699</v>
      </c>
      <c r="B912" s="1">
        <v>2023</v>
      </c>
      <c r="C912" s="2" t="s">
        <v>48</v>
      </c>
      <c r="D912" s="1" t="s">
        <v>25</v>
      </c>
      <c r="E912" s="1">
        <v>345594</v>
      </c>
      <c r="F912" s="1" t="s">
        <v>37</v>
      </c>
      <c r="G912" s="11">
        <v>45171</v>
      </c>
      <c r="H912" s="11" t="s">
        <v>38</v>
      </c>
      <c r="I912" s="2" t="s">
        <v>3431</v>
      </c>
      <c r="J912" s="2" t="s">
        <v>3432</v>
      </c>
      <c r="K912" s="12">
        <v>0.020833333332120674</v>
      </c>
      <c r="L912" s="12">
        <v>0.03472222222262644</v>
      </c>
      <c r="M912" s="13">
        <f>CRF_3[[#This Row],[Time Spent on Configuration]]+CRF_3[[#This Row],[Time Spent on Review/Testing]]</f>
        <v>NaN</v>
      </c>
      <c r="O912" s="1" t="s">
        <v>31</v>
      </c>
      <c r="P912" s="1" t="s">
        <v>32</v>
      </c>
      <c r="Q912" s="1" t="s">
        <v>488</v>
      </c>
      <c r="R912" s="11">
        <v>45171</v>
      </c>
      <c r="S912" s="1">
        <v>5</v>
      </c>
      <c r="U912" s="48"/>
    </row>
    <row r="913" ht="75" customHeight="1" spans="1:21" x14ac:dyDescent="0.25">
      <c r="A913" s="1" t="s">
        <v>3699</v>
      </c>
      <c r="B913" s="1">
        <v>2023</v>
      </c>
      <c r="C913" s="2" t="s">
        <v>163</v>
      </c>
      <c r="D913" s="1" t="s">
        <v>25</v>
      </c>
      <c r="E913" s="1">
        <v>345178</v>
      </c>
      <c r="F913" s="1" t="s">
        <v>37</v>
      </c>
      <c r="G913" s="11">
        <v>45171</v>
      </c>
      <c r="H913" s="11" t="s">
        <v>670</v>
      </c>
      <c r="I913" s="2" t="s">
        <v>4673</v>
      </c>
      <c r="J913" s="2" t="s">
        <v>4674</v>
      </c>
      <c r="K913" s="12">
        <v>0.03125</v>
      </c>
      <c r="L913" s="12">
        <v>0.020833333332120674</v>
      </c>
      <c r="M913" s="13">
        <f>CRF_3[[#This Row],[Time Spent on Configuration]]+CRF_3[[#This Row],[Time Spent on Review/Testing]]</f>
        <v>NaN</v>
      </c>
      <c r="O913" s="1" t="s">
        <v>31</v>
      </c>
      <c r="P913" s="1" t="s">
        <v>32</v>
      </c>
      <c r="Q913" s="1" t="s">
        <v>488</v>
      </c>
      <c r="R913" s="11">
        <v>45171</v>
      </c>
      <c r="S913" s="1">
        <v>5</v>
      </c>
      <c r="U913" s="48"/>
    </row>
    <row r="914" ht="90" customHeight="1" spans="1:21" x14ac:dyDescent="0.25">
      <c r="A914" s="1" t="s">
        <v>3699</v>
      </c>
      <c r="B914" s="1">
        <v>2023</v>
      </c>
      <c r="C914" s="2" t="s">
        <v>258</v>
      </c>
      <c r="D914" s="1" t="s">
        <v>25</v>
      </c>
      <c r="E914" s="1">
        <v>321692</v>
      </c>
      <c r="F914" s="1" t="s">
        <v>713</v>
      </c>
      <c r="G914" s="11">
        <v>45171</v>
      </c>
      <c r="H914" s="11" t="s">
        <v>38</v>
      </c>
      <c r="I914" s="2" t="s">
        <v>4675</v>
      </c>
      <c r="J914" s="2" t="s">
        <v>4675</v>
      </c>
      <c r="K914" s="12">
        <v>0.03125</v>
      </c>
      <c r="L914" s="12">
        <v>0.027777777777373558</v>
      </c>
      <c r="M914" s="13">
        <f>CRF_3[[#This Row],[Time Spent on Configuration]]+CRF_3[[#This Row],[Time Spent on Review/Testing]]</f>
        <v>NaN</v>
      </c>
      <c r="O914" s="1" t="s">
        <v>31</v>
      </c>
      <c r="P914" s="1" t="s">
        <v>32</v>
      </c>
      <c r="Q914" s="1" t="s">
        <v>42</v>
      </c>
      <c r="R914" s="11">
        <v>45171</v>
      </c>
      <c r="S914" s="1">
        <v>5</v>
      </c>
      <c r="U914" s="48"/>
    </row>
    <row r="915" ht="90" customHeight="1" spans="1:21" x14ac:dyDescent="0.25">
      <c r="A915" s="1" t="s">
        <v>3699</v>
      </c>
      <c r="B915" s="1">
        <v>2023</v>
      </c>
      <c r="C915" s="2" t="s">
        <v>113</v>
      </c>
      <c r="D915" s="1" t="s">
        <v>25</v>
      </c>
      <c r="E915" s="1">
        <v>333043</v>
      </c>
      <c r="F915" s="1" t="s">
        <v>37</v>
      </c>
      <c r="G915" s="11">
        <v>45175</v>
      </c>
      <c r="H915" s="11" t="s">
        <v>38</v>
      </c>
      <c r="I915" s="2" t="s">
        <v>4676</v>
      </c>
      <c r="J915" s="2" t="s">
        <v>4677</v>
      </c>
      <c r="K915" s="12">
        <v>0.03125</v>
      </c>
      <c r="L915" s="12">
        <v>0.04444444444379769</v>
      </c>
      <c r="M915" s="13">
        <f>CRF_3[[#This Row],[Time Spent on Configuration]]+CRF_3[[#This Row],[Time Spent on Review/Testing]]</f>
        <v>NaN</v>
      </c>
      <c r="O915" s="1" t="s">
        <v>31</v>
      </c>
      <c r="P915" s="1" t="s">
        <v>483</v>
      </c>
      <c r="Q915" s="1" t="s">
        <v>484</v>
      </c>
      <c r="R915" s="11">
        <v>45175</v>
      </c>
      <c r="S915" s="1">
        <v>5</v>
      </c>
      <c r="U915" s="48"/>
    </row>
    <row r="916" ht="180" customHeight="1" spans="1:21" x14ac:dyDescent="0.25">
      <c r="A916" s="1" t="s">
        <v>3699</v>
      </c>
      <c r="B916" s="1">
        <v>2023</v>
      </c>
      <c r="C916" s="2" t="s">
        <v>113</v>
      </c>
      <c r="D916" s="1" t="s">
        <v>25</v>
      </c>
      <c r="E916" s="1">
        <v>342060</v>
      </c>
      <c r="F916" s="1" t="s">
        <v>37</v>
      </c>
      <c r="G916" s="11">
        <v>45175</v>
      </c>
      <c r="H916" s="11" t="s">
        <v>3842</v>
      </c>
      <c r="I916" s="2" t="s">
        <v>4678</v>
      </c>
      <c r="J916" s="2" t="s">
        <v>4678</v>
      </c>
      <c r="K916" s="12">
        <v>0.03125</v>
      </c>
      <c r="L916" s="12">
        <v>0.020833333332120674</v>
      </c>
      <c r="M916" s="13">
        <f>CRF_3[[#This Row],[Time Spent on Configuration]]+CRF_3[[#This Row],[Time Spent on Review/Testing]]</f>
        <v>NaN</v>
      </c>
      <c r="O916" s="1" t="s">
        <v>31</v>
      </c>
      <c r="P916" s="1" t="s">
        <v>41</v>
      </c>
      <c r="Q916" s="1" t="s">
        <v>484</v>
      </c>
      <c r="R916" s="11">
        <v>45175</v>
      </c>
      <c r="S916" s="1">
        <v>5</v>
      </c>
      <c r="U916" s="48"/>
    </row>
    <row r="917" ht="30" customHeight="1" spans="1:21" x14ac:dyDescent="0.25">
      <c r="A917" s="1" t="s">
        <v>3699</v>
      </c>
      <c r="B917" s="1">
        <v>2023</v>
      </c>
      <c r="C917" s="2" t="s">
        <v>163</v>
      </c>
      <c r="D917" s="1" t="s">
        <v>25</v>
      </c>
      <c r="E917" s="1">
        <v>345178</v>
      </c>
      <c r="F917" s="1" t="s">
        <v>37</v>
      </c>
      <c r="G917" s="11">
        <v>45180</v>
      </c>
      <c r="H917" s="11" t="s">
        <v>670</v>
      </c>
      <c r="I917" s="2" t="s">
        <v>4679</v>
      </c>
      <c r="J917" s="2" t="s">
        <v>4680</v>
      </c>
      <c r="K917" s="12">
        <v>0.11805555555474712</v>
      </c>
      <c r="L917" s="12">
        <v>0.05902777777737356</v>
      </c>
      <c r="M917" s="13">
        <f>CRF_3[[#This Row],[Time Spent on Configuration]]+CRF_3[[#This Row],[Time Spent on Review/Testing]]</f>
        <v>NaN</v>
      </c>
      <c r="O917" s="1" t="s">
        <v>31</v>
      </c>
      <c r="P917" s="1" t="s">
        <v>483</v>
      </c>
      <c r="Q917" s="1" t="s">
        <v>488</v>
      </c>
      <c r="R917" s="11">
        <v>45180</v>
      </c>
      <c r="S917" s="1">
        <v>5</v>
      </c>
      <c r="U917" s="48"/>
    </row>
    <row r="918" ht="45" customHeight="1" spans="1:21" x14ac:dyDescent="0.25">
      <c r="A918" s="1" t="s">
        <v>3699</v>
      </c>
      <c r="B918" s="1">
        <v>2023</v>
      </c>
      <c r="C918" s="2" t="s">
        <v>35</v>
      </c>
      <c r="D918" s="1" t="s">
        <v>25</v>
      </c>
      <c r="E918" s="1">
        <v>346329</v>
      </c>
      <c r="F918" s="1" t="s">
        <v>27</v>
      </c>
      <c r="G918" s="11">
        <v>45182</v>
      </c>
      <c r="H918" s="11" t="s">
        <v>38</v>
      </c>
      <c r="I918" s="2" t="s">
        <v>4681</v>
      </c>
      <c r="J918" s="2" t="s">
        <v>4682</v>
      </c>
      <c r="K918" s="12">
        <v>0.07291666666787933</v>
      </c>
      <c r="L918" s="12">
        <v>0.12916666666569654</v>
      </c>
      <c r="M918" s="13">
        <f>CRF_3[[#This Row],[Time Spent on Configuration]]+CRF_3[[#This Row],[Time Spent on Review/Testing]]</f>
        <v>NaN</v>
      </c>
      <c r="O918" s="1" t="s">
        <v>41</v>
      </c>
      <c r="P918" s="1" t="s">
        <v>483</v>
      </c>
      <c r="Q918" s="1" t="s">
        <v>42</v>
      </c>
      <c r="R918" s="11">
        <v>45182</v>
      </c>
      <c r="S918" s="1">
        <v>5</v>
      </c>
      <c r="U918" s="48"/>
    </row>
    <row r="919" ht="75" customHeight="1" spans="1:21" x14ac:dyDescent="0.25">
      <c r="A919" s="1" t="s">
        <v>3699</v>
      </c>
      <c r="B919" s="1">
        <v>2023</v>
      </c>
      <c r="C919" s="2" t="s">
        <v>3446</v>
      </c>
      <c r="D919" s="1" t="s">
        <v>25</v>
      </c>
      <c r="E919" s="1">
        <v>346789</v>
      </c>
      <c r="F919" s="1" t="s">
        <v>27</v>
      </c>
      <c r="G919" s="11">
        <v>45183</v>
      </c>
      <c r="H919" s="11" t="s">
        <v>3448</v>
      </c>
      <c r="I919" s="2" t="s">
        <v>4683</v>
      </c>
      <c r="J919" s="2" t="s">
        <v>4684</v>
      </c>
      <c r="K919" s="12">
        <v>0.03125</v>
      </c>
      <c r="L919" s="12"/>
      <c r="M919" s="13">
        <f>CRF_3[[#This Row],[Time Spent on Configuration]]+CRF_3[[#This Row],[Time Spent on Review/Testing]]</f>
        <v>NaN</v>
      </c>
      <c r="O919" s="1" t="s">
        <v>31</v>
      </c>
      <c r="Q919" s="1" t="s">
        <v>488</v>
      </c>
      <c r="R919" s="11">
        <v>45183</v>
      </c>
      <c r="S919" s="1">
        <v>5</v>
      </c>
      <c r="U919" s="48"/>
    </row>
    <row r="920" spans="1:21" x14ac:dyDescent="0.25">
      <c r="A920" s="1" t="s">
        <v>3699</v>
      </c>
      <c r="B920" s="1">
        <v>2023</v>
      </c>
      <c r="C920" s="2" t="s">
        <v>48</v>
      </c>
      <c r="D920" s="1" t="s">
        <v>25</v>
      </c>
      <c r="E920" s="1">
        <v>346809</v>
      </c>
      <c r="F920" s="1" t="s">
        <v>27</v>
      </c>
      <c r="G920" s="11">
        <v>45183</v>
      </c>
      <c r="H920" s="11" t="s">
        <v>38</v>
      </c>
      <c r="I920" s="2" t="s">
        <v>3452</v>
      </c>
      <c r="J920" s="2" t="s">
        <v>3453</v>
      </c>
      <c r="K920" s="12">
        <v>0.013888888890505768</v>
      </c>
      <c r="L920" s="12">
        <v>0.020833333332120674</v>
      </c>
      <c r="M920" s="13">
        <f>CRF_3[[#This Row],[Time Spent on Configuration]]+CRF_3[[#This Row],[Time Spent on Review/Testing]]</f>
        <v>NaN</v>
      </c>
      <c r="O920" s="1" t="s">
        <v>32</v>
      </c>
      <c r="P920" s="1" t="s">
        <v>41</v>
      </c>
      <c r="Q920" s="1" t="s">
        <v>484</v>
      </c>
      <c r="R920" s="11">
        <v>45183</v>
      </c>
      <c r="S920" s="1">
        <v>5</v>
      </c>
      <c r="U920" s="48"/>
    </row>
    <row r="921" ht="45" customHeight="1" spans="1:21" x14ac:dyDescent="0.25">
      <c r="A921" s="1" t="s">
        <v>3699</v>
      </c>
      <c r="B921" s="1">
        <v>2023</v>
      </c>
      <c r="C921" s="2" t="s">
        <v>258</v>
      </c>
      <c r="D921" s="1" t="s">
        <v>25</v>
      </c>
      <c r="E921" s="71">
        <v>345009</v>
      </c>
      <c r="F921" s="1" t="s">
        <v>27</v>
      </c>
      <c r="G921" s="11">
        <v>45183</v>
      </c>
      <c r="H921" s="11" t="s">
        <v>507</v>
      </c>
      <c r="I921" s="2" t="s">
        <v>4685</v>
      </c>
      <c r="J921" s="2" t="s">
        <v>3456</v>
      </c>
      <c r="K921" s="12">
        <v>0.03125</v>
      </c>
      <c r="L921" s="12">
        <v>0.038194444445252884</v>
      </c>
      <c r="M921" s="13">
        <f>CRF_3[[#This Row],[Time Spent on Configuration]]+CRF_3[[#This Row],[Time Spent on Review/Testing]]</f>
        <v>NaN</v>
      </c>
      <c r="O921" s="1" t="s">
        <v>41</v>
      </c>
      <c r="P921" s="1" t="s">
        <v>32</v>
      </c>
      <c r="Q921" s="1" t="s">
        <v>42</v>
      </c>
      <c r="R921" s="11">
        <v>45183</v>
      </c>
      <c r="S921" s="1">
        <v>5</v>
      </c>
      <c r="U921" s="48"/>
    </row>
    <row r="922" ht="120" customHeight="1" spans="1:21" x14ac:dyDescent="0.25">
      <c r="A922" s="1" t="s">
        <v>3699</v>
      </c>
      <c r="B922" s="1">
        <v>2023</v>
      </c>
      <c r="C922" s="2" t="s">
        <v>48</v>
      </c>
      <c r="D922" s="1" t="s">
        <v>25</v>
      </c>
      <c r="E922" s="1">
        <v>346810</v>
      </c>
      <c r="F922" s="1" t="s">
        <v>27</v>
      </c>
      <c r="G922" s="11">
        <v>45183</v>
      </c>
      <c r="H922" s="11" t="s">
        <v>133</v>
      </c>
      <c r="I922" s="2" t="s">
        <v>4686</v>
      </c>
      <c r="J922" s="2" t="s">
        <v>4687</v>
      </c>
      <c r="K922" s="12">
        <v>0.024305555554747116</v>
      </c>
      <c r="L922" s="12">
        <v>0.020833333332120674</v>
      </c>
      <c r="M922" s="13">
        <f>CRF_3[[#This Row],[Time Spent on Configuration]]+CRF_3[[#This Row],[Time Spent on Review/Testing]]</f>
        <v>NaN</v>
      </c>
      <c r="O922" s="1" t="s">
        <v>483</v>
      </c>
      <c r="P922" s="1" t="s">
        <v>32</v>
      </c>
      <c r="Q922" s="1" t="s">
        <v>484</v>
      </c>
      <c r="R922" s="11">
        <v>45183</v>
      </c>
      <c r="S922" s="1">
        <v>5</v>
      </c>
      <c r="U922" s="48"/>
    </row>
    <row r="923" ht="45" customHeight="1" spans="1:21" x14ac:dyDescent="0.25">
      <c r="A923" s="1" t="s">
        <v>3699</v>
      </c>
      <c r="B923" s="1">
        <v>2023</v>
      </c>
      <c r="C923" s="2" t="s">
        <v>545</v>
      </c>
      <c r="D923" s="1" t="s">
        <v>963</v>
      </c>
      <c r="E923" s="1">
        <v>335044</v>
      </c>
      <c r="F923" s="1" t="s">
        <v>37</v>
      </c>
      <c r="G923" s="11">
        <v>45183</v>
      </c>
      <c r="H923" s="11" t="s">
        <v>38</v>
      </c>
      <c r="I923" s="2" t="s">
        <v>4688</v>
      </c>
      <c r="J923" s="2" t="s">
        <v>3462</v>
      </c>
      <c r="K923" s="12">
        <v>0.041666666667879326</v>
      </c>
      <c r="L923" s="12">
        <v>0.04513888889050577</v>
      </c>
      <c r="M923" s="13">
        <f>CRF_3[[#This Row],[Time Spent on Configuration]]+CRF_3[[#This Row],[Time Spent on Review/Testing]]</f>
        <v>NaN</v>
      </c>
      <c r="O923" s="1" t="s">
        <v>31</v>
      </c>
      <c r="P923" s="1" t="s">
        <v>483</v>
      </c>
      <c r="Q923" s="1" t="s">
        <v>484</v>
      </c>
      <c r="R923" s="11">
        <v>45183</v>
      </c>
      <c r="S923" s="1">
        <v>5</v>
      </c>
      <c r="U923" s="48"/>
    </row>
    <row r="924" ht="90" customHeight="1" spans="1:21" x14ac:dyDescent="0.25">
      <c r="A924" s="1" t="s">
        <v>3699</v>
      </c>
      <c r="B924" s="1">
        <v>2023</v>
      </c>
      <c r="C924" s="2" t="s">
        <v>479</v>
      </c>
      <c r="D924" s="1" t="s">
        <v>25</v>
      </c>
      <c r="E924" s="1">
        <v>341694</v>
      </c>
      <c r="F924" s="1" t="s">
        <v>27</v>
      </c>
      <c r="G924" s="11">
        <v>45183</v>
      </c>
      <c r="H924" s="11" t="s">
        <v>38</v>
      </c>
      <c r="I924" s="2" t="s">
        <v>4689</v>
      </c>
      <c r="J924" s="2" t="s">
        <v>4690</v>
      </c>
      <c r="K924" s="12">
        <v>0.027777777777373558</v>
      </c>
      <c r="L924" s="12">
        <v>0.04513888889050577</v>
      </c>
      <c r="M924" s="13">
        <f>CRF_3[[#This Row],[Time Spent on Configuration]]+CRF_3[[#This Row],[Time Spent on Review/Testing]]</f>
        <v>NaN</v>
      </c>
      <c r="O924" s="1" t="s">
        <v>32</v>
      </c>
      <c r="P924" s="1" t="s">
        <v>483</v>
      </c>
      <c r="Q924" s="1" t="s">
        <v>488</v>
      </c>
      <c r="R924" s="11">
        <v>45183</v>
      </c>
      <c r="S924" s="1">
        <v>5</v>
      </c>
      <c r="U924" s="48"/>
    </row>
    <row r="925" ht="90" customHeight="1" spans="1:21" x14ac:dyDescent="0.25">
      <c r="A925" s="1" t="s">
        <v>3699</v>
      </c>
      <c r="B925" s="1">
        <v>2023</v>
      </c>
      <c r="C925" s="2" t="s">
        <v>545</v>
      </c>
      <c r="D925" s="1" t="s">
        <v>546</v>
      </c>
      <c r="E925" s="1">
        <v>335044</v>
      </c>
      <c r="F925" s="1" t="s">
        <v>27</v>
      </c>
      <c r="G925" s="11">
        <v>45190</v>
      </c>
      <c r="H925" s="11" t="s">
        <v>3842</v>
      </c>
      <c r="I925" s="2" t="s">
        <v>4691</v>
      </c>
      <c r="J925" s="2" t="s">
        <v>3467</v>
      </c>
      <c r="K925" s="12">
        <v>0.03472222222262644</v>
      </c>
      <c r="L925" s="12">
        <v>0.0625</v>
      </c>
      <c r="M925" s="13">
        <f>CRF_3[[#This Row],[Time Spent on Configuration]]+CRF_3[[#This Row],[Time Spent on Review/Testing]]</f>
        <v>NaN</v>
      </c>
      <c r="O925" s="1" t="s">
        <v>32</v>
      </c>
      <c r="P925" s="1" t="s">
        <v>41</v>
      </c>
      <c r="Q925" s="1" t="s">
        <v>484</v>
      </c>
      <c r="R925" s="11">
        <v>45190</v>
      </c>
      <c r="S925" s="1">
        <v>5</v>
      </c>
      <c r="U925" s="48"/>
    </row>
    <row r="926" spans="1:21" x14ac:dyDescent="0.25">
      <c r="A926" s="1" t="s">
        <v>3699</v>
      </c>
      <c r="B926" s="1">
        <v>2023</v>
      </c>
      <c r="C926" s="2" t="s">
        <v>48</v>
      </c>
      <c r="D926" s="1" t="s">
        <v>25</v>
      </c>
      <c r="E926" s="1">
        <v>347283</v>
      </c>
      <c r="F926" s="1" t="s">
        <v>37</v>
      </c>
      <c r="G926" s="11">
        <v>45191</v>
      </c>
      <c r="H926" s="11" t="s">
        <v>38</v>
      </c>
      <c r="I926" s="2" t="s">
        <v>3469</v>
      </c>
      <c r="J926" s="2" t="s">
        <v>3469</v>
      </c>
      <c r="K926" s="12">
        <v>0.013888888890505768</v>
      </c>
      <c r="L926" s="12">
        <v>0.027777777777373558</v>
      </c>
      <c r="M926" s="13">
        <f>CRF_3[[#This Row],[Time Spent on Configuration]]+CRF_3[[#This Row],[Time Spent on Review/Testing]]</f>
        <v>NaN</v>
      </c>
      <c r="O926" s="1" t="s">
        <v>31</v>
      </c>
      <c r="P926" s="1" t="s">
        <v>483</v>
      </c>
      <c r="Q926" s="1" t="s">
        <v>488</v>
      </c>
      <c r="R926" s="11">
        <v>45191</v>
      </c>
      <c r="S926" s="1">
        <v>5</v>
      </c>
      <c r="U926" s="48"/>
    </row>
    <row r="927" ht="60" customHeight="1" spans="1:21" x14ac:dyDescent="0.25">
      <c r="A927" s="1" t="s">
        <v>3699</v>
      </c>
      <c r="B927" s="1">
        <v>2023</v>
      </c>
      <c r="C927" s="2" t="s">
        <v>308</v>
      </c>
      <c r="D927" s="1" t="s">
        <v>309</v>
      </c>
      <c r="E927" s="1">
        <v>348563</v>
      </c>
      <c r="F927" s="1" t="s">
        <v>37</v>
      </c>
      <c r="G927" s="11">
        <v>45195</v>
      </c>
      <c r="H927" s="11" t="s">
        <v>74</v>
      </c>
      <c r="I927" s="2" t="s">
        <v>4692</v>
      </c>
      <c r="J927" s="2" t="s">
        <v>4693</v>
      </c>
      <c r="K927" s="12">
        <v>0.03472222222262644</v>
      </c>
      <c r="L927" s="12">
        <v>0.04513888889050577</v>
      </c>
      <c r="M927" s="13">
        <f>CRF_3[[#This Row],[Time Spent on Configuration]]+CRF_3[[#This Row],[Time Spent on Review/Testing]]</f>
        <v>NaN</v>
      </c>
      <c r="O927" s="1" t="s">
        <v>32</v>
      </c>
      <c r="P927" s="1" t="s">
        <v>483</v>
      </c>
      <c r="Q927" s="1" t="s">
        <v>488</v>
      </c>
      <c r="R927" s="11">
        <v>45195</v>
      </c>
      <c r="S927" s="1">
        <v>5</v>
      </c>
      <c r="U927" s="48"/>
    </row>
    <row r="928" spans="1:21" x14ac:dyDescent="0.25">
      <c r="A928" s="1" t="s">
        <v>3699</v>
      </c>
      <c r="B928" s="1">
        <v>2023</v>
      </c>
      <c r="C928" s="2" t="s">
        <v>48</v>
      </c>
      <c r="D928" s="1" t="s">
        <v>25</v>
      </c>
      <c r="E928" s="1">
        <v>348596</v>
      </c>
      <c r="F928" s="1" t="s">
        <v>37</v>
      </c>
      <c r="G928" s="11">
        <v>45195</v>
      </c>
      <c r="H928" s="11" t="s">
        <v>3842</v>
      </c>
      <c r="I928" s="2" t="s">
        <v>3474</v>
      </c>
      <c r="J928" s="2" t="s">
        <v>3475</v>
      </c>
      <c r="K928" s="12">
        <v>0.013888888890505768</v>
      </c>
      <c r="L928" s="12">
        <v>0.03472222222262644</v>
      </c>
      <c r="M928" s="13">
        <f>CRF_3[[#This Row],[Time Spent on Configuration]]+CRF_3[[#This Row],[Time Spent on Review/Testing]]</f>
        <v>NaN</v>
      </c>
      <c r="O928" s="1" t="s">
        <v>31</v>
      </c>
      <c r="P928" s="1" t="s">
        <v>32</v>
      </c>
      <c r="Q928" s="1" t="s">
        <v>484</v>
      </c>
      <c r="R928" s="11">
        <v>45195</v>
      </c>
      <c r="S928" s="1">
        <v>5</v>
      </c>
      <c r="U928" s="48"/>
    </row>
    <row r="929" ht="45" customHeight="1" spans="1:21" x14ac:dyDescent="0.25">
      <c r="A929" s="1" t="s">
        <v>3708</v>
      </c>
      <c r="B929" s="1">
        <v>2023</v>
      </c>
      <c r="C929" s="2" t="s">
        <v>288</v>
      </c>
      <c r="D929" s="1" t="s">
        <v>289</v>
      </c>
      <c r="E929" s="1">
        <v>349662</v>
      </c>
      <c r="F929" s="1" t="s">
        <v>27</v>
      </c>
      <c r="G929" s="11">
        <v>45204</v>
      </c>
      <c r="H929" s="11" t="s">
        <v>38</v>
      </c>
      <c r="I929" s="2" t="s">
        <v>4694</v>
      </c>
      <c r="J929" s="2" t="s">
        <v>3479</v>
      </c>
      <c r="K929" s="12">
        <v>0.03125</v>
      </c>
      <c r="L929" s="12">
        <v>0.052083333332120674</v>
      </c>
      <c r="M929" s="13">
        <f>CRF_3[[#This Row],[Time Spent on Configuration]]+CRF_3[[#This Row],[Time Spent on Review/Testing]]</f>
        <v>NaN</v>
      </c>
      <c r="O929" s="1" t="s">
        <v>32</v>
      </c>
      <c r="P929" s="1" t="s">
        <v>483</v>
      </c>
      <c r="Q929" s="1" t="s">
        <v>488</v>
      </c>
      <c r="R929" s="11">
        <v>45204</v>
      </c>
      <c r="S929" s="1">
        <v>5</v>
      </c>
      <c r="U929" s="48"/>
    </row>
    <row r="930" ht="165" customHeight="1" spans="1:21" x14ac:dyDescent="0.25">
      <c r="A930" s="1" t="s">
        <v>3708</v>
      </c>
      <c r="B930" s="1">
        <v>2023</v>
      </c>
      <c r="C930" s="2" t="s">
        <v>163</v>
      </c>
      <c r="D930" s="1" t="s">
        <v>25</v>
      </c>
      <c r="E930" s="1">
        <v>346782</v>
      </c>
      <c r="F930" s="1" t="s">
        <v>37</v>
      </c>
      <c r="G930" s="11">
        <v>45205</v>
      </c>
      <c r="H930" s="11" t="s">
        <v>28</v>
      </c>
      <c r="I930" s="2" t="s">
        <v>4695</v>
      </c>
      <c r="J930" s="2" t="s">
        <v>3482</v>
      </c>
      <c r="K930" s="12">
        <v>0.03125</v>
      </c>
      <c r="L930" s="12">
        <v>0.0625</v>
      </c>
      <c r="M930" s="13">
        <f>CRF_3[[#This Row],[Time Spent on Configuration]]+CRF_3[[#This Row],[Time Spent on Review/Testing]]</f>
        <v>NaN</v>
      </c>
      <c r="O930" s="1" t="s">
        <v>483</v>
      </c>
      <c r="P930" s="1" t="s">
        <v>32</v>
      </c>
      <c r="Q930" s="1" t="s">
        <v>488</v>
      </c>
      <c r="R930" s="11">
        <v>45205</v>
      </c>
      <c r="S930" s="1">
        <v>5</v>
      </c>
      <c r="U930" s="48"/>
    </row>
    <row r="931" ht="60" customHeight="1" spans="1:21" x14ac:dyDescent="0.25">
      <c r="A931" s="1" t="s">
        <v>3708</v>
      </c>
      <c r="B931" s="1">
        <v>2023</v>
      </c>
      <c r="C931" s="2" t="s">
        <v>284</v>
      </c>
      <c r="D931" s="1" t="s">
        <v>285</v>
      </c>
      <c r="E931" s="1">
        <v>349012</v>
      </c>
      <c r="F931" s="1" t="s">
        <v>27</v>
      </c>
      <c r="G931" s="11">
        <v>45209</v>
      </c>
      <c r="H931" s="11" t="s">
        <v>670</v>
      </c>
      <c r="I931" s="2" t="s">
        <v>4696</v>
      </c>
      <c r="J931" s="2" t="s">
        <v>3485</v>
      </c>
      <c r="K931" s="12">
        <v>0.024305555554747116</v>
      </c>
      <c r="L931" s="12">
        <v>0.03125</v>
      </c>
      <c r="M931" s="13">
        <f>CRF_3[[#This Row],[Time Spent on Configuration]]+CRF_3[[#This Row],[Time Spent on Review/Testing]]</f>
        <v>NaN</v>
      </c>
      <c r="O931" s="1" t="s">
        <v>53</v>
      </c>
      <c r="P931" s="1" t="s">
        <v>483</v>
      </c>
      <c r="Q931" s="1" t="s">
        <v>484</v>
      </c>
      <c r="R931" s="11">
        <v>45209</v>
      </c>
      <c r="S931" s="1">
        <v>5</v>
      </c>
      <c r="U931" s="48"/>
    </row>
    <row r="932" ht="45" customHeight="1" spans="1:21" x14ac:dyDescent="0.25">
      <c r="A932" s="1" t="s">
        <v>3708</v>
      </c>
      <c r="B932" s="1">
        <v>2023</v>
      </c>
      <c r="C932" s="2" t="s">
        <v>35</v>
      </c>
      <c r="D932" s="1" t="s">
        <v>25</v>
      </c>
      <c r="E932" s="1" t="s">
        <v>3486</v>
      </c>
      <c r="F932" s="1" t="s">
        <v>27</v>
      </c>
      <c r="G932" s="11">
        <v>45209</v>
      </c>
      <c r="H932" s="11" t="s">
        <v>28</v>
      </c>
      <c r="I932" s="2" t="s">
        <v>4697</v>
      </c>
      <c r="J932" s="2" t="s">
        <v>3488</v>
      </c>
      <c r="K932" s="12">
        <v>0.0625</v>
      </c>
      <c r="L932" s="12">
        <v>0.006944444445252884</v>
      </c>
      <c r="M932" s="13">
        <f>CRF_3[[#This Row],[Time Spent on Configuration]]+CRF_3[[#This Row],[Time Spent on Review/Testing]]</f>
        <v>NaN</v>
      </c>
      <c r="O932" s="1" t="s">
        <v>574</v>
      </c>
      <c r="P932" s="1" t="s">
        <v>32</v>
      </c>
      <c r="Q932" s="1" t="s">
        <v>42</v>
      </c>
      <c r="R932" s="11">
        <v>45209</v>
      </c>
      <c r="S932" s="1">
        <v>5</v>
      </c>
      <c r="U932" s="48"/>
    </row>
    <row r="933" ht="105" customHeight="1" spans="1:21" x14ac:dyDescent="0.25">
      <c r="A933" s="1" t="s">
        <v>3708</v>
      </c>
      <c r="B933" s="1">
        <v>2023</v>
      </c>
      <c r="C933" s="2" t="s">
        <v>35</v>
      </c>
      <c r="D933" s="1" t="s">
        <v>25</v>
      </c>
      <c r="E933" s="1">
        <v>350162</v>
      </c>
      <c r="F933" s="1" t="s">
        <v>27</v>
      </c>
      <c r="G933" s="11">
        <v>45210</v>
      </c>
      <c r="H933" s="11" t="s">
        <v>74</v>
      </c>
      <c r="I933" s="2" t="s">
        <v>4698</v>
      </c>
      <c r="J933" s="2" t="s">
        <v>4699</v>
      </c>
      <c r="K933" s="12">
        <v>0.0625</v>
      </c>
      <c r="L933" s="12">
        <v>0.04861111110949423</v>
      </c>
      <c r="M933" s="13">
        <f>CRF_3[[#This Row],[Time Spent on Configuration]]+CRF_3[[#This Row],[Time Spent on Review/Testing]]</f>
        <v>NaN</v>
      </c>
      <c r="O933" s="1" t="s">
        <v>32</v>
      </c>
      <c r="P933" s="1" t="s">
        <v>483</v>
      </c>
      <c r="Q933" s="1" t="s">
        <v>42</v>
      </c>
      <c r="R933" s="11">
        <v>45210</v>
      </c>
      <c r="S933" s="1">
        <v>5</v>
      </c>
      <c r="U933" s="48"/>
    </row>
    <row r="934" ht="30" customHeight="1" spans="1:21" x14ac:dyDescent="0.25">
      <c r="A934" s="1" t="s">
        <v>3708</v>
      </c>
      <c r="B934" s="1">
        <v>2023</v>
      </c>
      <c r="C934" s="2" t="s">
        <v>113</v>
      </c>
      <c r="D934" s="1" t="s">
        <v>25</v>
      </c>
      <c r="E934" s="1">
        <v>347472</v>
      </c>
      <c r="F934" s="1" t="s">
        <v>37</v>
      </c>
      <c r="G934" s="11">
        <v>45210</v>
      </c>
      <c r="H934" s="11" t="s">
        <v>3290</v>
      </c>
      <c r="I934" s="2" t="s">
        <v>3493</v>
      </c>
      <c r="J934" s="2" t="s">
        <v>3494</v>
      </c>
      <c r="K934" s="12">
        <v>0.041666666667879326</v>
      </c>
      <c r="L934" s="12">
        <v>0.055555555554747116</v>
      </c>
      <c r="M934" s="13">
        <f>CRF_3[[#This Row],[Time Spent on Configuration]]+CRF_3[[#This Row],[Time Spent on Review/Testing]]</f>
        <v>NaN</v>
      </c>
      <c r="O934" s="1" t="s">
        <v>31</v>
      </c>
      <c r="P934" s="1" t="s">
        <v>483</v>
      </c>
      <c r="Q934" s="1" t="s">
        <v>484</v>
      </c>
      <c r="R934" s="11">
        <v>45210</v>
      </c>
      <c r="S934" s="1">
        <v>5</v>
      </c>
      <c r="U934" s="48"/>
    </row>
    <row r="935" spans="1:21" x14ac:dyDescent="0.25">
      <c r="A935" s="1" t="s">
        <v>3708</v>
      </c>
      <c r="B935" s="1">
        <v>2023</v>
      </c>
      <c r="C935" s="2" t="s">
        <v>4700</v>
      </c>
      <c r="D935" s="1" t="s">
        <v>309</v>
      </c>
      <c r="E935" s="1">
        <v>350479</v>
      </c>
      <c r="F935" s="1" t="s">
        <v>4195</v>
      </c>
      <c r="G935" s="11">
        <v>45211</v>
      </c>
      <c r="H935" s="11" t="s">
        <v>28</v>
      </c>
      <c r="I935" s="2" t="s">
        <v>3496</v>
      </c>
      <c r="J935" s="2" t="s">
        <v>3497</v>
      </c>
      <c r="K935" s="12">
        <v>0.03472222222262644</v>
      </c>
      <c r="L935" s="12">
        <v>0.052083333332120674</v>
      </c>
      <c r="M935" s="13">
        <f>CRF_3[[#This Row],[Time Spent on Configuration]]+CRF_3[[#This Row],[Time Spent on Review/Testing]]</f>
        <v>NaN</v>
      </c>
      <c r="O935" s="1" t="s">
        <v>32</v>
      </c>
      <c r="P935" s="1" t="s">
        <v>483</v>
      </c>
      <c r="Q935" s="1" t="s">
        <v>488</v>
      </c>
      <c r="R935" s="11">
        <v>45211</v>
      </c>
      <c r="S935" s="1">
        <v>5</v>
      </c>
      <c r="U935" s="48"/>
    </row>
    <row r="936" spans="1:21" x14ac:dyDescent="0.25">
      <c r="A936" s="1" t="s">
        <v>3708</v>
      </c>
      <c r="B936" s="1">
        <v>2023</v>
      </c>
      <c r="C936" s="2" t="s">
        <v>35</v>
      </c>
      <c r="D936" s="1" t="s">
        <v>25</v>
      </c>
      <c r="E936" s="1">
        <v>350648</v>
      </c>
      <c r="F936" s="1" t="s">
        <v>27</v>
      </c>
      <c r="G936" s="11">
        <v>45213</v>
      </c>
      <c r="H936" s="11" t="s">
        <v>38</v>
      </c>
      <c r="I936" s="2" t="s">
        <v>3499</v>
      </c>
      <c r="J936" s="2" t="s">
        <v>3499</v>
      </c>
      <c r="K936" s="12">
        <v>0.020833333332120674</v>
      </c>
      <c r="L936" s="12">
        <v>0.041666666667879326</v>
      </c>
      <c r="M936" s="13">
        <f>CRF_3[[#This Row],[Time Spent on Configuration]]+CRF_3[[#This Row],[Time Spent on Review/Testing]]</f>
        <v>NaN</v>
      </c>
      <c r="O936" s="1" t="s">
        <v>32</v>
      </c>
      <c r="P936" s="1" t="s">
        <v>41</v>
      </c>
      <c r="Q936" s="1" t="s">
        <v>42</v>
      </c>
      <c r="R936" s="11">
        <v>45213</v>
      </c>
      <c r="S936" s="1">
        <v>5</v>
      </c>
      <c r="U936" s="48"/>
    </row>
    <row r="937" ht="90" customHeight="1" spans="1:21" x14ac:dyDescent="0.25">
      <c r="A937" s="1" t="s">
        <v>3708</v>
      </c>
      <c r="B937" s="1">
        <v>2023</v>
      </c>
      <c r="C937" s="2" t="s">
        <v>284</v>
      </c>
      <c r="D937" s="1" t="s">
        <v>285</v>
      </c>
      <c r="E937" s="1">
        <v>351005</v>
      </c>
      <c r="F937" s="1" t="s">
        <v>27</v>
      </c>
      <c r="G937" s="11">
        <v>45223</v>
      </c>
      <c r="H937" s="11" t="s">
        <v>507</v>
      </c>
      <c r="I937" s="2" t="s">
        <v>4701</v>
      </c>
      <c r="J937" s="2" t="s">
        <v>3502</v>
      </c>
      <c r="K937" s="12">
        <v>0.013888888890505768</v>
      </c>
      <c r="L937" s="12">
        <v>0.020833333332120674</v>
      </c>
      <c r="M937" s="13">
        <f>CRF_3[[#This Row],[Time Spent on Configuration]]+CRF_3[[#This Row],[Time Spent on Review/Testing]]</f>
        <v>NaN</v>
      </c>
      <c r="O937" s="1" t="s">
        <v>32</v>
      </c>
      <c r="P937" s="1" t="s">
        <v>41</v>
      </c>
      <c r="Q937" s="1" t="s">
        <v>484</v>
      </c>
      <c r="R937" s="11">
        <v>45223</v>
      </c>
      <c r="S937" s="1">
        <v>5</v>
      </c>
      <c r="U937" s="48"/>
    </row>
    <row r="938" spans="1:21" x14ac:dyDescent="0.25">
      <c r="A938" s="1" t="s">
        <v>3708</v>
      </c>
      <c r="B938" s="1">
        <v>2023</v>
      </c>
      <c r="C938" s="2" t="s">
        <v>99</v>
      </c>
      <c r="D938" s="1" t="s">
        <v>25</v>
      </c>
      <c r="E938" s="1">
        <v>351763</v>
      </c>
      <c r="F938" s="1" t="s">
        <v>37</v>
      </c>
      <c r="G938" s="11">
        <v>45224</v>
      </c>
      <c r="H938" s="11" t="s">
        <v>28</v>
      </c>
      <c r="I938" s="2" t="s">
        <v>3504</v>
      </c>
      <c r="J938" s="2" t="s">
        <v>3505</v>
      </c>
      <c r="K938" s="12">
        <v>0.03472222222262644</v>
      </c>
      <c r="L938" s="12">
        <v>0.06944444444525288</v>
      </c>
      <c r="M938" s="13">
        <f>CRF_3[[#This Row],[Time Spent on Configuration]]+CRF_3[[#This Row],[Time Spent on Review/Testing]]</f>
        <v>NaN</v>
      </c>
      <c r="O938" s="1" t="s">
        <v>32</v>
      </c>
      <c r="P938" s="1" t="s">
        <v>41</v>
      </c>
      <c r="Q938" s="1" t="s">
        <v>484</v>
      </c>
      <c r="R938" s="11">
        <v>45224</v>
      </c>
      <c r="S938" s="1">
        <v>5</v>
      </c>
      <c r="U938" s="48"/>
    </row>
    <row r="939" ht="225" customHeight="1" spans="1:21" x14ac:dyDescent="0.25">
      <c r="A939" s="1" t="s">
        <v>3708</v>
      </c>
      <c r="B939" s="1">
        <v>2023</v>
      </c>
      <c r="C939" s="2" t="s">
        <v>113</v>
      </c>
      <c r="D939" s="1" t="s">
        <v>25</v>
      </c>
      <c r="E939" s="1">
        <v>351952</v>
      </c>
      <c r="F939" s="1" t="s">
        <v>37</v>
      </c>
      <c r="G939" s="11">
        <v>45232</v>
      </c>
      <c r="H939" s="11" t="s">
        <v>28</v>
      </c>
      <c r="I939" s="2" t="s">
        <v>4702</v>
      </c>
      <c r="J939" s="2" t="s">
        <v>3509</v>
      </c>
      <c r="K939" s="12">
        <v>0.03472222222262644</v>
      </c>
      <c r="L939" s="12">
        <v>0.09027777777737356</v>
      </c>
      <c r="M939" s="13">
        <f>CRF_3[[#This Row],[Time Spent on Configuration]]+CRF_3[[#This Row],[Time Spent on Review/Testing]]</f>
        <v>NaN</v>
      </c>
      <c r="O939" s="1" t="s">
        <v>32</v>
      </c>
      <c r="P939" s="1" t="s">
        <v>41</v>
      </c>
      <c r="Q939" s="1" t="s">
        <v>484</v>
      </c>
      <c r="R939" s="11">
        <v>45232</v>
      </c>
      <c r="S939" s="1">
        <v>5</v>
      </c>
      <c r="U939" s="48"/>
    </row>
    <row r="940" ht="75" customHeight="1" spans="1:21" x14ac:dyDescent="0.25">
      <c r="A940" s="1" t="s">
        <v>3725</v>
      </c>
      <c r="B940" s="1">
        <v>2023</v>
      </c>
      <c r="C940" s="2" t="s">
        <v>479</v>
      </c>
      <c r="D940" s="1" t="s">
        <v>25</v>
      </c>
      <c r="E940" s="1">
        <v>354815</v>
      </c>
      <c r="F940" s="1" t="s">
        <v>27</v>
      </c>
      <c r="G940" s="11">
        <v>45247</v>
      </c>
      <c r="H940" s="11" t="s">
        <v>38</v>
      </c>
      <c r="I940" s="2" t="s">
        <v>3511</v>
      </c>
      <c r="J940" s="2" t="s">
        <v>4703</v>
      </c>
      <c r="K940" s="12">
        <v>0.027777777777373558</v>
      </c>
      <c r="L940" s="12">
        <v>0.020833333332120674</v>
      </c>
      <c r="M940" s="13">
        <f>CRF_3[[#This Row],[Time Spent on Configuration]]+CRF_3[[#This Row],[Time Spent on Review/Testing]]</f>
        <v>NaN</v>
      </c>
      <c r="O940" s="1" t="s">
        <v>53</v>
      </c>
      <c r="P940" s="1" t="s">
        <v>32</v>
      </c>
      <c r="Q940" s="1" t="s">
        <v>42</v>
      </c>
      <c r="R940" s="11">
        <v>45247</v>
      </c>
      <c r="S940" s="1">
        <v>5</v>
      </c>
      <c r="U940" s="48"/>
    </row>
    <row r="941" spans="1:21" x14ac:dyDescent="0.25">
      <c r="A941" s="1" t="s">
        <v>3725</v>
      </c>
      <c r="B941" s="1">
        <v>2023</v>
      </c>
      <c r="C941" s="2" t="s">
        <v>283</v>
      </c>
      <c r="D941" s="1" t="s">
        <v>25</v>
      </c>
      <c r="E941" s="1">
        <v>357448</v>
      </c>
      <c r="F941" s="1" t="s">
        <v>37</v>
      </c>
      <c r="G941" s="11">
        <v>45253</v>
      </c>
      <c r="H941" s="11" t="s">
        <v>38</v>
      </c>
      <c r="I941" s="2" t="s">
        <v>4704</v>
      </c>
      <c r="J941" s="2" t="s">
        <v>4705</v>
      </c>
      <c r="K941" s="12">
        <v>0.027777777777373558</v>
      </c>
      <c r="L941" s="12">
        <v>0.03125</v>
      </c>
      <c r="M941" s="13">
        <f>CRF_3[[#This Row],[Time Spent on Configuration]]+CRF_3[[#This Row],[Time Spent on Review/Testing]]</f>
        <v>NaN</v>
      </c>
      <c r="O941" s="1" t="s">
        <v>31</v>
      </c>
      <c r="P941" s="1" t="s">
        <v>483</v>
      </c>
      <c r="Q941" s="1" t="s">
        <v>488</v>
      </c>
      <c r="R941" s="11">
        <v>45253</v>
      </c>
      <c r="S941" s="1">
        <v>5</v>
      </c>
      <c r="U941" s="48"/>
    </row>
    <row r="942" ht="60" customHeight="1" spans="1:21" x14ac:dyDescent="0.25">
      <c r="A942" s="1" t="s">
        <v>3725</v>
      </c>
      <c r="B942" s="1">
        <v>2023</v>
      </c>
      <c r="C942" s="2" t="s">
        <v>529</v>
      </c>
      <c r="D942" s="1" t="s">
        <v>530</v>
      </c>
      <c r="E942" s="1">
        <v>352334</v>
      </c>
      <c r="F942" s="1" t="s">
        <v>37</v>
      </c>
      <c r="G942" s="11">
        <v>45253</v>
      </c>
      <c r="H942" s="11" t="s">
        <v>28</v>
      </c>
      <c r="I942" s="2" t="s">
        <v>4706</v>
      </c>
      <c r="J942" s="2" t="s">
        <v>3518</v>
      </c>
      <c r="K942" s="12">
        <v>0.06597222222262644</v>
      </c>
      <c r="L942" s="12">
        <v>0.0625</v>
      </c>
      <c r="M942" s="13">
        <f>CRF_3[[#This Row],[Time Spent on Configuration]]+CRF_3[[#This Row],[Time Spent on Review/Testing]]</f>
        <v>NaN</v>
      </c>
      <c r="O942" s="1" t="s">
        <v>41</v>
      </c>
      <c r="P942" s="1" t="s">
        <v>32</v>
      </c>
      <c r="Q942" s="1" t="s">
        <v>484</v>
      </c>
      <c r="R942" s="11">
        <v>45253</v>
      </c>
      <c r="S942" s="1">
        <v>5</v>
      </c>
      <c r="U942" s="48"/>
    </row>
    <row r="943" ht="45" customHeight="1" spans="1:21" x14ac:dyDescent="0.25">
      <c r="A943" s="1" t="s">
        <v>3733</v>
      </c>
      <c r="B943" s="1">
        <v>2023</v>
      </c>
      <c r="C943" s="2" t="s">
        <v>3296</v>
      </c>
      <c r="D943" s="1" t="s">
        <v>309</v>
      </c>
      <c r="E943" s="1">
        <v>355664</v>
      </c>
      <c r="F943" s="1" t="s">
        <v>37</v>
      </c>
      <c r="G943" s="11">
        <v>45264</v>
      </c>
      <c r="H943" s="11" t="s">
        <v>507</v>
      </c>
      <c r="I943" s="2" t="s">
        <v>4707</v>
      </c>
      <c r="J943" s="2" t="s">
        <v>3522</v>
      </c>
      <c r="K943" s="12">
        <v>0.027777777777373558</v>
      </c>
      <c r="L943" s="12">
        <v>0.04861111110949423</v>
      </c>
      <c r="M943" s="13">
        <f>CRF_3[[#This Row],[Time Spent on Configuration]]+CRF_3[[#This Row],[Time Spent on Review/Testing]]</f>
        <v>NaN</v>
      </c>
      <c r="O943" s="1" t="s">
        <v>32</v>
      </c>
      <c r="P943" s="1" t="s">
        <v>41</v>
      </c>
      <c r="Q943" s="1" t="s">
        <v>488</v>
      </c>
      <c r="R943" s="11">
        <v>45264</v>
      </c>
      <c r="S943" s="1">
        <v>5</v>
      </c>
      <c r="U943" s="48"/>
    </row>
    <row r="944" ht="45" customHeight="1" spans="1:21" x14ac:dyDescent="0.25">
      <c r="A944" s="1" t="s">
        <v>3733</v>
      </c>
      <c r="B944" s="1">
        <v>2023</v>
      </c>
      <c r="C944" s="2" t="s">
        <v>529</v>
      </c>
      <c r="D944" s="1" t="s">
        <v>530</v>
      </c>
      <c r="E944" s="1">
        <v>358721</v>
      </c>
      <c r="F944" s="1" t="s">
        <v>37</v>
      </c>
      <c r="G944" s="11">
        <v>45269</v>
      </c>
      <c r="H944" s="11" t="s">
        <v>28</v>
      </c>
      <c r="I944" s="2" t="s">
        <v>4708</v>
      </c>
      <c r="J944" s="2" t="s">
        <v>4709</v>
      </c>
      <c r="K944" s="12">
        <v>0.06597222222262644</v>
      </c>
      <c r="L944" s="12">
        <v>0.055555555554747116</v>
      </c>
      <c r="M944" s="13">
        <f>CRF_3[[#This Row],[Time Spent on Configuration]]+CRF_3[[#This Row],[Time Spent on Review/Testing]]</f>
        <v>NaN</v>
      </c>
      <c r="O944" s="1" t="s">
        <v>41</v>
      </c>
      <c r="P944" s="1" t="s">
        <v>32</v>
      </c>
      <c r="Q944" s="1" t="s">
        <v>484</v>
      </c>
      <c r="R944" s="11">
        <v>45269</v>
      </c>
      <c r="S944" s="1">
        <v>5</v>
      </c>
      <c r="U944" s="48"/>
    </row>
    <row r="945" ht="45" customHeight="1" spans="1:21" x14ac:dyDescent="0.25">
      <c r="A945" s="1" t="s">
        <v>3733</v>
      </c>
      <c r="B945" s="1">
        <v>2023</v>
      </c>
      <c r="C945" s="2" t="s">
        <v>247</v>
      </c>
      <c r="D945" s="1" t="s">
        <v>25</v>
      </c>
      <c r="E945" s="1">
        <v>359453</v>
      </c>
      <c r="F945" s="1" t="s">
        <v>27</v>
      </c>
      <c r="G945" s="11">
        <v>45269</v>
      </c>
      <c r="H945" s="11" t="s">
        <v>38</v>
      </c>
      <c r="I945" s="2" t="s">
        <v>4710</v>
      </c>
      <c r="J945" s="2" t="s">
        <v>3528</v>
      </c>
      <c r="K945" s="12">
        <v>0.041666666667879326</v>
      </c>
      <c r="L945" s="12">
        <v>0.041666666667879326</v>
      </c>
      <c r="M945" s="13">
        <f>CRF_3[[#This Row],[Time Spent on Configuration]]+CRF_3[[#This Row],[Time Spent on Review/Testing]]</f>
        <v>NaN</v>
      </c>
      <c r="O945" s="1" t="s">
        <v>31</v>
      </c>
      <c r="P945" s="1" t="s">
        <v>32</v>
      </c>
      <c r="Q945" s="1" t="s">
        <v>488</v>
      </c>
      <c r="R945" s="11">
        <v>45269</v>
      </c>
      <c r="S945" s="1">
        <v>5</v>
      </c>
      <c r="U945" s="48"/>
    </row>
    <row r="946" ht="30" customHeight="1" spans="1:21" x14ac:dyDescent="0.25">
      <c r="A946" s="1" t="s">
        <v>3733</v>
      </c>
      <c r="B946" s="1">
        <v>2023</v>
      </c>
      <c r="C946" s="2" t="s">
        <v>3296</v>
      </c>
      <c r="D946" s="1" t="s">
        <v>309</v>
      </c>
      <c r="E946" s="1">
        <v>359814</v>
      </c>
      <c r="F946" s="1" t="s">
        <v>37</v>
      </c>
      <c r="G946" s="11">
        <v>45264</v>
      </c>
      <c r="H946" s="11" t="s">
        <v>507</v>
      </c>
      <c r="I946" s="2" t="s">
        <v>4711</v>
      </c>
      <c r="J946" s="2" t="s">
        <v>3522</v>
      </c>
      <c r="K946" s="12">
        <v>0.01736111110949423</v>
      </c>
      <c r="L946" s="12">
        <v>0.03125</v>
      </c>
      <c r="M946" s="13">
        <f>CRF_3[[#This Row],[Time Spent on Configuration]]+CRF_3[[#This Row],[Time Spent on Review/Testing]]</f>
        <v>NaN</v>
      </c>
      <c r="O946" s="1" t="s">
        <v>31</v>
      </c>
      <c r="P946" s="1" t="s">
        <v>32</v>
      </c>
      <c r="Q946" s="1" t="s">
        <v>488</v>
      </c>
      <c r="R946" s="11">
        <v>45273</v>
      </c>
      <c r="S946" s="1">
        <v>5</v>
      </c>
      <c r="U946" s="48"/>
    </row>
    <row r="947" spans="1:21" x14ac:dyDescent="0.25">
      <c r="A947" s="1" t="s">
        <v>3733</v>
      </c>
      <c r="B947" s="1">
        <v>2023</v>
      </c>
      <c r="C947" s="2" t="s">
        <v>99</v>
      </c>
      <c r="D947" s="1" t="s">
        <v>25</v>
      </c>
      <c r="E947" s="1">
        <v>359856</v>
      </c>
      <c r="F947" s="1" t="s">
        <v>27</v>
      </c>
      <c r="G947" s="11">
        <v>45273</v>
      </c>
      <c r="H947" s="11" t="s">
        <v>28</v>
      </c>
      <c r="I947" s="2" t="s">
        <v>3532</v>
      </c>
      <c r="J947" s="2" t="s">
        <v>3533</v>
      </c>
      <c r="K947" s="12">
        <v>0.03125</v>
      </c>
      <c r="L947" s="12">
        <v>0.06597222222262644</v>
      </c>
      <c r="M947" s="13">
        <f>CRF_3[[#This Row],[Time Spent on Configuration]]+CRF_3[[#This Row],[Time Spent on Review/Testing]]</f>
        <v>NaN</v>
      </c>
      <c r="O947" s="1" t="s">
        <v>483</v>
      </c>
      <c r="P947" s="1" t="s">
        <v>41</v>
      </c>
      <c r="Q947" s="1" t="s">
        <v>484</v>
      </c>
      <c r="R947" s="11">
        <v>45273</v>
      </c>
      <c r="S947" s="1">
        <v>5</v>
      </c>
      <c r="U947" s="48"/>
    </row>
    <row r="948" ht="30" customHeight="1" spans="1:21" x14ac:dyDescent="0.25">
      <c r="A948" s="53" t="s">
        <v>3733</v>
      </c>
      <c r="B948" s="1">
        <v>2023</v>
      </c>
      <c r="C948" s="2" t="s">
        <v>48</v>
      </c>
      <c r="D948" s="1" t="s">
        <v>25</v>
      </c>
      <c r="E948" s="1">
        <v>360527</v>
      </c>
      <c r="F948" s="1" t="s">
        <v>37</v>
      </c>
      <c r="G948" s="11">
        <v>45279</v>
      </c>
      <c r="H948" s="11" t="s">
        <v>133</v>
      </c>
      <c r="I948" s="2" t="s">
        <v>3535</v>
      </c>
      <c r="J948" s="2" t="s">
        <v>4712</v>
      </c>
      <c r="K948" s="12">
        <v>0.024305555554747116</v>
      </c>
      <c r="L948" s="12">
        <v>0.052083333332120674</v>
      </c>
      <c r="M948" s="13">
        <f>CRF_3[[#This Row],[Time Spent on Configuration]]+CRF_3[[#This Row],[Time Spent on Review/Testing]]</f>
        <v>NaN</v>
      </c>
      <c r="O948" s="1" t="s">
        <v>483</v>
      </c>
      <c r="P948" s="1" t="s">
        <v>41</v>
      </c>
      <c r="Q948" s="1" t="s">
        <v>484</v>
      </c>
      <c r="R948" s="11">
        <v>45279</v>
      </c>
      <c r="S948" s="1">
        <v>5</v>
      </c>
      <c r="U948" s="48"/>
    </row>
    <row r="949" ht="105" customHeight="1" spans="1:21" x14ac:dyDescent="0.25">
      <c r="A949" s="53" t="s">
        <v>3733</v>
      </c>
      <c r="B949" s="1">
        <v>2023</v>
      </c>
      <c r="C949" s="2" t="s">
        <v>223</v>
      </c>
      <c r="D949" s="1" t="s">
        <v>186</v>
      </c>
      <c r="E949" s="1">
        <v>352963</v>
      </c>
      <c r="F949" s="1" t="s">
        <v>37</v>
      </c>
      <c r="G949" s="11">
        <v>45279</v>
      </c>
      <c r="H949" s="11" t="s">
        <v>28</v>
      </c>
      <c r="I949" s="2" t="s">
        <v>4713</v>
      </c>
      <c r="J949" s="2" t="s">
        <v>4714</v>
      </c>
      <c r="K949" s="12">
        <v>0.06944444444525288</v>
      </c>
      <c r="L949" s="12">
        <v>0.03472222222262644</v>
      </c>
      <c r="M949" s="13">
        <f>CRF_3[[#This Row],[Time Spent on Configuration]]+CRF_3[[#This Row],[Time Spent on Review/Testing]]</f>
        <v>NaN</v>
      </c>
      <c r="O949" s="1" t="s">
        <v>41</v>
      </c>
      <c r="P949" s="1" t="s">
        <v>32</v>
      </c>
      <c r="Q949" s="1" t="s">
        <v>488</v>
      </c>
      <c r="R949" s="11">
        <v>45279</v>
      </c>
      <c r="S949" s="1">
        <v>5</v>
      </c>
      <c r="U949" s="48"/>
    </row>
    <row r="950" spans="1:21" x14ac:dyDescent="0.25">
      <c r="A950" s="53" t="s">
        <v>3733</v>
      </c>
      <c r="B950" s="1">
        <v>2023</v>
      </c>
      <c r="C950" s="2" t="s">
        <v>283</v>
      </c>
      <c r="D950" s="1" t="s">
        <v>25</v>
      </c>
      <c r="E950" s="1">
        <v>356307</v>
      </c>
      <c r="F950" s="1" t="s">
        <v>27</v>
      </c>
      <c r="G950" s="11">
        <v>45280</v>
      </c>
      <c r="H950" s="11" t="s">
        <v>507</v>
      </c>
      <c r="I950" s="2" t="s">
        <v>3541</v>
      </c>
      <c r="J950" s="2" t="s">
        <v>3542</v>
      </c>
      <c r="K950" s="12">
        <v>0.027777777777373558</v>
      </c>
      <c r="L950" s="12">
        <v>0.055555555554747116</v>
      </c>
      <c r="M950" s="13">
        <f>CRF_3[[#This Row],[Time Spent on Configuration]]+CRF_3[[#This Row],[Time Spent on Review/Testing]]</f>
        <v>NaN</v>
      </c>
      <c r="O950" s="1" t="s">
        <v>483</v>
      </c>
      <c r="P950" s="1" t="s">
        <v>41</v>
      </c>
      <c r="Q950" s="1" t="s">
        <v>488</v>
      </c>
      <c r="R950" s="11">
        <v>45280</v>
      </c>
      <c r="S950" s="1">
        <v>5</v>
      </c>
      <c r="U950" s="48"/>
    </row>
    <row r="951" ht="60" customHeight="1" spans="1:21" x14ac:dyDescent="0.25">
      <c r="A951" s="53" t="s">
        <v>3733</v>
      </c>
      <c r="B951" s="1">
        <v>2023</v>
      </c>
      <c r="C951" s="2" t="s">
        <v>286</v>
      </c>
      <c r="D951" s="1" t="s">
        <v>287</v>
      </c>
      <c r="E951" s="1">
        <v>360353</v>
      </c>
      <c r="F951" s="1" t="s">
        <v>37</v>
      </c>
      <c r="G951" s="11">
        <v>45280</v>
      </c>
      <c r="H951" s="11" t="s">
        <v>38</v>
      </c>
      <c r="I951" s="2" t="s">
        <v>4715</v>
      </c>
      <c r="J951" s="2" t="s">
        <v>4716</v>
      </c>
      <c r="K951" s="12">
        <v>0.11111111110949423</v>
      </c>
      <c r="L951" s="12">
        <v>0.0625</v>
      </c>
      <c r="M951" s="13">
        <f>CRF_3[[#This Row],[Time Spent on Configuration]]+CRF_3[[#This Row],[Time Spent on Review/Testing]]</f>
        <v>NaN</v>
      </c>
      <c r="O951" s="1" t="s">
        <v>483</v>
      </c>
      <c r="P951" s="1" t="s">
        <v>32</v>
      </c>
      <c r="Q951" s="1" t="s">
        <v>484</v>
      </c>
      <c r="R951" s="11">
        <v>45280</v>
      </c>
      <c r="S951" s="1">
        <v>5</v>
      </c>
      <c r="U951" s="48"/>
    </row>
    <row r="952" ht="30" customHeight="1" spans="1:21" x14ac:dyDescent="0.25">
      <c r="A952" s="53" t="s">
        <v>3733</v>
      </c>
      <c r="B952" s="1">
        <v>2023</v>
      </c>
      <c r="C952" s="2" t="s">
        <v>99</v>
      </c>
      <c r="D952" s="1" t="s">
        <v>25</v>
      </c>
      <c r="E952" s="1">
        <v>360799</v>
      </c>
      <c r="F952" s="1" t="s">
        <v>27</v>
      </c>
      <c r="G952" s="11">
        <v>45281</v>
      </c>
      <c r="H952" s="11" t="s">
        <v>28</v>
      </c>
      <c r="I952" s="2" t="s">
        <v>4717</v>
      </c>
      <c r="J952" s="2" t="s">
        <v>3548</v>
      </c>
      <c r="K952" s="12">
        <v>0.041666666667879326</v>
      </c>
      <c r="L952" s="12">
        <v>0.055555555554747116</v>
      </c>
      <c r="M952" s="13">
        <f>CRF_3[[#This Row],[Time Spent on Configuration]]+CRF_3[[#This Row],[Time Spent on Review/Testing]]</f>
        <v>NaN</v>
      </c>
      <c r="O952" s="1" t="s">
        <v>41</v>
      </c>
      <c r="P952" s="1" t="s">
        <v>32</v>
      </c>
      <c r="Q952" s="1" t="s">
        <v>484</v>
      </c>
      <c r="R952" s="11">
        <v>45281</v>
      </c>
      <c r="S952" s="1">
        <v>5</v>
      </c>
      <c r="U952" s="48"/>
    </row>
    <row r="953" spans="1:21" x14ac:dyDescent="0.25">
      <c r="A953" s="53" t="s">
        <v>3733</v>
      </c>
      <c r="B953" s="1">
        <v>2023</v>
      </c>
      <c r="C953" s="2" t="s">
        <v>223</v>
      </c>
      <c r="D953" s="1" t="s">
        <v>186</v>
      </c>
      <c r="E953" s="1">
        <v>352963</v>
      </c>
      <c r="F953" s="1" t="s">
        <v>37</v>
      </c>
      <c r="G953" s="11">
        <v>45281</v>
      </c>
      <c r="H953" s="11" t="s">
        <v>38</v>
      </c>
      <c r="I953" s="2" t="s">
        <v>3549</v>
      </c>
      <c r="J953" s="2" t="s">
        <v>3550</v>
      </c>
      <c r="K953" s="12">
        <v>0.0625</v>
      </c>
      <c r="L953" s="12">
        <v>0.04513888889050577</v>
      </c>
      <c r="M953" s="13">
        <f>CRF_3[[#This Row],[Time Spent on Configuration]]+CRF_3[[#This Row],[Time Spent on Review/Testing]]</f>
        <v>NaN</v>
      </c>
      <c r="O953" s="1" t="s">
        <v>31</v>
      </c>
      <c r="P953" s="1" t="s">
        <v>483</v>
      </c>
      <c r="Q953" s="1" t="s">
        <v>488</v>
      </c>
      <c r="R953" s="11">
        <v>45281</v>
      </c>
      <c r="S953" s="1">
        <v>5</v>
      </c>
      <c r="U953" s="48"/>
    </row>
    <row r="954" spans="1:21" x14ac:dyDescent="0.25">
      <c r="A954" s="53" t="s">
        <v>3733</v>
      </c>
      <c r="B954" s="1">
        <v>2023</v>
      </c>
      <c r="C954" s="2" t="s">
        <v>260</v>
      </c>
      <c r="D954" s="1" t="s">
        <v>261</v>
      </c>
      <c r="E954" s="1">
        <v>361021</v>
      </c>
      <c r="F954" s="1" t="s">
        <v>37</v>
      </c>
      <c r="G954" s="11">
        <v>45283</v>
      </c>
      <c r="H954" s="11" t="s">
        <v>38</v>
      </c>
      <c r="I954" s="2" t="s">
        <v>4718</v>
      </c>
      <c r="J954" s="2" t="s">
        <v>4719</v>
      </c>
      <c r="K954" s="12">
        <v>0.013888888890505768</v>
      </c>
      <c r="L954" s="12">
        <v>0.020833333332120674</v>
      </c>
      <c r="M954" s="13">
        <f>CRF_3[[#This Row],[Time Spent on Configuration]]+CRF_3[[#This Row],[Time Spent on Review/Testing]]</f>
        <v>NaN</v>
      </c>
      <c r="O954" s="1" t="s">
        <v>31</v>
      </c>
      <c r="P954" s="1" t="s">
        <v>483</v>
      </c>
      <c r="Q954" s="1" t="s">
        <v>42</v>
      </c>
      <c r="R954" s="11">
        <v>45282</v>
      </c>
      <c r="S954" s="1">
        <v>5</v>
      </c>
      <c r="U954" s="48"/>
    </row>
    <row r="955" spans="1:21" x14ac:dyDescent="0.25">
      <c r="A955" s="53" t="s">
        <v>3733</v>
      </c>
      <c r="B955" s="1">
        <v>2023</v>
      </c>
      <c r="C955" s="2" t="s">
        <v>43</v>
      </c>
      <c r="D955" s="1" t="s">
        <v>44</v>
      </c>
      <c r="E955" s="1">
        <v>360997</v>
      </c>
      <c r="F955" s="1" t="s">
        <v>27</v>
      </c>
      <c r="G955" s="11">
        <v>45286</v>
      </c>
      <c r="H955" s="11" t="s">
        <v>507</v>
      </c>
      <c r="I955" s="2" t="s">
        <v>3555</v>
      </c>
      <c r="J955" s="2" t="s">
        <v>3556</v>
      </c>
      <c r="K955" s="12">
        <v>0.013888888890505768</v>
      </c>
      <c r="L955" s="12">
        <v>0.020833333332120674</v>
      </c>
      <c r="M955" s="13">
        <f>CRF_3[[#This Row],[Time Spent on Configuration]]+CRF_3[[#This Row],[Time Spent on Review/Testing]]</f>
        <v>NaN</v>
      </c>
      <c r="O955" s="1" t="s">
        <v>31</v>
      </c>
      <c r="P955" s="1" t="s">
        <v>483</v>
      </c>
      <c r="Q955" s="1" t="s">
        <v>42</v>
      </c>
      <c r="R955" s="11">
        <v>45286</v>
      </c>
      <c r="S955" s="1">
        <v>5</v>
      </c>
      <c r="U955" s="48"/>
    </row>
    <row r="956" ht="30" customHeight="1" spans="1:21" x14ac:dyDescent="0.25">
      <c r="A956" s="53" t="s">
        <v>3733</v>
      </c>
      <c r="B956" s="1">
        <v>2023</v>
      </c>
      <c r="C956" s="2" t="s">
        <v>537</v>
      </c>
      <c r="D956" s="1" t="s">
        <v>229</v>
      </c>
      <c r="E956" s="1">
        <v>360723</v>
      </c>
      <c r="F956" s="1" t="s">
        <v>37</v>
      </c>
      <c r="G956" s="11">
        <v>45286</v>
      </c>
      <c r="H956" s="11" t="s">
        <v>670</v>
      </c>
      <c r="I956" s="2" t="s">
        <v>4720</v>
      </c>
      <c r="J956" s="2" t="s">
        <v>4721</v>
      </c>
      <c r="K956" s="12">
        <v>0.013888888890505768</v>
      </c>
      <c r="L956" s="12">
        <v>0.020833333332120674</v>
      </c>
      <c r="M956" s="13">
        <f>CRF_3[[#This Row],[Time Spent on Configuration]]+CRF_3[[#This Row],[Time Spent on Review/Testing]]</f>
        <v>NaN</v>
      </c>
      <c r="O956" s="1" t="s">
        <v>31</v>
      </c>
      <c r="P956" s="1" t="s">
        <v>483</v>
      </c>
      <c r="Q956" s="1" t="s">
        <v>42</v>
      </c>
      <c r="R956" s="11">
        <v>45286</v>
      </c>
      <c r="S956" s="1">
        <v>5</v>
      </c>
      <c r="U956" s="48"/>
    </row>
    <row r="957" spans="1:21" x14ac:dyDescent="0.25">
      <c r="A957" s="1" t="s">
        <v>3733</v>
      </c>
      <c r="B957" s="1">
        <v>2023</v>
      </c>
      <c r="C957" s="2" t="s">
        <v>3446</v>
      </c>
      <c r="D957" s="1" t="s">
        <v>25</v>
      </c>
      <c r="E957" s="1">
        <v>361481</v>
      </c>
      <c r="F957" s="1" t="s">
        <v>27</v>
      </c>
      <c r="G957" s="11">
        <v>45288</v>
      </c>
      <c r="H957" s="11" t="s">
        <v>96</v>
      </c>
      <c r="I957" s="2" t="s">
        <v>3561</v>
      </c>
      <c r="J957" s="2" t="s">
        <v>3562</v>
      </c>
      <c r="K957" s="12">
        <v>0.013888888890505768</v>
      </c>
      <c r="L957" s="12">
        <v>0.03125</v>
      </c>
      <c r="M957" s="13">
        <f>CRF_3[[#This Row],[Time Spent on Configuration]]+CRF_3[[#This Row],[Time Spent on Review/Testing]]</f>
        <v>NaN</v>
      </c>
      <c r="O957" s="1" t="s">
        <v>32</v>
      </c>
      <c r="P957" s="1" t="s">
        <v>483</v>
      </c>
      <c r="Q957" s="1" t="s">
        <v>42</v>
      </c>
      <c r="R957" s="11">
        <v>45288</v>
      </c>
      <c r="S957" s="1">
        <v>5</v>
      </c>
      <c r="U957" s="48"/>
    </row>
    <row r="958" spans="1:21" x14ac:dyDescent="0.25">
      <c r="A958" s="1" t="s">
        <v>3733</v>
      </c>
      <c r="B958" s="1">
        <v>2023</v>
      </c>
      <c r="C958" s="2" t="s">
        <v>545</v>
      </c>
      <c r="D958" s="1" t="s">
        <v>546</v>
      </c>
      <c r="E958" s="1">
        <v>361471</v>
      </c>
      <c r="F958" s="1" t="s">
        <v>27</v>
      </c>
      <c r="G958" s="11">
        <v>45289</v>
      </c>
      <c r="H958" s="11" t="s">
        <v>507</v>
      </c>
      <c r="I958" s="2" t="s">
        <v>3564</v>
      </c>
      <c r="J958" s="2" t="s">
        <v>3565</v>
      </c>
      <c r="K958" s="12">
        <v>0.013888888890505768</v>
      </c>
      <c r="L958" s="12">
        <v>0.020833333332120674</v>
      </c>
      <c r="M958" s="13">
        <f>CRF_3[[#This Row],[Time Spent on Configuration]]+CRF_3[[#This Row],[Time Spent on Review/Testing]]</f>
        <v>NaN</v>
      </c>
      <c r="O958" s="1" t="s">
        <v>483</v>
      </c>
      <c r="P958" s="1" t="s">
        <v>32</v>
      </c>
      <c r="Q958" s="1" t="s">
        <v>484</v>
      </c>
      <c r="R958" s="11">
        <v>45289</v>
      </c>
      <c r="S958" s="1">
        <v>5</v>
      </c>
      <c r="U958" s="48"/>
    </row>
    <row r="959" ht="90" customHeight="1" spans="1:21" x14ac:dyDescent="0.25">
      <c r="A959" s="1" t="s">
        <v>3733</v>
      </c>
      <c r="B959" s="1">
        <v>2023</v>
      </c>
      <c r="C959" s="2" t="s">
        <v>545</v>
      </c>
      <c r="D959" s="1" t="s">
        <v>546</v>
      </c>
      <c r="E959" s="1">
        <v>359204</v>
      </c>
      <c r="F959" s="1" t="s">
        <v>37</v>
      </c>
      <c r="G959" s="11">
        <v>45289</v>
      </c>
      <c r="H959" s="11" t="s">
        <v>3842</v>
      </c>
      <c r="I959" s="2" t="s">
        <v>4722</v>
      </c>
      <c r="J959" s="2" t="s">
        <v>3568</v>
      </c>
      <c r="K959" s="12">
        <v>0.020833333332120674</v>
      </c>
      <c r="L959" s="12">
        <v>0.041666666667879326</v>
      </c>
      <c r="M959" s="13">
        <f>CRF_3[[#This Row],[Time Spent on Configuration]]+CRF_3[[#This Row],[Time Spent on Review/Testing]]</f>
        <v>NaN</v>
      </c>
      <c r="O959" s="1" t="s">
        <v>32</v>
      </c>
      <c r="P959" s="1" t="s">
        <v>483</v>
      </c>
      <c r="Q959" s="1" t="s">
        <v>484</v>
      </c>
      <c r="R959" s="11">
        <v>45289</v>
      </c>
      <c r="S959" s="1">
        <v>5</v>
      </c>
      <c r="U959" s="48"/>
    </row>
    <row r="960" ht="90" customHeight="1" spans="1:21" x14ac:dyDescent="0.25">
      <c r="A960" s="1" t="s">
        <v>3576</v>
      </c>
      <c r="B960" s="1">
        <v>2024</v>
      </c>
      <c r="C960" s="2" t="s">
        <v>479</v>
      </c>
      <c r="D960" s="1" t="s">
        <v>25</v>
      </c>
      <c r="E960" s="1">
        <v>361516</v>
      </c>
      <c r="F960" s="1" t="s">
        <v>37</v>
      </c>
      <c r="G960" s="11">
        <v>45293</v>
      </c>
      <c r="H960" s="11" t="s">
        <v>28</v>
      </c>
      <c r="I960" s="2" t="s">
        <v>3747</v>
      </c>
      <c r="J960" s="2" t="s">
        <v>3748</v>
      </c>
      <c r="K960" s="12">
        <v>0.04513888889050577</v>
      </c>
      <c r="L960" s="12">
        <v>0.055555555554747116</v>
      </c>
      <c r="M960" s="13">
        <f>CRF_3[[#This Row],[Time Spent on Configuration]]+CRF_3[[#This Row],[Time Spent on Review/Testing]]</f>
        <v>NaN</v>
      </c>
      <c r="O960" s="1" t="s">
        <v>31</v>
      </c>
      <c r="P960" s="1" t="s">
        <v>483</v>
      </c>
      <c r="Q960" s="1" t="s">
        <v>484</v>
      </c>
      <c r="R960" s="11">
        <v>45293</v>
      </c>
      <c r="S960" s="1">
        <v>5</v>
      </c>
      <c r="U960" s="48"/>
    </row>
    <row r="961" spans="1:21" x14ac:dyDescent="0.25">
      <c r="A961" s="1" t="s">
        <v>3576</v>
      </c>
      <c r="B961" s="1">
        <v>2024</v>
      </c>
      <c r="C961" s="2" t="s">
        <v>283</v>
      </c>
      <c r="D961" s="1" t="s">
        <v>25</v>
      </c>
      <c r="E961" s="1">
        <v>360708</v>
      </c>
      <c r="F961" s="1" t="s">
        <v>37</v>
      </c>
      <c r="G961" s="11">
        <v>45294</v>
      </c>
      <c r="H961" s="11" t="s">
        <v>133</v>
      </c>
      <c r="I961" s="2" t="s">
        <v>486</v>
      </c>
      <c r="J961" s="2" t="s">
        <v>487</v>
      </c>
      <c r="K961" s="12">
        <v>0.020833333332120674</v>
      </c>
      <c r="L961" s="12">
        <v>0.03472222222262644</v>
      </c>
      <c r="M961" s="13">
        <f>CRF_3[[#This Row],[Time Spent on Configuration]]+CRF_3[[#This Row],[Time Spent on Review/Testing]]</f>
        <v>NaN</v>
      </c>
      <c r="O961" s="1" t="s">
        <v>54</v>
      </c>
      <c r="P961" s="1" t="s">
        <v>32</v>
      </c>
      <c r="Q961" s="1" t="s">
        <v>488</v>
      </c>
      <c r="R961" s="11">
        <v>45294</v>
      </c>
      <c r="S961" s="1">
        <v>5</v>
      </c>
      <c r="U961" s="48"/>
    </row>
    <row r="962" spans="1:21" x14ac:dyDescent="0.25">
      <c r="A962" s="1" t="s">
        <v>3576</v>
      </c>
      <c r="B962" s="1">
        <v>2024</v>
      </c>
      <c r="C962" s="2" t="s">
        <v>489</v>
      </c>
      <c r="D962" s="1" t="s">
        <v>490</v>
      </c>
      <c r="E962" s="1">
        <v>361513</v>
      </c>
      <c r="F962" s="1" t="s">
        <v>27</v>
      </c>
      <c r="G962" s="11">
        <v>45294</v>
      </c>
      <c r="H962" s="11" t="s">
        <v>28</v>
      </c>
      <c r="I962" s="2" t="s">
        <v>492</v>
      </c>
      <c r="J962" s="2" t="s">
        <v>493</v>
      </c>
      <c r="K962" s="12">
        <v>0.020833333332120674</v>
      </c>
      <c r="L962" s="12">
        <v>0.04861111110949423</v>
      </c>
      <c r="M962" s="13">
        <f>CRF_3[[#This Row],[Time Spent on Configuration]]+CRF_3[[#This Row],[Time Spent on Review/Testing]]</f>
        <v>NaN</v>
      </c>
      <c r="O962" s="1" t="s">
        <v>483</v>
      </c>
      <c r="P962" s="1" t="s">
        <v>32</v>
      </c>
      <c r="Q962" s="1" t="s">
        <v>42</v>
      </c>
      <c r="R962" s="11">
        <v>45294</v>
      </c>
      <c r="S962" s="1">
        <v>5</v>
      </c>
      <c r="U962" s="48"/>
    </row>
    <row r="963" ht="30" customHeight="1" spans="1:21" x14ac:dyDescent="0.25">
      <c r="A963" s="1" t="s">
        <v>3576</v>
      </c>
      <c r="B963" s="1">
        <v>2024</v>
      </c>
      <c r="C963" s="2" t="s">
        <v>223</v>
      </c>
      <c r="D963" s="1" t="s">
        <v>186</v>
      </c>
      <c r="E963" s="1">
        <v>361759</v>
      </c>
      <c r="F963" s="1" t="s">
        <v>37</v>
      </c>
      <c r="G963" s="11">
        <v>45294</v>
      </c>
      <c r="H963" s="11" t="s">
        <v>74</v>
      </c>
      <c r="I963" s="2" t="s">
        <v>3749</v>
      </c>
      <c r="J963" s="2" t="s">
        <v>3750</v>
      </c>
      <c r="K963" s="12">
        <v>0.020833333332120674</v>
      </c>
      <c r="L963" s="12">
        <v>0.027777777777373558</v>
      </c>
      <c r="M963" s="13">
        <f>CRF_3[[#This Row],[Time Spent on Configuration]]+CRF_3[[#This Row],[Time Spent on Review/Testing]]</f>
        <v>NaN</v>
      </c>
      <c r="O963" s="1" t="s">
        <v>31</v>
      </c>
      <c r="P963" s="1" t="s">
        <v>483</v>
      </c>
      <c r="Q963" s="1" t="s">
        <v>488</v>
      </c>
      <c r="R963" s="11">
        <v>45294</v>
      </c>
      <c r="S963" s="1">
        <v>5</v>
      </c>
      <c r="U963" s="48"/>
    </row>
    <row r="964" ht="60" customHeight="1" spans="1:21" x14ac:dyDescent="0.25">
      <c r="A964" s="1" t="s">
        <v>3576</v>
      </c>
      <c r="B964" s="1">
        <v>2024</v>
      </c>
      <c r="C964" s="2" t="s">
        <v>48</v>
      </c>
      <c r="D964" s="1" t="s">
        <v>25</v>
      </c>
      <c r="E964" s="1">
        <v>361371</v>
      </c>
      <c r="F964" s="1" t="s">
        <v>37</v>
      </c>
      <c r="G964" s="11">
        <v>45294</v>
      </c>
      <c r="H964" s="11" t="s">
        <v>74</v>
      </c>
      <c r="I964" s="2" t="s">
        <v>3751</v>
      </c>
      <c r="J964" s="2" t="s">
        <v>499</v>
      </c>
      <c r="K964" s="12">
        <v>0.03125</v>
      </c>
      <c r="L964" s="12">
        <v>0.038194444445252884</v>
      </c>
      <c r="M964" s="13">
        <f>CRF_3[[#This Row],[Time Spent on Configuration]]+CRF_3[[#This Row],[Time Spent on Review/Testing]]</f>
        <v>NaN</v>
      </c>
      <c r="O964" s="1" t="s">
        <v>31</v>
      </c>
      <c r="P964" s="1" t="s">
        <v>483</v>
      </c>
      <c r="Q964" s="1" t="s">
        <v>488</v>
      </c>
      <c r="R964" s="11">
        <v>45294</v>
      </c>
      <c r="S964" s="1">
        <v>5</v>
      </c>
      <c r="U964" s="48"/>
    </row>
    <row r="965" spans="1:21" x14ac:dyDescent="0.25">
      <c r="A965" s="1" t="s">
        <v>3576</v>
      </c>
      <c r="B965" s="1">
        <v>2024</v>
      </c>
      <c r="C965" s="2" t="s">
        <v>99</v>
      </c>
      <c r="D965" s="1" t="s">
        <v>25</v>
      </c>
      <c r="E965" s="1">
        <v>362091</v>
      </c>
      <c r="F965" s="1" t="s">
        <v>27</v>
      </c>
      <c r="G965" s="11">
        <v>45295</v>
      </c>
      <c r="H965" s="11" t="s">
        <v>28</v>
      </c>
      <c r="I965" s="2" t="s">
        <v>501</v>
      </c>
      <c r="J965" s="2" t="s">
        <v>502</v>
      </c>
      <c r="K965" s="12">
        <v>0.020833333332120674</v>
      </c>
      <c r="L965" s="12">
        <v>0.0625</v>
      </c>
      <c r="M965" s="13">
        <f>CRF_3[[#This Row],[Time Spent on Configuration]]+CRF_3[[#This Row],[Time Spent on Review/Testing]]</f>
        <v>NaN</v>
      </c>
      <c r="O965" s="1" t="s">
        <v>41</v>
      </c>
      <c r="P965" s="1" t="s">
        <v>483</v>
      </c>
      <c r="Q965" s="1" t="s">
        <v>484</v>
      </c>
      <c r="R965" s="11">
        <v>45295</v>
      </c>
      <c r="S965" s="1">
        <v>5</v>
      </c>
      <c r="U965" s="48"/>
    </row>
    <row r="966" spans="1:21" x14ac:dyDescent="0.25">
      <c r="A966" s="1" t="s">
        <v>3576</v>
      </c>
      <c r="B966" s="1">
        <v>2024</v>
      </c>
      <c r="C966" s="2" t="s">
        <v>223</v>
      </c>
      <c r="D966" s="1" t="s">
        <v>186</v>
      </c>
      <c r="E966" s="1" t="s">
        <v>503</v>
      </c>
      <c r="F966" s="1" t="s">
        <v>37</v>
      </c>
      <c r="G966" s="11">
        <v>45295</v>
      </c>
      <c r="H966" s="11" t="s">
        <v>96</v>
      </c>
      <c r="I966" s="2" t="s">
        <v>504</v>
      </c>
      <c r="J966" s="2" t="s">
        <v>505</v>
      </c>
      <c r="K966" s="12">
        <v>0.020833333332120674</v>
      </c>
      <c r="L966" s="12"/>
      <c r="M966" s="13">
        <f>CRF_3[[#This Row],[Time Spent on Configuration]]+CRF_3[[#This Row],[Time Spent on Review/Testing]]</f>
        <v>NaN</v>
      </c>
      <c r="O966" s="1" t="s">
        <v>347</v>
      </c>
      <c r="P966" s="1" t="s">
        <v>503</v>
      </c>
      <c r="Q966" s="1" t="s">
        <v>117</v>
      </c>
      <c r="R966" s="11">
        <v>45295</v>
      </c>
      <c r="S966" s="1">
        <v>5</v>
      </c>
      <c r="U966" s="48"/>
    </row>
    <row r="967" ht="30" customHeight="1" spans="1:21" x14ac:dyDescent="0.25">
      <c r="A967" s="1" t="s">
        <v>3576</v>
      </c>
      <c r="B967" s="1">
        <v>2024</v>
      </c>
      <c r="C967" s="2" t="s">
        <v>2813</v>
      </c>
      <c r="D967" s="1" t="s">
        <v>25</v>
      </c>
      <c r="E967" s="1">
        <v>362349</v>
      </c>
      <c r="F967" s="1" t="s">
        <v>27</v>
      </c>
      <c r="G967" s="11">
        <v>45296</v>
      </c>
      <c r="H967" s="11" t="s">
        <v>507</v>
      </c>
      <c r="I967" s="2" t="s">
        <v>508</v>
      </c>
      <c r="J967" s="2" t="s">
        <v>3752</v>
      </c>
      <c r="K967" s="12">
        <v>0.013888888890505768</v>
      </c>
      <c r="L967" s="12">
        <v>0.020833333332120674</v>
      </c>
      <c r="M967" s="13">
        <f>CRF_3[[#This Row],[Time Spent on Configuration]]+CRF_3[[#This Row],[Time Spent on Review/Testing]]</f>
        <v>NaN</v>
      </c>
      <c r="O967" s="1" t="s">
        <v>483</v>
      </c>
      <c r="P967" s="1" t="s">
        <v>32</v>
      </c>
      <c r="Q967" s="1" t="s">
        <v>488</v>
      </c>
      <c r="R967" s="11">
        <v>45296</v>
      </c>
      <c r="S967" s="1">
        <v>5</v>
      </c>
      <c r="U967" s="48"/>
    </row>
    <row r="968" ht="165" customHeight="1" spans="1:21" x14ac:dyDescent="0.25">
      <c r="A968" s="1" t="s">
        <v>3576</v>
      </c>
      <c r="B968" s="1">
        <v>2024</v>
      </c>
      <c r="C968" s="2" t="s">
        <v>510</v>
      </c>
      <c r="D968" s="1" t="s">
        <v>25</v>
      </c>
      <c r="E968" s="1">
        <v>362208</v>
      </c>
      <c r="F968" s="1" t="s">
        <v>27</v>
      </c>
      <c r="G968" s="11">
        <v>45296</v>
      </c>
      <c r="H968" s="11" t="s">
        <v>28</v>
      </c>
      <c r="I968" s="2" t="s">
        <v>3753</v>
      </c>
      <c r="J968" s="2" t="s">
        <v>3753</v>
      </c>
      <c r="K968" s="13">
        <v>0.0625</v>
      </c>
      <c r="L968" s="12">
        <v>0.052083333332120674</v>
      </c>
      <c r="M968" s="13">
        <f>CRF_3[[#This Row],[Time Spent on Configuration]]+CRF_3[[#This Row],[Time Spent on Review/Testing]]</f>
        <v>NaN</v>
      </c>
      <c r="O968" s="1" t="s">
        <v>31</v>
      </c>
      <c r="P968" s="1" t="s">
        <v>483</v>
      </c>
      <c r="Q968" s="1" t="s">
        <v>488</v>
      </c>
      <c r="R968" s="11">
        <v>45296</v>
      </c>
      <c r="S968" s="1">
        <v>5</v>
      </c>
      <c r="U968" s="48"/>
    </row>
    <row r="969" spans="1:21" x14ac:dyDescent="0.25">
      <c r="A969" s="1" t="s">
        <v>3576</v>
      </c>
      <c r="B969" s="1">
        <v>2024</v>
      </c>
      <c r="C969" s="2" t="s">
        <v>247</v>
      </c>
      <c r="D969" s="1" t="s">
        <v>25</v>
      </c>
      <c r="E969" s="1">
        <v>362379</v>
      </c>
      <c r="F969" s="1" t="s">
        <v>27</v>
      </c>
      <c r="G969" s="11">
        <v>45296</v>
      </c>
      <c r="H969" s="11" t="s">
        <v>28</v>
      </c>
      <c r="I969" s="2" t="s">
        <v>3754</v>
      </c>
      <c r="J969" s="2" t="s">
        <v>3754</v>
      </c>
      <c r="K969" s="12">
        <v>0.024305555554747116</v>
      </c>
      <c r="L969" s="12">
        <v>0.038194444445252884</v>
      </c>
      <c r="M969" s="13">
        <f>CRF_3[[#This Row],[Time Spent on Configuration]]+CRF_3[[#This Row],[Time Spent on Review/Testing]]</f>
        <v>NaN</v>
      </c>
      <c r="O969" s="1" t="s">
        <v>31</v>
      </c>
      <c r="P969" s="1" t="s">
        <v>483</v>
      </c>
      <c r="Q969" s="1" t="s">
        <v>488</v>
      </c>
      <c r="R969" s="11">
        <v>45296</v>
      </c>
      <c r="S969" s="1">
        <v>5</v>
      </c>
      <c r="U969" s="48"/>
    </row>
    <row r="970" ht="75" customHeight="1" spans="1:21" x14ac:dyDescent="0.25">
      <c r="A970" s="1" t="s">
        <v>3576</v>
      </c>
      <c r="B970" s="1">
        <v>2024</v>
      </c>
      <c r="C970" s="2" t="s">
        <v>170</v>
      </c>
      <c r="D970" s="1" t="s">
        <v>25</v>
      </c>
      <c r="E970" s="1">
        <v>362162</v>
      </c>
      <c r="F970" s="1" t="s">
        <v>27</v>
      </c>
      <c r="G970" s="11">
        <v>44932</v>
      </c>
      <c r="H970" s="11" t="s">
        <v>28</v>
      </c>
      <c r="I970" s="2" t="s">
        <v>3755</v>
      </c>
      <c r="J970" s="39" t="s">
        <v>4723</v>
      </c>
      <c r="K970" s="12">
        <v>0.0625</v>
      </c>
      <c r="L970" s="12">
        <v>0.06597222222262644</v>
      </c>
      <c r="M970" s="13">
        <f>CRF_3[[#This Row],[Time Spent on Configuration]]+CRF_3[[#This Row],[Time Spent on Review/Testing]]</f>
        <v>NaN</v>
      </c>
      <c r="O970" s="1" t="s">
        <v>31</v>
      </c>
      <c r="P970" s="1" t="s">
        <v>483</v>
      </c>
      <c r="Q970" s="1" t="s">
        <v>42</v>
      </c>
      <c r="R970" s="11">
        <v>44932</v>
      </c>
      <c r="S970" s="1">
        <v>5</v>
      </c>
      <c r="U970" s="48"/>
    </row>
    <row r="971" ht="30" customHeight="1" spans="1:21" x14ac:dyDescent="0.25">
      <c r="A971" s="1" t="s">
        <v>3576</v>
      </c>
      <c r="B971" s="1">
        <v>2024</v>
      </c>
      <c r="C971" s="2" t="s">
        <v>43</v>
      </c>
      <c r="D971" s="1" t="s">
        <v>44</v>
      </c>
      <c r="E971" s="1">
        <v>363169</v>
      </c>
      <c r="F971" s="1" t="s">
        <v>27</v>
      </c>
      <c r="G971" s="11">
        <v>45303</v>
      </c>
      <c r="H971" s="11" t="s">
        <v>507</v>
      </c>
      <c r="I971" s="2" t="s">
        <v>520</v>
      </c>
      <c r="J971" s="2" t="s">
        <v>521</v>
      </c>
      <c r="K971" s="12">
        <v>0.013888888890505768</v>
      </c>
      <c r="L971" s="12">
        <v>0.03472222222262644</v>
      </c>
      <c r="M971" s="13">
        <f>CRF_3[[#This Row],[Time Spent on Configuration]]+CRF_3[[#This Row],[Time Spent on Review/Testing]]</f>
        <v>NaN</v>
      </c>
      <c r="O971" s="1" t="s">
        <v>32</v>
      </c>
      <c r="P971" s="1" t="s">
        <v>483</v>
      </c>
      <c r="Q971" s="1" t="s">
        <v>484</v>
      </c>
      <c r="R971" s="11">
        <v>45303</v>
      </c>
      <c r="S971" s="1">
        <v>5</v>
      </c>
      <c r="U971" s="48"/>
    </row>
    <row r="972" ht="45" customHeight="1" spans="1:21" x14ac:dyDescent="0.25">
      <c r="A972" s="1" t="s">
        <v>3576</v>
      </c>
      <c r="B972" s="1">
        <v>2024</v>
      </c>
      <c r="C972" s="2" t="s">
        <v>283</v>
      </c>
      <c r="D972" s="1" t="s">
        <v>25</v>
      </c>
      <c r="E972" s="1">
        <v>354397</v>
      </c>
      <c r="F972" s="1" t="s">
        <v>27</v>
      </c>
      <c r="G972" s="11">
        <v>45303</v>
      </c>
      <c r="H972" s="11" t="s">
        <v>74</v>
      </c>
      <c r="I972" s="2" t="s">
        <v>3757</v>
      </c>
      <c r="J972" s="2" t="s">
        <v>3758</v>
      </c>
      <c r="K972" s="12">
        <v>0.024305555554747116</v>
      </c>
      <c r="L972" s="12">
        <v>0.027777777777373558</v>
      </c>
      <c r="M972" s="13">
        <f>CRF_3[[#This Row],[Time Spent on Configuration]]+CRF_3[[#This Row],[Time Spent on Review/Testing]]</f>
        <v>NaN</v>
      </c>
      <c r="O972" s="1" t="s">
        <v>31</v>
      </c>
      <c r="P972" s="1" t="s">
        <v>483</v>
      </c>
      <c r="Q972" s="1" t="s">
        <v>488</v>
      </c>
      <c r="R972" s="11">
        <v>45303</v>
      </c>
      <c r="S972" s="1">
        <v>5</v>
      </c>
      <c r="U972" s="48"/>
    </row>
    <row r="973" ht="30" customHeight="1" spans="1:21" x14ac:dyDescent="0.25">
      <c r="A973" s="1" t="s">
        <v>3576</v>
      </c>
      <c r="B973" s="1">
        <v>2024</v>
      </c>
      <c r="C973" s="2" t="s">
        <v>525</v>
      </c>
      <c r="D973" s="1" t="s">
        <v>25</v>
      </c>
      <c r="E973" s="1">
        <v>363096</v>
      </c>
      <c r="F973" s="1" t="s">
        <v>37</v>
      </c>
      <c r="G973" s="11">
        <v>45307</v>
      </c>
      <c r="H973" s="11" t="s">
        <v>28</v>
      </c>
      <c r="I973" s="2" t="s">
        <v>3759</v>
      </c>
      <c r="J973" s="2" t="s">
        <v>3760</v>
      </c>
      <c r="K973" s="12">
        <v>0.020833333332120674</v>
      </c>
      <c r="L973" s="12">
        <v>0.03472222222262644</v>
      </c>
      <c r="M973" s="13">
        <f>CRF_3[[#This Row],[Time Spent on Configuration]]+CRF_3[[#This Row],[Time Spent on Review/Testing]]</f>
        <v>NaN</v>
      </c>
      <c r="O973" s="1" t="s">
        <v>41</v>
      </c>
      <c r="P973" s="1" t="s">
        <v>32</v>
      </c>
      <c r="Q973" s="1" t="s">
        <v>484</v>
      </c>
      <c r="R973" s="11">
        <v>45307</v>
      </c>
      <c r="S973" s="1">
        <v>5</v>
      </c>
      <c r="U973" s="48"/>
    </row>
    <row r="974" ht="45" customHeight="1" spans="1:21" x14ac:dyDescent="0.25">
      <c r="A974" s="1" t="s">
        <v>3576</v>
      </c>
      <c r="B974" s="1">
        <v>2024</v>
      </c>
      <c r="C974" s="2" t="s">
        <v>529</v>
      </c>
      <c r="D974" s="1" t="s">
        <v>530</v>
      </c>
      <c r="E974" s="1">
        <v>363417</v>
      </c>
      <c r="F974" s="1" t="s">
        <v>37</v>
      </c>
      <c r="G974" s="11">
        <v>45309</v>
      </c>
      <c r="H974" s="11" t="s">
        <v>28</v>
      </c>
      <c r="I974" s="2" t="s">
        <v>3761</v>
      </c>
      <c r="J974" s="2" t="s">
        <v>3762</v>
      </c>
      <c r="K974" s="12">
        <v>0.020833333332120674</v>
      </c>
      <c r="L974" s="12">
        <v>0.04861111110949423</v>
      </c>
      <c r="M974" s="13">
        <f>CRF_3[[#This Row],[Time Spent on Configuration]]+CRF_3[[#This Row],[Time Spent on Review/Testing]]</f>
        <v>NaN</v>
      </c>
      <c r="O974" s="1" t="s">
        <v>41</v>
      </c>
      <c r="P974" s="1" t="s">
        <v>32</v>
      </c>
      <c r="Q974" s="1" t="s">
        <v>484</v>
      </c>
      <c r="R974" s="11">
        <v>45309</v>
      </c>
      <c r="S974" s="1">
        <v>5</v>
      </c>
      <c r="U974" s="48"/>
    </row>
    <row r="975" spans="1:21" x14ac:dyDescent="0.25">
      <c r="A975" s="1" t="s">
        <v>3576</v>
      </c>
      <c r="B975" s="1">
        <v>2024</v>
      </c>
      <c r="C975" s="2" t="s">
        <v>99</v>
      </c>
      <c r="D975" s="1" t="s">
        <v>25</v>
      </c>
      <c r="E975" s="1">
        <v>363627</v>
      </c>
      <c r="F975" s="1" t="s">
        <v>27</v>
      </c>
      <c r="G975" s="11">
        <v>45309</v>
      </c>
      <c r="H975" s="11" t="s">
        <v>28</v>
      </c>
      <c r="I975" s="2" t="s">
        <v>535</v>
      </c>
      <c r="J975" s="2" t="s">
        <v>536</v>
      </c>
      <c r="K975" s="12">
        <v>0.020833333332120674</v>
      </c>
      <c r="L975" s="12">
        <v>0.041666666667879326</v>
      </c>
      <c r="M975" s="13">
        <f>CRF_3[[#This Row],[Time Spent on Configuration]]+CRF_3[[#This Row],[Time Spent on Review/Testing]]</f>
        <v>NaN</v>
      </c>
      <c r="O975" s="1" t="s">
        <v>53</v>
      </c>
      <c r="P975" s="1" t="s">
        <v>32</v>
      </c>
      <c r="Q975" s="1" t="s">
        <v>484</v>
      </c>
      <c r="R975" s="11">
        <v>45309</v>
      </c>
      <c r="S975" s="1">
        <v>5</v>
      </c>
      <c r="U975" s="48"/>
    </row>
    <row r="976" ht="60" customHeight="1" spans="1:21" x14ac:dyDescent="0.25">
      <c r="A976" s="1" t="s">
        <v>3576</v>
      </c>
      <c r="B976" s="1">
        <v>2024</v>
      </c>
      <c r="C976" s="2" t="s">
        <v>537</v>
      </c>
      <c r="D976" s="1" t="s">
        <v>229</v>
      </c>
      <c r="E976" s="1">
        <v>362516</v>
      </c>
      <c r="F976" s="1" t="s">
        <v>27</v>
      </c>
      <c r="G976" s="11">
        <v>45309</v>
      </c>
      <c r="H976" s="11" t="s">
        <v>507</v>
      </c>
      <c r="I976" s="2" t="s">
        <v>3763</v>
      </c>
      <c r="J976" s="2" t="s">
        <v>3764</v>
      </c>
      <c r="K976" s="12">
        <v>0.020833333332120674</v>
      </c>
      <c r="L976" s="12">
        <v>0.027777777777373558</v>
      </c>
      <c r="M976" s="13">
        <f>CRF_3[[#This Row],[Time Spent on Configuration]]+CRF_3[[#This Row],[Time Spent on Review/Testing]]</f>
        <v>NaN</v>
      </c>
      <c r="O976" s="1" t="s">
        <v>53</v>
      </c>
      <c r="P976" s="1" t="s">
        <v>32</v>
      </c>
      <c r="Q976" s="1" t="s">
        <v>42</v>
      </c>
      <c r="R976" s="11">
        <v>45309</v>
      </c>
      <c r="S976" s="1">
        <v>5</v>
      </c>
      <c r="U976" s="48"/>
    </row>
    <row r="977" ht="75" customHeight="1" spans="1:21" x14ac:dyDescent="0.25">
      <c r="A977" s="1" t="s">
        <v>3576</v>
      </c>
      <c r="B977" s="1">
        <v>2024</v>
      </c>
      <c r="C977" s="2" t="s">
        <v>199</v>
      </c>
      <c r="D977" s="1" t="s">
        <v>541</v>
      </c>
      <c r="E977" s="1">
        <v>361348</v>
      </c>
      <c r="F977" s="1" t="s">
        <v>37</v>
      </c>
      <c r="G977" s="11">
        <v>45314</v>
      </c>
      <c r="H977" s="11" t="s">
        <v>96</v>
      </c>
      <c r="I977" s="2" t="s">
        <v>3765</v>
      </c>
      <c r="J977" s="2" t="s">
        <v>3766</v>
      </c>
      <c r="K977" s="12">
        <v>0.020833333332120674</v>
      </c>
      <c r="L977" s="12"/>
      <c r="M977" s="13">
        <f>CRF_3[[#This Row],[Time Spent on Configuration]]+CRF_3[[#This Row],[Time Spent on Review/Testing]]</f>
        <v>NaN</v>
      </c>
      <c r="O977" s="1" t="s">
        <v>31</v>
      </c>
      <c r="Q977" s="1" t="s">
        <v>488</v>
      </c>
      <c r="R977" s="11">
        <v>45314</v>
      </c>
      <c r="S977" s="1">
        <v>5</v>
      </c>
      <c r="U977" s="48"/>
    </row>
    <row r="978" ht="30" customHeight="1" spans="1:21" x14ac:dyDescent="0.25">
      <c r="A978" s="1" t="s">
        <v>3576</v>
      </c>
      <c r="B978" s="1">
        <v>2024</v>
      </c>
      <c r="C978" s="2" t="s">
        <v>545</v>
      </c>
      <c r="D978" s="1" t="s">
        <v>546</v>
      </c>
      <c r="E978" s="1">
        <v>364294</v>
      </c>
      <c r="F978" s="1" t="s">
        <v>37</v>
      </c>
      <c r="G978" s="11">
        <v>45314</v>
      </c>
      <c r="H978" s="11" t="s">
        <v>38</v>
      </c>
      <c r="I978" s="2" t="s">
        <v>548</v>
      </c>
      <c r="J978" s="2" t="s">
        <v>549</v>
      </c>
      <c r="K978" s="12">
        <v>0.04513888889050577</v>
      </c>
      <c r="L978" s="12">
        <v>0.03472222222262644</v>
      </c>
      <c r="M978" s="13">
        <f>CRF_3[[#This Row],[Time Spent on Configuration]]+CRF_3[[#This Row],[Time Spent on Review/Testing]]</f>
        <v>NaN</v>
      </c>
      <c r="O978" s="1" t="s">
        <v>31</v>
      </c>
      <c r="P978" s="1" t="s">
        <v>483</v>
      </c>
      <c r="Q978" s="1" t="s">
        <v>484</v>
      </c>
      <c r="R978" s="11">
        <v>45314</v>
      </c>
      <c r="S978" s="1">
        <v>5</v>
      </c>
      <c r="U978" s="48"/>
    </row>
    <row r="979" ht="120" customHeight="1" spans="1:21" x14ac:dyDescent="0.25">
      <c r="A979" s="1" t="s">
        <v>3576</v>
      </c>
      <c r="B979" s="1">
        <v>2024</v>
      </c>
      <c r="C979" s="2" t="s">
        <v>163</v>
      </c>
      <c r="D979" s="1" t="s">
        <v>25</v>
      </c>
      <c r="E979" s="1">
        <v>363021</v>
      </c>
      <c r="F979" s="1" t="s">
        <v>37</v>
      </c>
      <c r="G979" s="11">
        <v>45310</v>
      </c>
      <c r="H979" s="11" t="s">
        <v>38</v>
      </c>
      <c r="I979" s="2" t="s">
        <v>3767</v>
      </c>
      <c r="J979" s="2" t="s">
        <v>3767</v>
      </c>
      <c r="K979" s="12">
        <v>0.04513888889050577</v>
      </c>
      <c r="L979" s="12"/>
      <c r="M979" s="13">
        <f>CRF_3[[#This Row],[Time Spent on Configuration]]+CRF_3[[#This Row],[Time Spent on Review/Testing]]</f>
        <v>NaN</v>
      </c>
      <c r="O979" s="1" t="s">
        <v>31</v>
      </c>
      <c r="Q979" s="1" t="s">
        <v>488</v>
      </c>
      <c r="R979" s="11">
        <v>45315</v>
      </c>
      <c r="S979" s="1">
        <v>5</v>
      </c>
      <c r="U979" s="48"/>
    </row>
    <row r="980" ht="45" customHeight="1" spans="1:21" x14ac:dyDescent="0.25">
      <c r="A980" s="1" t="s">
        <v>3576</v>
      </c>
      <c r="B980" s="1">
        <v>2024</v>
      </c>
      <c r="C980" s="2" t="s">
        <v>48</v>
      </c>
      <c r="D980" s="1" t="s">
        <v>25</v>
      </c>
      <c r="E980" s="1">
        <v>364837</v>
      </c>
      <c r="F980" s="1" t="s">
        <v>27</v>
      </c>
      <c r="G980" s="11">
        <v>45320</v>
      </c>
      <c r="H980" s="11" t="s">
        <v>38</v>
      </c>
      <c r="I980" s="2" t="s">
        <v>3768</v>
      </c>
      <c r="J980" s="2" t="s">
        <v>3768</v>
      </c>
      <c r="K980" s="12">
        <v>0.020833333332120674</v>
      </c>
      <c r="L980" s="12">
        <v>0.027777777777373558</v>
      </c>
      <c r="M980" s="13">
        <f>CRF_3[[#This Row],[Time Spent on Configuration]]+CRF_3[[#This Row],[Time Spent on Review/Testing]]</f>
        <v>NaN</v>
      </c>
      <c r="O980" s="1" t="s">
        <v>31</v>
      </c>
      <c r="P980" s="1" t="s">
        <v>483</v>
      </c>
      <c r="Q980" s="1" t="s">
        <v>484</v>
      </c>
      <c r="R980" s="11">
        <v>45320</v>
      </c>
      <c r="S980" s="1">
        <v>5</v>
      </c>
      <c r="U980" s="48"/>
    </row>
    <row r="981" ht="75" customHeight="1" spans="1:21" x14ac:dyDescent="0.25">
      <c r="A981" s="1" t="s">
        <v>3576</v>
      </c>
      <c r="B981" s="1">
        <v>2024</v>
      </c>
      <c r="C981" s="2" t="s">
        <v>286</v>
      </c>
      <c r="D981" s="1" t="s">
        <v>287</v>
      </c>
      <c r="E981" s="1">
        <v>364449</v>
      </c>
      <c r="F981" s="1" t="s">
        <v>37</v>
      </c>
      <c r="G981" s="11">
        <v>45320</v>
      </c>
      <c r="H981" s="11" t="s">
        <v>38</v>
      </c>
      <c r="I981" s="2" t="s">
        <v>3769</v>
      </c>
      <c r="J981" s="2" t="s">
        <v>3770</v>
      </c>
      <c r="K981" s="12">
        <v>0.020833333332120674</v>
      </c>
      <c r="L981" s="12">
        <v>0.03125</v>
      </c>
      <c r="M981" s="13">
        <f>CRF_3[[#This Row],[Time Spent on Configuration]]+CRF_3[[#This Row],[Time Spent on Review/Testing]]</f>
        <v>NaN</v>
      </c>
      <c r="O981" s="1" t="s">
        <v>31</v>
      </c>
      <c r="P981" s="1" t="s">
        <v>483</v>
      </c>
      <c r="Q981" s="1" t="s">
        <v>484</v>
      </c>
      <c r="R981" s="11">
        <v>45320</v>
      </c>
      <c r="S981" s="1">
        <v>5</v>
      </c>
      <c r="U981" s="48"/>
    </row>
    <row r="982" ht="75" customHeight="1" spans="1:21" x14ac:dyDescent="0.25">
      <c r="A982" s="1" t="s">
        <v>3576</v>
      </c>
      <c r="B982" s="1">
        <v>2024</v>
      </c>
      <c r="C982" s="2" t="s">
        <v>118</v>
      </c>
      <c r="D982" s="1" t="s">
        <v>25</v>
      </c>
      <c r="E982" s="1">
        <v>364829</v>
      </c>
      <c r="F982" s="1" t="s">
        <v>37</v>
      </c>
      <c r="G982" s="11">
        <v>45321</v>
      </c>
      <c r="H982" s="11" t="s">
        <v>38</v>
      </c>
      <c r="I982" s="2" t="s">
        <v>3771</v>
      </c>
      <c r="J982" s="2" t="s">
        <v>3771</v>
      </c>
      <c r="K982" s="12">
        <v>0.020833333332120674</v>
      </c>
      <c r="L982" s="12">
        <v>0.03472222222262644</v>
      </c>
      <c r="M982" s="13">
        <f>CRF_3[[#This Row],[Time Spent on Configuration]]+CRF_3[[#This Row],[Time Spent on Review/Testing]]</f>
        <v>NaN</v>
      </c>
      <c r="O982" s="1" t="s">
        <v>31</v>
      </c>
      <c r="P982" s="1" t="s">
        <v>483</v>
      </c>
      <c r="Q982" s="1" t="s">
        <v>484</v>
      </c>
      <c r="R982" s="11">
        <v>45321</v>
      </c>
      <c r="S982" s="1">
        <v>5</v>
      </c>
      <c r="U982" s="48"/>
    </row>
    <row r="983" spans="1:21" x14ac:dyDescent="0.25">
      <c r="A983" s="1" t="s">
        <v>3594</v>
      </c>
      <c r="B983" s="1">
        <v>2024</v>
      </c>
      <c r="C983" s="2" t="s">
        <v>35</v>
      </c>
      <c r="D983" s="1" t="s">
        <v>25</v>
      </c>
      <c r="E983" s="1">
        <v>365082</v>
      </c>
      <c r="F983" s="1" t="s">
        <v>37</v>
      </c>
      <c r="G983" s="11">
        <v>45323</v>
      </c>
      <c r="H983" s="11" t="s">
        <v>38</v>
      </c>
      <c r="I983" s="2" t="s">
        <v>561</v>
      </c>
      <c r="J983" s="2" t="s">
        <v>562</v>
      </c>
      <c r="K983" s="12">
        <v>0.020833333332120674</v>
      </c>
      <c r="L983" s="12">
        <v>0.027777777777373558</v>
      </c>
      <c r="M983" s="13">
        <f>CRF_3[[#This Row],[Time Spent on Configuration]]+CRF_3[[#This Row],[Time Spent on Review/Testing]]</f>
        <v>NaN</v>
      </c>
      <c r="O983" s="1" t="s">
        <v>31</v>
      </c>
      <c r="P983" s="1" t="s">
        <v>483</v>
      </c>
      <c r="Q983" s="1" t="s">
        <v>42</v>
      </c>
      <c r="R983" s="11">
        <v>45323</v>
      </c>
      <c r="S983" s="1">
        <v>5</v>
      </c>
      <c r="U983" s="48"/>
    </row>
    <row r="984" spans="1:21" x14ac:dyDescent="0.25">
      <c r="A984" s="1" t="s">
        <v>3594</v>
      </c>
      <c r="B984" s="1">
        <v>2024</v>
      </c>
      <c r="C984" s="2" t="s">
        <v>170</v>
      </c>
      <c r="D984" s="1" t="s">
        <v>25</v>
      </c>
      <c r="E984" s="1">
        <v>362979</v>
      </c>
      <c r="F984" s="1" t="s">
        <v>37</v>
      </c>
      <c r="G984" s="11">
        <v>45323</v>
      </c>
      <c r="H984" s="11" t="s">
        <v>38</v>
      </c>
      <c r="I984" s="2" t="s">
        <v>3772</v>
      </c>
      <c r="J984" s="2" t="s">
        <v>3773</v>
      </c>
      <c r="K984" s="12">
        <v>0.006944444445252884</v>
      </c>
      <c r="L984" s="12">
        <v>0.020833333332120674</v>
      </c>
      <c r="M984" s="13">
        <f>CRF_3[[#This Row],[Time Spent on Configuration]]+CRF_3[[#This Row],[Time Spent on Review/Testing]]</f>
        <v>NaN</v>
      </c>
      <c r="O984" s="1" t="s">
        <v>31</v>
      </c>
      <c r="P984" s="1" t="s">
        <v>483</v>
      </c>
      <c r="Q984" s="1" t="s">
        <v>42</v>
      </c>
      <c r="R984" s="11">
        <v>45323</v>
      </c>
      <c r="S984" s="1">
        <v>5</v>
      </c>
      <c r="U984" s="48"/>
    </row>
    <row r="985" ht="30" customHeight="1" spans="1:21" x14ac:dyDescent="0.25">
      <c r="A985" s="1" t="s">
        <v>3594</v>
      </c>
      <c r="B985" s="1">
        <v>2024</v>
      </c>
      <c r="C985" s="2" t="s">
        <v>566</v>
      </c>
      <c r="D985" s="1" t="s">
        <v>567</v>
      </c>
      <c r="E985" s="1">
        <v>365457</v>
      </c>
      <c r="F985" s="1" t="s">
        <v>37</v>
      </c>
      <c r="G985" s="11">
        <v>45323</v>
      </c>
      <c r="H985" s="11" t="s">
        <v>38</v>
      </c>
      <c r="I985" s="2" t="s">
        <v>3774</v>
      </c>
      <c r="J985" s="2" t="s">
        <v>570</v>
      </c>
      <c r="K985" s="12">
        <v>0.013888888890505768</v>
      </c>
      <c r="L985" s="12">
        <v>0.027777777777373558</v>
      </c>
      <c r="M985" s="13">
        <f>CRF_3[[#This Row],[Time Spent on Configuration]]+CRF_3[[#This Row],[Time Spent on Review/Testing]]</f>
        <v>NaN</v>
      </c>
      <c r="O985" s="1" t="s">
        <v>41</v>
      </c>
      <c r="P985" s="1" t="s">
        <v>483</v>
      </c>
      <c r="Q985" s="1" t="s">
        <v>488</v>
      </c>
      <c r="R985" s="11">
        <v>45323</v>
      </c>
      <c r="S985" s="1">
        <v>5</v>
      </c>
      <c r="U985" s="48"/>
    </row>
    <row r="986" ht="75" customHeight="1" spans="1:21" x14ac:dyDescent="0.25">
      <c r="A986" s="1" t="s">
        <v>3594</v>
      </c>
      <c r="B986" s="1">
        <v>2024</v>
      </c>
      <c r="C986" s="2" t="s">
        <v>223</v>
      </c>
      <c r="D986" s="1" t="s">
        <v>186</v>
      </c>
      <c r="E986" s="1">
        <v>358560</v>
      </c>
      <c r="F986" s="1" t="s">
        <v>27</v>
      </c>
      <c r="G986" s="11">
        <v>45327</v>
      </c>
      <c r="H986" s="11" t="s">
        <v>38</v>
      </c>
      <c r="I986" s="2" t="s">
        <v>3775</v>
      </c>
      <c r="J986" s="2" t="s">
        <v>3776</v>
      </c>
      <c r="K986" s="12">
        <v>0.027777777777373558</v>
      </c>
      <c r="L986" s="12">
        <v>0.03472222222262644</v>
      </c>
      <c r="M986" s="13">
        <f>CRF_3[[#This Row],[Time Spent on Configuration]]+CRF_3[[#This Row],[Time Spent on Review/Testing]]</f>
        <v>NaN</v>
      </c>
      <c r="O986" s="1" t="s">
        <v>574</v>
      </c>
      <c r="P986" s="1" t="s">
        <v>483</v>
      </c>
      <c r="Q986" s="1" t="s">
        <v>488</v>
      </c>
      <c r="R986" s="11">
        <v>45327</v>
      </c>
      <c r="S986" s="1">
        <v>5</v>
      </c>
      <c r="U986" s="48"/>
    </row>
    <row r="987" ht="45" customHeight="1" spans="1:21" x14ac:dyDescent="0.25">
      <c r="A987" s="1" t="s">
        <v>3594</v>
      </c>
      <c r="B987" s="1">
        <v>2024</v>
      </c>
      <c r="C987" s="2" t="s">
        <v>529</v>
      </c>
      <c r="D987" s="1" t="s">
        <v>530</v>
      </c>
      <c r="E987" s="1">
        <v>365940</v>
      </c>
      <c r="F987" s="1" t="s">
        <v>27</v>
      </c>
      <c r="G987" s="11">
        <v>45329</v>
      </c>
      <c r="H987" s="11" t="s">
        <v>38</v>
      </c>
      <c r="I987" s="2" t="s">
        <v>3777</v>
      </c>
      <c r="J987" s="2" t="s">
        <v>577</v>
      </c>
      <c r="K987" s="12">
        <v>0.027777777777373558</v>
      </c>
      <c r="L987" s="12">
        <v>0.04513888889050577</v>
      </c>
      <c r="M987" s="13">
        <f>CRF_3[[#This Row],[Time Spent on Configuration]]+CRF_3[[#This Row],[Time Spent on Review/Testing]]</f>
        <v>NaN</v>
      </c>
      <c r="O987" s="1" t="s">
        <v>31</v>
      </c>
      <c r="P987" s="1" t="s">
        <v>483</v>
      </c>
      <c r="Q987" s="1" t="s">
        <v>488</v>
      </c>
      <c r="R987" s="11">
        <v>45329</v>
      </c>
      <c r="S987" s="1">
        <v>5</v>
      </c>
      <c r="U987" s="48"/>
    </row>
    <row r="988" ht="165" customHeight="1" spans="1:21" x14ac:dyDescent="0.25">
      <c r="A988" s="1" t="s">
        <v>3594</v>
      </c>
      <c r="B988" s="1">
        <v>2024</v>
      </c>
      <c r="C988" s="2" t="s">
        <v>247</v>
      </c>
      <c r="D988" s="1" t="s">
        <v>25</v>
      </c>
      <c r="E988" s="1">
        <v>366319</v>
      </c>
      <c r="F988" s="1" t="s">
        <v>37</v>
      </c>
      <c r="G988" s="11">
        <v>45331</v>
      </c>
      <c r="H988" s="11" t="s">
        <v>38</v>
      </c>
      <c r="I988" s="2" t="s">
        <v>3778</v>
      </c>
      <c r="J988" s="2" t="s">
        <v>580</v>
      </c>
      <c r="K988" s="12">
        <v>0.020833333332120674</v>
      </c>
      <c r="L988" s="12">
        <v>0.03472222222262644</v>
      </c>
      <c r="M988" s="13">
        <f>CRF_3[[#This Row],[Time Spent on Configuration]]+CRF_3[[#This Row],[Time Spent on Review/Testing]]</f>
        <v>NaN</v>
      </c>
      <c r="O988" s="1" t="s">
        <v>41</v>
      </c>
      <c r="P988" s="1" t="s">
        <v>483</v>
      </c>
      <c r="Q988" s="1" t="s">
        <v>488</v>
      </c>
      <c r="R988" s="11">
        <v>45331</v>
      </c>
      <c r="S988" s="1">
        <v>5</v>
      </c>
      <c r="U988" s="48"/>
    </row>
    <row r="989" spans="1:21" x14ac:dyDescent="0.25">
      <c r="A989" s="1" t="s">
        <v>3594</v>
      </c>
      <c r="B989" s="1">
        <v>2024</v>
      </c>
      <c r="C989" s="2" t="s">
        <v>259</v>
      </c>
      <c r="D989" s="1" t="s">
        <v>25</v>
      </c>
      <c r="E989" s="1">
        <v>366325</v>
      </c>
      <c r="F989" s="1" t="s">
        <v>27</v>
      </c>
      <c r="G989" s="11">
        <v>45334</v>
      </c>
      <c r="H989" s="11" t="s">
        <v>507</v>
      </c>
      <c r="I989" s="2" t="s">
        <v>582</v>
      </c>
      <c r="J989" s="2" t="s">
        <v>583</v>
      </c>
      <c r="K989" s="12">
        <v>0.013888888890505768</v>
      </c>
      <c r="L989" s="12">
        <v>0.03125</v>
      </c>
      <c r="M989" s="13">
        <f>CRF_3[[#This Row],[Time Spent on Configuration]]+CRF_3[[#This Row],[Time Spent on Review/Testing]]</f>
        <v>NaN</v>
      </c>
      <c r="O989" s="1" t="s">
        <v>32</v>
      </c>
      <c r="P989" s="1" t="s">
        <v>483</v>
      </c>
      <c r="Q989" s="1" t="s">
        <v>42</v>
      </c>
      <c r="R989" s="11">
        <v>45334</v>
      </c>
      <c r="S989" s="1">
        <v>5</v>
      </c>
      <c r="U989" s="48"/>
    </row>
    <row r="990" ht="45" customHeight="1" spans="1:21" x14ac:dyDescent="0.25">
      <c r="A990" s="1" t="s">
        <v>3594</v>
      </c>
      <c r="B990" s="1">
        <v>2024</v>
      </c>
      <c r="C990" s="2" t="s">
        <v>185</v>
      </c>
      <c r="D990" s="1" t="s">
        <v>186</v>
      </c>
      <c r="E990" s="1">
        <v>366335</v>
      </c>
      <c r="F990" s="1" t="s">
        <v>27</v>
      </c>
      <c r="G990" s="11">
        <v>45334</v>
      </c>
      <c r="H990" s="11" t="s">
        <v>507</v>
      </c>
      <c r="I990" s="2" t="s">
        <v>585</v>
      </c>
      <c r="J990" s="2" t="s">
        <v>3779</v>
      </c>
      <c r="K990" s="12">
        <v>0.020833333332120674</v>
      </c>
      <c r="L990" s="12">
        <v>0.03472222222262644</v>
      </c>
      <c r="M990" s="13">
        <f>CRF_3[[#This Row],[Time Spent on Configuration]]+CRF_3[[#This Row],[Time Spent on Review/Testing]]</f>
        <v>NaN</v>
      </c>
      <c r="O990" s="1" t="s">
        <v>32</v>
      </c>
      <c r="P990" s="1" t="s">
        <v>483</v>
      </c>
      <c r="Q990" s="1" t="s">
        <v>484</v>
      </c>
      <c r="R990" s="11">
        <v>45334</v>
      </c>
      <c r="S990" s="1">
        <v>5</v>
      </c>
      <c r="U990" s="48"/>
    </row>
    <row r="991" ht="45" customHeight="1" spans="1:21" x14ac:dyDescent="0.25">
      <c r="A991" s="1" t="s">
        <v>3594</v>
      </c>
      <c r="B991" s="1">
        <v>2024</v>
      </c>
      <c r="C991" s="2" t="s">
        <v>35</v>
      </c>
      <c r="D991" s="1" t="s">
        <v>25</v>
      </c>
      <c r="E991" s="1">
        <v>366316</v>
      </c>
      <c r="F991" s="1" t="s">
        <v>27</v>
      </c>
      <c r="G991" s="11">
        <v>45334</v>
      </c>
      <c r="H991" s="11" t="s">
        <v>38</v>
      </c>
      <c r="I991" s="2" t="s">
        <v>3780</v>
      </c>
      <c r="J991" s="2" t="s">
        <v>3780</v>
      </c>
      <c r="K991" s="12">
        <v>0.03472222222262644</v>
      </c>
      <c r="L991" s="12">
        <v>0.041666666667879326</v>
      </c>
      <c r="M991" s="13">
        <f>CRF_3[[#This Row],[Time Spent on Configuration]]+CRF_3[[#This Row],[Time Spent on Review/Testing]]</f>
        <v>NaN</v>
      </c>
      <c r="O991" s="1" t="s">
        <v>31</v>
      </c>
      <c r="P991" s="1" t="s">
        <v>32</v>
      </c>
      <c r="Q991" s="1" t="s">
        <v>42</v>
      </c>
      <c r="R991" s="11">
        <v>45334</v>
      </c>
      <c r="S991" s="1">
        <v>5</v>
      </c>
      <c r="U991" s="48"/>
    </row>
    <row r="992" ht="150" customHeight="1" spans="1:21" x14ac:dyDescent="0.25">
      <c r="A992" s="1" t="s">
        <v>3594</v>
      </c>
      <c r="B992" s="1">
        <v>2024</v>
      </c>
      <c r="C992" s="2" t="s">
        <v>247</v>
      </c>
      <c r="D992" s="1" t="s">
        <v>25</v>
      </c>
      <c r="E992" s="1">
        <v>366464</v>
      </c>
      <c r="F992" s="1" t="s">
        <v>27</v>
      </c>
      <c r="G992" s="11">
        <v>45335</v>
      </c>
      <c r="H992" s="11" t="s">
        <v>38</v>
      </c>
      <c r="I992" s="2" t="s">
        <v>3781</v>
      </c>
      <c r="J992" s="2" t="s">
        <v>3782</v>
      </c>
      <c r="K992" s="12">
        <v>0.027777777777373558</v>
      </c>
      <c r="L992" s="12">
        <v>0.04513888889050577</v>
      </c>
      <c r="M992" s="13">
        <f>CRF_3[[#This Row],[Time Spent on Configuration]]+CRF_3[[#This Row],[Time Spent on Review/Testing]]</f>
        <v>NaN</v>
      </c>
      <c r="O992" s="1" t="s">
        <v>32</v>
      </c>
      <c r="P992" s="1" t="s">
        <v>483</v>
      </c>
      <c r="Q992" s="1" t="s">
        <v>488</v>
      </c>
      <c r="R992" s="11">
        <v>45335</v>
      </c>
      <c r="S992" s="1">
        <v>5</v>
      </c>
      <c r="U992" s="48"/>
    </row>
    <row r="993" ht="45" customHeight="1" spans="1:21" x14ac:dyDescent="0.25">
      <c r="A993" s="1" t="s">
        <v>3594</v>
      </c>
      <c r="B993" s="1">
        <v>2024</v>
      </c>
      <c r="C993" s="2" t="s">
        <v>2813</v>
      </c>
      <c r="D993" s="1" t="s">
        <v>25</v>
      </c>
      <c r="E993" s="1">
        <v>366999</v>
      </c>
      <c r="F993" s="1" t="s">
        <v>27</v>
      </c>
      <c r="G993" s="11">
        <v>45339</v>
      </c>
      <c r="H993" s="11" t="s">
        <v>507</v>
      </c>
      <c r="I993" s="2" t="s">
        <v>3783</v>
      </c>
      <c r="J993" s="2" t="s">
        <v>594</v>
      </c>
      <c r="K993" s="12">
        <v>0.006944444445252884</v>
      </c>
      <c r="L993" s="12">
        <v>0.027777777777373558</v>
      </c>
      <c r="M993" s="13">
        <f>CRF_3[[#This Row],[Time Spent on Configuration]]+CRF_3[[#This Row],[Time Spent on Review/Testing]]</f>
        <v>NaN</v>
      </c>
      <c r="O993" s="1" t="s">
        <v>32</v>
      </c>
      <c r="P993" s="1" t="s">
        <v>483</v>
      </c>
      <c r="Q993" s="1" t="s">
        <v>488</v>
      </c>
      <c r="R993" s="11">
        <v>45339</v>
      </c>
      <c r="S993" s="1">
        <v>5</v>
      </c>
      <c r="U993" s="48"/>
    </row>
    <row r="994" spans="1:21" x14ac:dyDescent="0.25">
      <c r="A994" s="1" t="s">
        <v>3594</v>
      </c>
      <c r="B994" s="1">
        <v>2024</v>
      </c>
      <c r="C994" s="2" t="s">
        <v>286</v>
      </c>
      <c r="D994" s="1" t="s">
        <v>287</v>
      </c>
      <c r="E994" s="1">
        <v>367328</v>
      </c>
      <c r="F994" s="1" t="s">
        <v>37</v>
      </c>
      <c r="G994" s="11">
        <v>45344</v>
      </c>
      <c r="H994" s="11" t="s">
        <v>38</v>
      </c>
      <c r="I994" s="2" t="s">
        <v>3784</v>
      </c>
      <c r="J994" s="2" t="s">
        <v>597</v>
      </c>
      <c r="K994" s="12">
        <v>0.020833333332120674</v>
      </c>
      <c r="L994" s="12">
        <v>0.03125</v>
      </c>
      <c r="M994" s="13">
        <f>CRF_3[[#This Row],[Time Spent on Configuration]]+CRF_3[[#This Row],[Time Spent on Review/Testing]]</f>
        <v>NaN</v>
      </c>
      <c r="O994" s="1" t="s">
        <v>32</v>
      </c>
      <c r="P994" s="1" t="s">
        <v>41</v>
      </c>
      <c r="Q994" s="1" t="s">
        <v>484</v>
      </c>
      <c r="R994" s="11">
        <v>45344</v>
      </c>
      <c r="S994" s="1">
        <v>5</v>
      </c>
      <c r="U994" s="48"/>
    </row>
    <row r="995" ht="30" customHeight="1" spans="1:21" x14ac:dyDescent="0.25">
      <c r="A995" s="1" t="s">
        <v>3594</v>
      </c>
      <c r="B995" s="1">
        <v>2024</v>
      </c>
      <c r="C995" s="2" t="s">
        <v>48</v>
      </c>
      <c r="D995" s="1" t="s">
        <v>25</v>
      </c>
      <c r="E995" s="1">
        <v>366763</v>
      </c>
      <c r="F995" s="1" t="s">
        <v>27</v>
      </c>
      <c r="G995" s="11">
        <v>45344</v>
      </c>
      <c r="H995" s="11" t="s">
        <v>38</v>
      </c>
      <c r="I995" s="2" t="s">
        <v>3785</v>
      </c>
      <c r="J995" s="2" t="s">
        <v>3785</v>
      </c>
      <c r="K995" s="12">
        <v>0.041666666667879326</v>
      </c>
      <c r="L995" s="12">
        <v>0.04861111110949423</v>
      </c>
      <c r="M995" s="13">
        <f>CRF_3[[#This Row],[Time Spent on Configuration]]+CRF_3[[#This Row],[Time Spent on Review/Testing]]</f>
        <v>NaN</v>
      </c>
      <c r="O995" s="1" t="s">
        <v>31</v>
      </c>
      <c r="P995" s="1" t="s">
        <v>32</v>
      </c>
      <c r="Q995" s="1" t="s">
        <v>484</v>
      </c>
      <c r="R995" s="11">
        <v>45344</v>
      </c>
      <c r="S995" s="1">
        <v>5</v>
      </c>
      <c r="U995" s="48"/>
    </row>
    <row r="996" ht="270" customHeight="1" spans="1:21" x14ac:dyDescent="0.25">
      <c r="A996" s="1" t="s">
        <v>3594</v>
      </c>
      <c r="B996" s="1">
        <v>2024</v>
      </c>
      <c r="C996" s="2" t="s">
        <v>223</v>
      </c>
      <c r="D996" s="1" t="s">
        <v>186</v>
      </c>
      <c r="E996" s="1">
        <v>367057</v>
      </c>
      <c r="F996" s="1" t="s">
        <v>37</v>
      </c>
      <c r="G996" s="11">
        <v>45345</v>
      </c>
      <c r="H996" s="11" t="s">
        <v>38</v>
      </c>
      <c r="I996" s="2" t="s">
        <v>3786</v>
      </c>
      <c r="J996" s="2" t="s">
        <v>3787</v>
      </c>
      <c r="K996" s="12">
        <v>0.041666666667879326</v>
      </c>
      <c r="L996" s="12">
        <v>0.027777777777373558</v>
      </c>
      <c r="M996" s="13">
        <f>CRF_3[[#This Row],[Time Spent on Configuration]]+CRF_3[[#This Row],[Time Spent on Review/Testing]]</f>
        <v>NaN</v>
      </c>
      <c r="O996" s="1" t="s">
        <v>31</v>
      </c>
      <c r="P996" s="1" t="s">
        <v>483</v>
      </c>
      <c r="Q996" s="1" t="s">
        <v>488</v>
      </c>
      <c r="R996" s="11">
        <v>45348</v>
      </c>
      <c r="S996" s="1">
        <v>5</v>
      </c>
      <c r="U996" s="48"/>
    </row>
    <row r="997" spans="1:21" x14ac:dyDescent="0.25">
      <c r="A997" s="1" t="s">
        <v>3594</v>
      </c>
      <c r="B997" s="1">
        <v>2024</v>
      </c>
      <c r="C997" s="2" t="s">
        <v>260</v>
      </c>
      <c r="D997" s="1" t="s">
        <v>261</v>
      </c>
      <c r="E997" s="1">
        <v>367913</v>
      </c>
      <c r="F997" s="1" t="s">
        <v>37</v>
      </c>
      <c r="G997" s="11">
        <v>45349</v>
      </c>
      <c r="H997" s="11" t="s">
        <v>38</v>
      </c>
      <c r="I997" s="2" t="s">
        <v>604</v>
      </c>
      <c r="J997" s="2" t="s">
        <v>3788</v>
      </c>
      <c r="K997" s="12">
        <v>0.010416666667879326</v>
      </c>
      <c r="L997" s="12">
        <v>0.041666666667879326</v>
      </c>
      <c r="M997" s="13">
        <f>CRF_3[[#This Row],[Time Spent on Configuration]]+CRF_3[[#This Row],[Time Spent on Review/Testing]]</f>
        <v>NaN</v>
      </c>
      <c r="O997" s="1" t="s">
        <v>31</v>
      </c>
      <c r="P997" s="1" t="s">
        <v>41</v>
      </c>
      <c r="Q997" s="1" t="s">
        <v>488</v>
      </c>
      <c r="R997" s="11">
        <v>45349</v>
      </c>
      <c r="S997" s="1">
        <v>5</v>
      </c>
      <c r="U997" s="48"/>
    </row>
    <row r="998" ht="105" customHeight="1" spans="1:21" x14ac:dyDescent="0.25">
      <c r="A998" s="1" t="s">
        <v>3594</v>
      </c>
      <c r="B998" s="1">
        <v>2024</v>
      </c>
      <c r="C998" s="2" t="s">
        <v>163</v>
      </c>
      <c r="D998" s="1" t="s">
        <v>25</v>
      </c>
      <c r="E998" s="1">
        <v>368194</v>
      </c>
      <c r="F998" s="1" t="s">
        <v>27</v>
      </c>
      <c r="G998" s="11">
        <v>45350</v>
      </c>
      <c r="H998" s="11" t="s">
        <v>38</v>
      </c>
      <c r="I998" s="2" t="s">
        <v>3789</v>
      </c>
      <c r="J998" s="2" t="s">
        <v>3790</v>
      </c>
      <c r="K998" s="12">
        <v>0.055555555554747116</v>
      </c>
      <c r="L998" s="12">
        <v>0.06597222222262644</v>
      </c>
      <c r="M998" s="13">
        <f>CRF_3[[#This Row],[Time Spent on Configuration]]+CRF_3[[#This Row],[Time Spent on Review/Testing]]</f>
        <v>NaN</v>
      </c>
      <c r="O998" s="1" t="s">
        <v>32</v>
      </c>
      <c r="P998" s="1" t="s">
        <v>41</v>
      </c>
      <c r="Q998" s="1" t="s">
        <v>488</v>
      </c>
      <c r="R998" s="11">
        <v>45350</v>
      </c>
      <c r="S998" s="1">
        <v>5</v>
      </c>
      <c r="U998" s="48"/>
    </row>
    <row r="999" ht="90" customHeight="1" spans="1:21" x14ac:dyDescent="0.25">
      <c r="A999" s="1" t="s">
        <v>3594</v>
      </c>
      <c r="B999" s="1">
        <v>2024</v>
      </c>
      <c r="C999" s="2" t="s">
        <v>609</v>
      </c>
      <c r="D999" s="1" t="s">
        <v>567</v>
      </c>
      <c r="E999" s="1">
        <v>368194</v>
      </c>
      <c r="F999" s="1" t="s">
        <v>27</v>
      </c>
      <c r="G999" s="11">
        <v>45350</v>
      </c>
      <c r="H999" s="11" t="s">
        <v>38</v>
      </c>
      <c r="I999" s="2" t="s">
        <v>3791</v>
      </c>
      <c r="J999" s="2" t="s">
        <v>611</v>
      </c>
      <c r="K999" s="12">
        <v>0.010416666667879326</v>
      </c>
      <c r="L999" s="12">
        <v>0.027777777777373558</v>
      </c>
      <c r="M999" s="13">
        <f>CRF_3[[#This Row],[Time Spent on Configuration]]+CRF_3[[#This Row],[Time Spent on Review/Testing]]</f>
        <v>NaN</v>
      </c>
      <c r="O999" s="1" t="s">
        <v>32</v>
      </c>
      <c r="P999" s="1" t="s">
        <v>41</v>
      </c>
      <c r="Q999" s="1" t="s">
        <v>488</v>
      </c>
      <c r="R999" s="11">
        <v>45350</v>
      </c>
      <c r="S999" s="1">
        <v>5</v>
      </c>
      <c r="U999" s="48"/>
    </row>
    <row r="1000" ht="90" customHeight="1" spans="1:21" x14ac:dyDescent="0.25">
      <c r="A1000" s="1" t="s">
        <v>3594</v>
      </c>
      <c r="B1000" s="1">
        <v>2024</v>
      </c>
      <c r="C1000" s="2" t="s">
        <v>566</v>
      </c>
      <c r="D1000" s="1" t="s">
        <v>567</v>
      </c>
      <c r="E1000" s="1">
        <v>368194</v>
      </c>
      <c r="F1000" s="1" t="s">
        <v>27</v>
      </c>
      <c r="G1000" s="11">
        <v>45350</v>
      </c>
      <c r="H1000" s="11" t="s">
        <v>38</v>
      </c>
      <c r="I1000" s="2" t="s">
        <v>3791</v>
      </c>
      <c r="J1000" s="2" t="s">
        <v>611</v>
      </c>
      <c r="K1000" s="12">
        <v>0.010416666667879326</v>
      </c>
      <c r="L1000" s="12">
        <v>0.027777777777373558</v>
      </c>
      <c r="M1000" s="13">
        <f>CRF_3[[#This Row],[Time Spent on Configuration]]+CRF_3[[#This Row],[Time Spent on Review/Testing]]</f>
        <v>NaN</v>
      </c>
      <c r="O1000" s="1" t="s">
        <v>32</v>
      </c>
      <c r="P1000" s="1" t="s">
        <v>41</v>
      </c>
      <c r="Q1000" s="1" t="s">
        <v>488</v>
      </c>
      <c r="R1000" s="11">
        <v>45350</v>
      </c>
      <c r="S1000" s="1">
        <v>5</v>
      </c>
      <c r="U1000" s="48"/>
    </row>
    <row r="1001" ht="90" customHeight="1" spans="1:21" x14ac:dyDescent="0.25">
      <c r="A1001" s="1" t="s">
        <v>3594</v>
      </c>
      <c r="B1001" s="1">
        <v>2024</v>
      </c>
      <c r="C1001" s="2" t="s">
        <v>612</v>
      </c>
      <c r="D1001" s="1" t="s">
        <v>567</v>
      </c>
      <c r="E1001" s="1">
        <v>368194</v>
      </c>
      <c r="F1001" s="1" t="s">
        <v>27</v>
      </c>
      <c r="G1001" s="11">
        <v>45350</v>
      </c>
      <c r="H1001" s="11" t="s">
        <v>38</v>
      </c>
      <c r="I1001" s="2" t="s">
        <v>3791</v>
      </c>
      <c r="J1001" s="2" t="s">
        <v>611</v>
      </c>
      <c r="K1001" s="12">
        <v>0.006944444445252884</v>
      </c>
      <c r="L1001" s="12">
        <v>0.03472222222262644</v>
      </c>
      <c r="M1001" s="13">
        <f>CRF_3[[#This Row],[Time Spent on Configuration]]+CRF_3[[#This Row],[Time Spent on Review/Testing]]</f>
        <v>NaN</v>
      </c>
      <c r="O1001" s="1" t="s">
        <v>32</v>
      </c>
      <c r="P1001" s="1" t="s">
        <v>41</v>
      </c>
      <c r="Q1001" s="1" t="s">
        <v>488</v>
      </c>
      <c r="R1001" s="11">
        <v>45350</v>
      </c>
      <c r="S1001" s="1">
        <v>5</v>
      </c>
      <c r="U1001" s="48"/>
    </row>
    <row r="1002" ht="60" customHeight="1" spans="1:21" x14ac:dyDescent="0.25">
      <c r="A1002" s="1" t="s">
        <v>3594</v>
      </c>
      <c r="B1002" s="1">
        <v>2024</v>
      </c>
      <c r="C1002" s="2" t="s">
        <v>223</v>
      </c>
      <c r="D1002" s="1" t="s">
        <v>186</v>
      </c>
      <c r="E1002" s="1">
        <v>367249</v>
      </c>
      <c r="F1002" s="1" t="s">
        <v>37</v>
      </c>
      <c r="G1002" s="11">
        <v>45351</v>
      </c>
      <c r="H1002" s="11" t="s">
        <v>38</v>
      </c>
      <c r="I1002" s="2" t="s">
        <v>3792</v>
      </c>
      <c r="J1002" s="2" t="s">
        <v>3793</v>
      </c>
      <c r="K1002" s="12">
        <v>0.013888888890505768</v>
      </c>
      <c r="L1002" s="12">
        <v>0.020833333332120674</v>
      </c>
      <c r="M1002" s="13">
        <f>CRF_3[[#This Row],[Time Spent on Configuration]]+CRF_3[[#This Row],[Time Spent on Review/Testing]]</f>
        <v>NaN</v>
      </c>
      <c r="O1002" s="1" t="s">
        <v>31</v>
      </c>
      <c r="P1002" s="1" t="s">
        <v>32</v>
      </c>
      <c r="Q1002" s="1" t="s">
        <v>488</v>
      </c>
      <c r="R1002" s="11">
        <v>45355</v>
      </c>
      <c r="S1002" s="1">
        <v>5</v>
      </c>
      <c r="U1002" s="48"/>
    </row>
    <row r="1003" ht="60" customHeight="1" spans="1:21" x14ac:dyDescent="0.25">
      <c r="A1003" s="1" t="s">
        <v>3594</v>
      </c>
      <c r="B1003" s="1">
        <v>2024</v>
      </c>
      <c r="C1003" s="2" t="s">
        <v>616</v>
      </c>
      <c r="D1003" s="1" t="s">
        <v>617</v>
      </c>
      <c r="E1003" s="1">
        <v>367754</v>
      </c>
      <c r="F1003" s="1" t="s">
        <v>37</v>
      </c>
      <c r="G1003" s="11">
        <v>45351</v>
      </c>
      <c r="H1003" s="11" t="s">
        <v>38</v>
      </c>
      <c r="I1003" s="2" t="s">
        <v>3794</v>
      </c>
      <c r="J1003" s="2" t="s">
        <v>3795</v>
      </c>
      <c r="K1003" s="12">
        <v>0.013888888890505768</v>
      </c>
      <c r="L1003" s="12">
        <v>0.03472222222262644</v>
      </c>
      <c r="M1003" s="13">
        <f>CRF_3[[#This Row],[Time Spent on Configuration]]+CRF_3[[#This Row],[Time Spent on Review/Testing]]</f>
        <v>NaN</v>
      </c>
      <c r="O1003" s="1" t="s">
        <v>31</v>
      </c>
      <c r="P1003" s="1" t="s">
        <v>41</v>
      </c>
      <c r="Q1003" s="1" t="s">
        <v>484</v>
      </c>
      <c r="R1003" s="11">
        <v>45351</v>
      </c>
      <c r="S1003" s="1">
        <v>5</v>
      </c>
      <c r="U1003" s="48"/>
    </row>
    <row r="1004" ht="90" customHeight="1" spans="1:21" x14ac:dyDescent="0.25">
      <c r="A1004" s="1" t="s">
        <v>3613</v>
      </c>
      <c r="B1004" s="1">
        <v>2024</v>
      </c>
      <c r="C1004" s="2" t="s">
        <v>35</v>
      </c>
      <c r="D1004" s="1" t="s">
        <v>25</v>
      </c>
      <c r="E1004" s="1">
        <v>365733</v>
      </c>
      <c r="F1004" s="1" t="s">
        <v>27</v>
      </c>
      <c r="G1004" s="11">
        <v>45352</v>
      </c>
      <c r="H1004" s="11" t="s">
        <v>38</v>
      </c>
      <c r="I1004" s="2" t="s">
        <v>4724</v>
      </c>
      <c r="J1004" s="2" t="s">
        <v>3797</v>
      </c>
      <c r="K1004" s="12">
        <v>0.020833333332120674</v>
      </c>
      <c r="L1004" s="12">
        <v>0.038194444445252884</v>
      </c>
      <c r="M1004" s="13">
        <f>CRF_3[[#This Row],[Time Spent on Configuration]]+CRF_3[[#This Row],[Time Spent on Review/Testing]]</f>
        <v>NaN</v>
      </c>
      <c r="O1004" s="1" t="s">
        <v>574</v>
      </c>
      <c r="P1004" s="1" t="s">
        <v>41</v>
      </c>
      <c r="Q1004" s="1" t="s">
        <v>42</v>
      </c>
      <c r="R1004" s="11">
        <v>45352</v>
      </c>
      <c r="S1004" s="1">
        <v>5</v>
      </c>
      <c r="U1004" s="48"/>
    </row>
    <row r="1005" ht="300" customHeight="1" spans="1:21" x14ac:dyDescent="0.25">
      <c r="A1005" s="1" t="s">
        <v>3613</v>
      </c>
      <c r="B1005" s="1">
        <v>2024</v>
      </c>
      <c r="C1005" s="2" t="s">
        <v>625</v>
      </c>
      <c r="D1005" s="1" t="s">
        <v>567</v>
      </c>
      <c r="E1005" s="1">
        <v>368731</v>
      </c>
      <c r="F1005" s="1" t="s">
        <v>27</v>
      </c>
      <c r="G1005" s="11">
        <v>45355</v>
      </c>
      <c r="H1005" s="11" t="s">
        <v>507</v>
      </c>
      <c r="I1005" s="2" t="s">
        <v>3798</v>
      </c>
      <c r="J1005" s="2" t="s">
        <v>628</v>
      </c>
      <c r="K1005" s="12">
        <v>0.013888888890505768</v>
      </c>
      <c r="L1005" s="12">
        <v>0.024305555554747116</v>
      </c>
      <c r="M1005" s="13">
        <f>CRF_3[[#This Row],[Time Spent on Configuration]]+CRF_3[[#This Row],[Time Spent on Review/Testing]]</f>
        <v>NaN</v>
      </c>
      <c r="O1005" s="1" t="s">
        <v>32</v>
      </c>
      <c r="P1005" s="1" t="s">
        <v>483</v>
      </c>
      <c r="Q1005" s="1" t="s">
        <v>488</v>
      </c>
      <c r="R1005" s="11">
        <v>45355</v>
      </c>
      <c r="S1005" s="1">
        <v>5</v>
      </c>
      <c r="U1005" s="48"/>
    </row>
    <row r="1006" ht="60" customHeight="1" spans="1:21" x14ac:dyDescent="0.25">
      <c r="A1006" s="1" t="s">
        <v>3613</v>
      </c>
      <c r="B1006" s="1">
        <v>2024</v>
      </c>
      <c r="C1006" s="2" t="s">
        <v>223</v>
      </c>
      <c r="D1006" s="1" t="s">
        <v>186</v>
      </c>
      <c r="E1006" s="1">
        <v>368965</v>
      </c>
      <c r="F1006" s="1" t="s">
        <v>37</v>
      </c>
      <c r="G1006" s="11">
        <v>45356</v>
      </c>
      <c r="H1006" s="11" t="s">
        <v>74</v>
      </c>
      <c r="I1006" s="2" t="s">
        <v>3799</v>
      </c>
      <c r="J1006" s="2" t="s">
        <v>3800</v>
      </c>
      <c r="K1006" s="12">
        <v>0.041666666667879326</v>
      </c>
      <c r="L1006" s="12">
        <v>0.03125</v>
      </c>
      <c r="M1006" s="13">
        <f>CRF_3[[#This Row],[Time Spent on Configuration]]+CRF_3[[#This Row],[Time Spent on Review/Testing]]</f>
        <v>NaN</v>
      </c>
      <c r="O1006" s="1" t="s">
        <v>31</v>
      </c>
      <c r="P1006" s="1" t="s">
        <v>32</v>
      </c>
      <c r="Q1006" s="1" t="s">
        <v>488</v>
      </c>
      <c r="R1006" s="11">
        <v>45356</v>
      </c>
      <c r="S1006" s="1">
        <v>5</v>
      </c>
      <c r="U1006" s="48"/>
    </row>
    <row r="1007" ht="30" customHeight="1" spans="1:21" x14ac:dyDescent="0.25">
      <c r="A1007" s="1" t="s">
        <v>3613</v>
      </c>
      <c r="B1007" s="1">
        <v>2024</v>
      </c>
      <c r="C1007" s="2" t="s">
        <v>185</v>
      </c>
      <c r="D1007" s="1" t="s">
        <v>186</v>
      </c>
      <c r="E1007" s="1">
        <v>369490</v>
      </c>
      <c r="F1007" s="1" t="s">
        <v>37</v>
      </c>
      <c r="G1007" s="11">
        <v>45362</v>
      </c>
      <c r="H1007" s="11" t="s">
        <v>38</v>
      </c>
      <c r="I1007" s="2" t="s">
        <v>3801</v>
      </c>
      <c r="J1007" s="2" t="s">
        <v>634</v>
      </c>
      <c r="K1007" s="12">
        <v>0</v>
      </c>
      <c r="L1007" s="12">
        <v>0.03125</v>
      </c>
      <c r="M1007" s="13">
        <f>CRF_3[[#This Row],[Time Spent on Configuration]]+CRF_3[[#This Row],[Time Spent on Review/Testing]]</f>
        <v>NaN</v>
      </c>
      <c r="O1007" s="1" t="s">
        <v>54</v>
      </c>
      <c r="P1007" s="1" t="s">
        <v>41</v>
      </c>
      <c r="Q1007" s="1" t="s">
        <v>484</v>
      </c>
      <c r="R1007" s="11">
        <v>45362</v>
      </c>
      <c r="S1007" s="1">
        <v>5</v>
      </c>
      <c r="U1007" s="48"/>
    </row>
    <row r="1008" ht="45" customHeight="1" spans="1:21" x14ac:dyDescent="0.25">
      <c r="A1008" s="1" t="s">
        <v>3613</v>
      </c>
      <c r="B1008" s="1">
        <v>2024</v>
      </c>
      <c r="C1008" s="2" t="s">
        <v>284</v>
      </c>
      <c r="D1008" s="1" t="s">
        <v>285</v>
      </c>
      <c r="E1008" s="1">
        <v>366772</v>
      </c>
      <c r="F1008" s="1" t="s">
        <v>37</v>
      </c>
      <c r="G1008" s="11">
        <v>45364</v>
      </c>
      <c r="H1008" s="11" t="s">
        <v>38</v>
      </c>
      <c r="I1008" s="2" t="s">
        <v>3802</v>
      </c>
      <c r="J1008" s="2" t="s">
        <v>637</v>
      </c>
      <c r="K1008" s="12">
        <v>0.010416666667879326</v>
      </c>
      <c r="L1008" s="12">
        <v>0.03472222222262644</v>
      </c>
      <c r="M1008" s="13">
        <f>CRF_3[[#This Row],[Time Spent on Configuration]]+CRF_3[[#This Row],[Time Spent on Review/Testing]]</f>
        <v>NaN</v>
      </c>
      <c r="O1008" s="1" t="s">
        <v>31</v>
      </c>
      <c r="P1008" s="1" t="s">
        <v>41</v>
      </c>
      <c r="Q1008" s="1" t="s">
        <v>484</v>
      </c>
      <c r="R1008" s="11">
        <v>45364</v>
      </c>
      <c r="S1008" s="1">
        <v>5</v>
      </c>
      <c r="U1008" s="48"/>
    </row>
    <row r="1009" ht="30" customHeight="1" spans="1:21" x14ac:dyDescent="0.25">
      <c r="A1009" s="1" t="s">
        <v>3613</v>
      </c>
      <c r="B1009" s="1">
        <v>2024</v>
      </c>
      <c r="C1009" s="2" t="s">
        <v>223</v>
      </c>
      <c r="D1009" s="1" t="s">
        <v>186</v>
      </c>
      <c r="E1009" s="1">
        <v>366857</v>
      </c>
      <c r="F1009" s="1" t="s">
        <v>27</v>
      </c>
      <c r="G1009" s="11">
        <v>45364</v>
      </c>
      <c r="H1009" s="11" t="s">
        <v>38</v>
      </c>
      <c r="I1009" s="2" t="s">
        <v>3803</v>
      </c>
      <c r="J1009" s="2" t="s">
        <v>3804</v>
      </c>
      <c r="K1009" s="12">
        <v>0.03125</v>
      </c>
      <c r="L1009" s="12">
        <v>0.0625</v>
      </c>
      <c r="M1009" s="13">
        <f>CRF_3[[#This Row],[Time Spent on Configuration]]+CRF_3[[#This Row],[Time Spent on Review/Testing]]</f>
        <v>NaN</v>
      </c>
      <c r="O1009" s="1" t="s">
        <v>31</v>
      </c>
      <c r="P1009" s="1" t="s">
        <v>41</v>
      </c>
      <c r="Q1009" s="1" t="s">
        <v>488</v>
      </c>
      <c r="R1009" s="11">
        <v>45364</v>
      </c>
      <c r="S1009" s="1">
        <v>5</v>
      </c>
      <c r="U1009" s="48"/>
    </row>
    <row r="1010" ht="105" customHeight="1" spans="1:21" x14ac:dyDescent="0.25">
      <c r="A1010" s="1" t="s">
        <v>3613</v>
      </c>
      <c r="B1010" s="1">
        <v>2024</v>
      </c>
      <c r="C1010" s="2" t="s">
        <v>641</v>
      </c>
      <c r="D1010" s="1" t="s">
        <v>261</v>
      </c>
      <c r="E1010" s="1">
        <v>368206</v>
      </c>
      <c r="F1010" s="1" t="s">
        <v>37</v>
      </c>
      <c r="G1010" s="11">
        <v>45366</v>
      </c>
      <c r="H1010" s="11" t="s">
        <v>38</v>
      </c>
      <c r="I1010" s="2" t="s">
        <v>643</v>
      </c>
      <c r="J1010" s="2" t="s">
        <v>3805</v>
      </c>
      <c r="K1010" s="12">
        <v>0.11805555555474712</v>
      </c>
      <c r="L1010" s="12">
        <v>0.07638888889050577</v>
      </c>
      <c r="M1010" s="13">
        <f>CRF_3[[#This Row],[Time Spent on Configuration]]+CRF_3[[#This Row],[Time Spent on Review/Testing]]</f>
        <v>NaN</v>
      </c>
      <c r="O1010" s="1" t="s">
        <v>31</v>
      </c>
      <c r="P1010" s="1" t="s">
        <v>41</v>
      </c>
      <c r="Q1010" s="1" t="s">
        <v>42</v>
      </c>
      <c r="R1010" s="11">
        <v>45366</v>
      </c>
      <c r="S1010" s="1">
        <v>5</v>
      </c>
      <c r="U1010" s="48"/>
    </row>
    <row r="1011" ht="30" customHeight="1" spans="1:21" x14ac:dyDescent="0.25">
      <c r="A1011" s="1" t="s">
        <v>3613</v>
      </c>
      <c r="B1011" s="1">
        <v>2024</v>
      </c>
      <c r="C1011" s="2" t="s">
        <v>35</v>
      </c>
      <c r="D1011" s="1" t="s">
        <v>25</v>
      </c>
      <c r="E1011" s="1">
        <v>369613</v>
      </c>
      <c r="F1011" s="1" t="s">
        <v>27</v>
      </c>
      <c r="G1011" s="11">
        <v>45366</v>
      </c>
      <c r="H1011" s="11" t="s">
        <v>38</v>
      </c>
      <c r="I1011" s="2" t="s">
        <v>646</v>
      </c>
      <c r="J1011" s="2" t="s">
        <v>3806</v>
      </c>
      <c r="K1011" s="12">
        <v>0.03472222222262644</v>
      </c>
      <c r="L1011" s="12">
        <v>0.041666666667879326</v>
      </c>
      <c r="M1011" s="13">
        <f>CRF_3[[#This Row],[Time Spent on Configuration]]+CRF_3[[#This Row],[Time Spent on Review/Testing]]</f>
        <v>NaN</v>
      </c>
      <c r="O1011" s="1" t="s">
        <v>41</v>
      </c>
      <c r="P1011" s="1" t="s">
        <v>31</v>
      </c>
      <c r="Q1011" s="1" t="s">
        <v>42</v>
      </c>
      <c r="R1011" s="11">
        <v>45366</v>
      </c>
      <c r="S1011" s="1">
        <v>5</v>
      </c>
      <c r="U1011" s="48"/>
    </row>
    <row r="1012" spans="1:21" x14ac:dyDescent="0.25">
      <c r="A1012" s="1" t="s">
        <v>3613</v>
      </c>
      <c r="B1012" s="1">
        <v>2024</v>
      </c>
      <c r="C1012" s="2" t="s">
        <v>99</v>
      </c>
      <c r="D1012" s="1" t="s">
        <v>25</v>
      </c>
      <c r="E1012" s="1">
        <v>371210</v>
      </c>
      <c r="F1012" s="1" t="s">
        <v>27</v>
      </c>
      <c r="G1012" s="11">
        <v>45378</v>
      </c>
      <c r="H1012" s="11" t="s">
        <v>28</v>
      </c>
      <c r="I1012" s="2" t="s">
        <v>3807</v>
      </c>
      <c r="J1012" s="2" t="s">
        <v>650</v>
      </c>
      <c r="K1012" s="12">
        <v>0.03472222222262644</v>
      </c>
      <c r="L1012" s="12">
        <v>0.06944444444525288</v>
      </c>
      <c r="M1012" s="13">
        <f>CRF_3[[#This Row],[Time Spent on Configuration]]+CRF_3[[#This Row],[Time Spent on Review/Testing]]</f>
        <v>NaN</v>
      </c>
      <c r="O1012" s="1" t="s">
        <v>32</v>
      </c>
      <c r="P1012" s="1" t="s">
        <v>41</v>
      </c>
      <c r="Q1012" s="1" t="s">
        <v>47</v>
      </c>
      <c r="R1012" s="11">
        <v>45378</v>
      </c>
      <c r="S1012" s="1">
        <v>5</v>
      </c>
      <c r="U1012" s="48"/>
    </row>
    <row r="1013" spans="1:21" x14ac:dyDescent="0.25">
      <c r="A1013" s="1" t="s">
        <v>3613</v>
      </c>
      <c r="B1013" s="1">
        <v>2024</v>
      </c>
      <c r="C1013" s="2" t="s">
        <v>334</v>
      </c>
      <c r="D1013" s="1" t="s">
        <v>335</v>
      </c>
      <c r="E1013" s="1">
        <v>368585</v>
      </c>
      <c r="F1013" s="1" t="s">
        <v>27</v>
      </c>
      <c r="G1013" s="11">
        <v>45378</v>
      </c>
      <c r="H1013" s="11" t="s">
        <v>133</v>
      </c>
      <c r="I1013" s="2" t="s">
        <v>652</v>
      </c>
      <c r="J1013" s="2" t="s">
        <v>653</v>
      </c>
      <c r="K1013" s="12">
        <v>0.020833333332120674</v>
      </c>
      <c r="L1013" s="12">
        <v>0.024305555554747116</v>
      </c>
      <c r="M1013" s="13">
        <f>CRF_3[[#This Row],[Time Spent on Configuration]]+CRF_3[[#This Row],[Time Spent on Review/Testing]]</f>
        <v>NaN</v>
      </c>
      <c r="O1013" s="1" t="s">
        <v>54</v>
      </c>
      <c r="P1013" s="1" t="s">
        <v>41</v>
      </c>
      <c r="Q1013" s="1" t="s">
        <v>42</v>
      </c>
      <c r="R1013" s="11">
        <v>45378</v>
      </c>
      <c r="S1013" s="1">
        <v>5</v>
      </c>
      <c r="U1013" s="48"/>
    </row>
    <row r="1014" spans="1:21" x14ac:dyDescent="0.25">
      <c r="A1014" s="1" t="s">
        <v>3613</v>
      </c>
      <c r="B1014" s="1">
        <v>2024</v>
      </c>
      <c r="C1014" s="2" t="s">
        <v>641</v>
      </c>
      <c r="D1014" s="1" t="s">
        <v>261</v>
      </c>
      <c r="E1014" s="1">
        <v>370317</v>
      </c>
      <c r="F1014" s="1" t="s">
        <v>27</v>
      </c>
      <c r="G1014" s="11">
        <v>45378</v>
      </c>
      <c r="H1014" s="11" t="s">
        <v>74</v>
      </c>
      <c r="I1014" s="2" t="s">
        <v>655</v>
      </c>
      <c r="J1014" s="2" t="s">
        <v>656</v>
      </c>
      <c r="K1014" s="12">
        <v>0.020833333332120674</v>
      </c>
      <c r="L1014" s="12">
        <v>0.052083333332120674</v>
      </c>
      <c r="M1014" s="13">
        <f>CRF_3[[#This Row],[Time Spent on Configuration]]+CRF_3[[#This Row],[Time Spent on Review/Testing]]</f>
        <v>NaN</v>
      </c>
      <c r="O1014" s="1" t="s">
        <v>32</v>
      </c>
      <c r="P1014" s="1" t="s">
        <v>41</v>
      </c>
      <c r="Q1014" s="1" t="s">
        <v>42</v>
      </c>
      <c r="R1014" s="11">
        <v>45378</v>
      </c>
      <c r="S1014" s="1">
        <v>5</v>
      </c>
      <c r="U1014" s="48"/>
    </row>
    <row r="1015" spans="1:21" x14ac:dyDescent="0.25">
      <c r="A1015" s="1" t="s">
        <v>3624</v>
      </c>
      <c r="B1015" s="1">
        <v>2024</v>
      </c>
      <c r="C1015" s="2" t="s">
        <v>99</v>
      </c>
      <c r="D1015" s="1" t="s">
        <v>25</v>
      </c>
      <c r="E1015" s="1">
        <v>371985</v>
      </c>
      <c r="F1015" s="1" t="s">
        <v>27</v>
      </c>
      <c r="G1015" s="11">
        <v>45385</v>
      </c>
      <c r="H1015" s="11" t="s">
        <v>28</v>
      </c>
      <c r="I1015" s="2" t="s">
        <v>3808</v>
      </c>
      <c r="J1015" s="2" t="s">
        <v>660</v>
      </c>
      <c r="K1015" s="12">
        <v>0.03125</v>
      </c>
      <c r="L1015" s="12">
        <v>0.027777777777373558</v>
      </c>
      <c r="M1015" s="13">
        <f>CRF_3[[#This Row],[Time Spent on Configuration]]+CRF_3[[#This Row],[Time Spent on Review/Testing]]</f>
        <v>NaN</v>
      </c>
      <c r="O1015" s="1" t="s">
        <v>41</v>
      </c>
      <c r="P1015" s="1" t="s">
        <v>32</v>
      </c>
      <c r="Q1015" s="1" t="s">
        <v>3694</v>
      </c>
      <c r="R1015" s="11">
        <v>45385</v>
      </c>
      <c r="S1015" s="1">
        <v>5</v>
      </c>
      <c r="U1015" s="48"/>
    </row>
    <row r="1016" spans="1:21" x14ac:dyDescent="0.25">
      <c r="A1016" s="1" t="s">
        <v>3624</v>
      </c>
      <c r="B1016" s="1">
        <v>2024</v>
      </c>
      <c r="C1016" s="2" t="s">
        <v>616</v>
      </c>
      <c r="D1016" s="1" t="s">
        <v>617</v>
      </c>
      <c r="E1016" s="1">
        <v>372187</v>
      </c>
      <c r="F1016" s="1" t="s">
        <v>27</v>
      </c>
      <c r="G1016" s="11">
        <v>45386</v>
      </c>
      <c r="H1016" s="11" t="s">
        <v>507</v>
      </c>
      <c r="I1016" s="2" t="s">
        <v>3809</v>
      </c>
      <c r="J1016" s="2" t="s">
        <v>3810</v>
      </c>
      <c r="K1016" s="12">
        <v>0.013888888890505768</v>
      </c>
      <c r="L1016" s="12">
        <v>0.03125</v>
      </c>
      <c r="M1016" s="13">
        <f>CRF_3[[#This Row],[Time Spent on Configuration]]+CRF_3[[#This Row],[Time Spent on Review/Testing]]</f>
        <v>NaN</v>
      </c>
      <c r="O1016" s="1" t="s">
        <v>32</v>
      </c>
      <c r="P1016" s="1" t="s">
        <v>41</v>
      </c>
      <c r="Q1016" s="1" t="s">
        <v>47</v>
      </c>
      <c r="R1016" s="11">
        <v>45386</v>
      </c>
      <c r="S1016" s="1">
        <v>5</v>
      </c>
      <c r="U1016" s="48"/>
    </row>
    <row r="1017" ht="345" customHeight="1" spans="1:21" x14ac:dyDescent="0.25">
      <c r="A1017" s="1" t="s">
        <v>3624</v>
      </c>
      <c r="B1017" s="1">
        <v>2024</v>
      </c>
      <c r="C1017" s="2" t="s">
        <v>286</v>
      </c>
      <c r="D1017" s="1" t="s">
        <v>287</v>
      </c>
      <c r="E1017" s="1">
        <v>366058</v>
      </c>
      <c r="F1017" s="1" t="s">
        <v>37</v>
      </c>
      <c r="G1017" s="11">
        <v>45386</v>
      </c>
      <c r="H1017" s="11" t="s">
        <v>28</v>
      </c>
      <c r="I1017" s="2" t="s">
        <v>3811</v>
      </c>
      <c r="J1017" s="2" t="s">
        <v>3812</v>
      </c>
      <c r="K1017" s="12">
        <v>0.020833333332120674</v>
      </c>
      <c r="L1017" s="12">
        <v>0.055555555554747116</v>
      </c>
      <c r="M1017" s="13">
        <f>CRF_3[[#This Row],[Time Spent on Configuration]]+CRF_3[[#This Row],[Time Spent on Review/Testing]]</f>
        <v>NaN</v>
      </c>
      <c r="O1017" s="1" t="s">
        <v>31</v>
      </c>
      <c r="P1017" s="1" t="s">
        <v>483</v>
      </c>
      <c r="Q1017" s="1" t="s">
        <v>47</v>
      </c>
      <c r="R1017" s="11">
        <v>45386</v>
      </c>
      <c r="S1017" s="1">
        <v>5</v>
      </c>
      <c r="U1017" s="48"/>
    </row>
    <row r="1018" ht="45" customHeight="1" spans="1:21" x14ac:dyDescent="0.25">
      <c r="A1018" s="1" t="s">
        <v>3624</v>
      </c>
      <c r="B1018" s="1">
        <v>2024</v>
      </c>
      <c r="C1018" s="2" t="s">
        <v>667</v>
      </c>
      <c r="D1018" s="1" t="s">
        <v>668</v>
      </c>
      <c r="E1018" s="1">
        <v>370380</v>
      </c>
      <c r="F1018" s="1" t="s">
        <v>37</v>
      </c>
      <c r="G1018" s="11">
        <v>45390</v>
      </c>
      <c r="H1018" s="11" t="s">
        <v>670</v>
      </c>
      <c r="I1018" s="2" t="s">
        <v>3813</v>
      </c>
      <c r="J1018" s="2" t="s">
        <v>672</v>
      </c>
      <c r="K1018" s="12">
        <v>0.013888888890505768</v>
      </c>
      <c r="L1018" s="12">
        <v>0.020833333332120674</v>
      </c>
      <c r="M1018" s="13">
        <f>CRF_3[[#This Row],[Time Spent on Configuration]]+CRF_3[[#This Row],[Time Spent on Review/Testing]]</f>
        <v>NaN</v>
      </c>
      <c r="O1018" s="1" t="s">
        <v>41</v>
      </c>
      <c r="P1018" s="1" t="s">
        <v>32</v>
      </c>
      <c r="Q1018" s="1" t="s">
        <v>42</v>
      </c>
      <c r="R1018" s="11">
        <v>45390</v>
      </c>
      <c r="S1018" s="1">
        <v>5</v>
      </c>
      <c r="U1018" s="48"/>
    </row>
    <row r="1019" ht="30" customHeight="1" spans="1:21" x14ac:dyDescent="0.25">
      <c r="A1019" s="1" t="s">
        <v>3624</v>
      </c>
      <c r="B1019" s="1">
        <v>2024</v>
      </c>
      <c r="C1019" s="2" t="s">
        <v>625</v>
      </c>
      <c r="D1019" s="1" t="s">
        <v>567</v>
      </c>
      <c r="E1019" s="1">
        <v>372310</v>
      </c>
      <c r="F1019" s="1" t="s">
        <v>37</v>
      </c>
      <c r="G1019" s="11">
        <v>45392</v>
      </c>
      <c r="H1019" s="11" t="s">
        <v>38</v>
      </c>
      <c r="I1019" s="2" t="s">
        <v>3814</v>
      </c>
      <c r="J1019" s="2" t="s">
        <v>3815</v>
      </c>
      <c r="K1019" s="12">
        <v>0.013888888890505768</v>
      </c>
      <c r="L1019" s="12">
        <v>0.027777777777373558</v>
      </c>
      <c r="M1019" s="13">
        <f>CRF_3[[#This Row],[Time Spent on Configuration]]+CRF_3[[#This Row],[Time Spent on Review/Testing]]</f>
        <v>NaN</v>
      </c>
      <c r="O1019" s="1" t="s">
        <v>31</v>
      </c>
      <c r="P1019" s="1" t="s">
        <v>41</v>
      </c>
      <c r="Q1019" s="1" t="s">
        <v>488</v>
      </c>
      <c r="R1019" s="11">
        <v>45392</v>
      </c>
      <c r="S1019" s="1">
        <v>5</v>
      </c>
      <c r="U1019" s="48"/>
    </row>
    <row r="1020" spans="1:21" x14ac:dyDescent="0.25">
      <c r="A1020" s="1" t="s">
        <v>3624</v>
      </c>
      <c r="B1020" s="1">
        <v>2024</v>
      </c>
      <c r="C1020" s="2" t="s">
        <v>247</v>
      </c>
      <c r="D1020" s="1" t="s">
        <v>25</v>
      </c>
      <c r="E1020" s="1">
        <v>372382</v>
      </c>
      <c r="F1020" s="1" t="s">
        <v>37</v>
      </c>
      <c r="G1020" s="11">
        <v>45392</v>
      </c>
      <c r="H1020" s="11" t="s">
        <v>38</v>
      </c>
      <c r="I1020" s="2" t="s">
        <v>3816</v>
      </c>
      <c r="J1020" s="2" t="s">
        <v>3817</v>
      </c>
      <c r="K1020" s="12">
        <v>0.013888888890505768</v>
      </c>
      <c r="L1020" s="12">
        <v>0.03125</v>
      </c>
      <c r="M1020" s="13">
        <f>CRF_3[[#This Row],[Time Spent on Configuration]]+CRF_3[[#This Row],[Time Spent on Review/Testing]]</f>
        <v>NaN</v>
      </c>
      <c r="O1020" s="1" t="s">
        <v>31</v>
      </c>
      <c r="P1020" s="1" t="s">
        <v>41</v>
      </c>
      <c r="Q1020" s="1" t="s">
        <v>488</v>
      </c>
      <c r="R1020" s="11">
        <v>45392</v>
      </c>
      <c r="S1020" s="1">
        <v>5</v>
      </c>
      <c r="U1020" s="48"/>
    </row>
    <row r="1021" ht="409.5" customHeight="1" spans="1:21" x14ac:dyDescent="0.25">
      <c r="A1021" s="1" t="s">
        <v>3624</v>
      </c>
      <c r="B1021" s="1">
        <v>2024</v>
      </c>
      <c r="C1021" s="2" t="s">
        <v>641</v>
      </c>
      <c r="D1021" s="1" t="s">
        <v>261</v>
      </c>
      <c r="E1021" s="1">
        <v>372799</v>
      </c>
      <c r="F1021" s="1" t="s">
        <v>27</v>
      </c>
      <c r="G1021" s="11">
        <v>45394</v>
      </c>
      <c r="H1021" s="11" t="s">
        <v>28</v>
      </c>
      <c r="I1021" s="2" t="s">
        <v>3818</v>
      </c>
      <c r="J1021" s="2" t="s">
        <v>3819</v>
      </c>
      <c r="K1021" s="12">
        <v>0.020833333332120674</v>
      </c>
      <c r="L1021" s="12">
        <v>0.041666666667879326</v>
      </c>
      <c r="M1021" s="13">
        <f>CRF_3[[#This Row],[Time Spent on Configuration]]+CRF_3[[#This Row],[Time Spent on Review/Testing]]</f>
        <v>NaN</v>
      </c>
      <c r="O1021" s="1" t="s">
        <v>53</v>
      </c>
      <c r="P1021" s="1" t="s">
        <v>32</v>
      </c>
      <c r="Q1021" s="1" t="s">
        <v>42</v>
      </c>
      <c r="R1021" s="11">
        <v>45394</v>
      </c>
      <c r="S1021" s="1">
        <v>5</v>
      </c>
      <c r="U1021" s="48"/>
    </row>
    <row r="1022" ht="90" customHeight="1" spans="1:21" x14ac:dyDescent="0.25">
      <c r="A1022" s="1" t="s">
        <v>3624</v>
      </c>
      <c r="B1022" s="1">
        <v>2024</v>
      </c>
      <c r="C1022" s="2" t="s">
        <v>286</v>
      </c>
      <c r="D1022" s="1" t="s">
        <v>287</v>
      </c>
      <c r="E1022" s="1">
        <v>372906</v>
      </c>
      <c r="F1022" s="1" t="s">
        <v>37</v>
      </c>
      <c r="G1022" s="11">
        <v>45404</v>
      </c>
      <c r="H1022" s="11" t="s">
        <v>38</v>
      </c>
      <c r="I1022" s="2" t="s">
        <v>3820</v>
      </c>
      <c r="J1022" s="2" t="s">
        <v>3821</v>
      </c>
      <c r="K1022" s="12">
        <v>0.08333333333212067</v>
      </c>
      <c r="L1022" s="12">
        <v>0.10763888889050577</v>
      </c>
      <c r="M1022" s="13">
        <f>CRF_3[[#This Row],[Time Spent on Configuration]]+CRF_3[[#This Row],[Time Spent on Review/Testing]]</f>
        <v>NaN</v>
      </c>
      <c r="O1022" s="1" t="s">
        <v>31</v>
      </c>
      <c r="P1022" s="1" t="s">
        <v>41</v>
      </c>
      <c r="Q1022" s="11" t="s">
        <v>47</v>
      </c>
      <c r="R1022" s="11">
        <v>45404</v>
      </c>
      <c r="S1022" s="1">
        <v>5</v>
      </c>
      <c r="U1022" s="48"/>
    </row>
    <row r="1023" ht="75" customHeight="1" spans="1:21" x14ac:dyDescent="0.25">
      <c r="A1023" s="1" t="s">
        <v>3624</v>
      </c>
      <c r="B1023" s="1">
        <v>2024</v>
      </c>
      <c r="C1023" s="2" t="s">
        <v>641</v>
      </c>
      <c r="D1023" s="1" t="s">
        <v>261</v>
      </c>
      <c r="E1023" s="1">
        <v>374138</v>
      </c>
      <c r="F1023" s="1" t="s">
        <v>27</v>
      </c>
      <c r="G1023" s="11">
        <v>45406</v>
      </c>
      <c r="H1023" s="11" t="s">
        <v>74</v>
      </c>
      <c r="I1023" s="2" t="s">
        <v>686</v>
      </c>
      <c r="J1023" s="2" t="s">
        <v>3822</v>
      </c>
      <c r="K1023" s="12">
        <v>0.020833333332120674</v>
      </c>
      <c r="L1023" s="12">
        <v>0.041666666667879326</v>
      </c>
      <c r="M1023" s="13">
        <f>CRF_3[[#This Row],[Time Spent on Configuration]]+CRF_3[[#This Row],[Time Spent on Review/Testing]]</f>
        <v>NaN</v>
      </c>
      <c r="O1023" s="1" t="s">
        <v>32</v>
      </c>
      <c r="P1023" s="1" t="s">
        <v>41</v>
      </c>
      <c r="Q1023" s="1" t="s">
        <v>42</v>
      </c>
      <c r="R1023" s="11">
        <v>45406</v>
      </c>
      <c r="S1023" s="1">
        <v>5</v>
      </c>
      <c r="U1023" s="48"/>
    </row>
    <row r="1024" ht="60" customHeight="1" spans="1:21" x14ac:dyDescent="0.25">
      <c r="A1024" s="1" t="s">
        <v>3646</v>
      </c>
      <c r="B1024" s="1">
        <v>2024</v>
      </c>
      <c r="C1024" s="2" t="s">
        <v>529</v>
      </c>
      <c r="D1024" s="1" t="s">
        <v>530</v>
      </c>
      <c r="E1024" s="1">
        <v>375136</v>
      </c>
      <c r="F1024" s="1" t="s">
        <v>37</v>
      </c>
      <c r="G1024" s="11">
        <v>45414</v>
      </c>
      <c r="H1024" s="11" t="s">
        <v>28</v>
      </c>
      <c r="I1024" s="2" t="s">
        <v>3823</v>
      </c>
      <c r="J1024" s="2" t="s">
        <v>3824</v>
      </c>
      <c r="K1024" s="12">
        <v>0.020833333332120674</v>
      </c>
      <c r="L1024" s="12">
        <v>0.041666666667879326</v>
      </c>
      <c r="M1024" s="13">
        <f>CRF_3[[#This Row],[Time Spent on Configuration]]+CRF_3[[#This Row],[Time Spent on Review/Testing]]</f>
        <v>NaN</v>
      </c>
      <c r="O1024" s="1" t="s">
        <v>53</v>
      </c>
      <c r="P1024" s="1" t="s">
        <v>32</v>
      </c>
      <c r="Q1024" s="1" t="s">
        <v>47</v>
      </c>
      <c r="R1024" s="11">
        <v>45414</v>
      </c>
      <c r="S1024" s="1">
        <v>5</v>
      </c>
      <c r="U1024" s="48"/>
    </row>
    <row r="1025" ht="150" customHeight="1" spans="1:21" x14ac:dyDescent="0.25">
      <c r="A1025" s="1" t="s">
        <v>3646</v>
      </c>
      <c r="B1025" s="1">
        <v>2024</v>
      </c>
      <c r="C1025" s="2" t="s">
        <v>48</v>
      </c>
      <c r="D1025" s="1" t="s">
        <v>25</v>
      </c>
      <c r="E1025" s="1">
        <v>374761</v>
      </c>
      <c r="F1025" s="1" t="s">
        <v>27</v>
      </c>
      <c r="G1025" s="11">
        <v>45414</v>
      </c>
      <c r="H1025" s="11" t="s">
        <v>38</v>
      </c>
      <c r="I1025" s="40" t="s">
        <v>3825</v>
      </c>
      <c r="J1025" s="2" t="s">
        <v>3826</v>
      </c>
      <c r="K1025" s="12">
        <v>0.020833333332120674</v>
      </c>
      <c r="L1025" s="12">
        <v>0.038194444445252884</v>
      </c>
      <c r="M1025" s="13">
        <f>CRF_3[[#This Row],[Time Spent on Configuration]]+CRF_3[[#This Row],[Time Spent on Review/Testing]]</f>
        <v>NaN</v>
      </c>
      <c r="O1025" s="1" t="s">
        <v>53</v>
      </c>
      <c r="P1025" s="1" t="s">
        <v>32</v>
      </c>
      <c r="Q1025" s="1" t="s">
        <v>47</v>
      </c>
      <c r="R1025" s="11">
        <v>45415</v>
      </c>
      <c r="S1025" s="1">
        <v>5</v>
      </c>
      <c r="U1025" s="48"/>
    </row>
    <row r="1026" spans="1:21" x14ac:dyDescent="0.25">
      <c r="A1026" s="1" t="s">
        <v>3646</v>
      </c>
      <c r="B1026" s="1">
        <v>2024</v>
      </c>
      <c r="C1026" s="2" t="s">
        <v>641</v>
      </c>
      <c r="D1026" s="1" t="s">
        <v>261</v>
      </c>
      <c r="E1026" s="1">
        <v>374759</v>
      </c>
      <c r="F1026" s="1" t="s">
        <v>37</v>
      </c>
      <c r="G1026" s="11">
        <v>45418</v>
      </c>
      <c r="H1026" s="11" t="s">
        <v>696</v>
      </c>
      <c r="I1026" s="2" t="s">
        <v>3827</v>
      </c>
      <c r="J1026" s="2" t="s">
        <v>3828</v>
      </c>
      <c r="K1026" s="12">
        <v>0.006944444445252884</v>
      </c>
      <c r="L1026" s="12">
        <v>0.01736111110949423</v>
      </c>
      <c r="M1026" s="13">
        <f>CRF_3[[#This Row],[Time Spent on Configuration]]+CRF_3[[#This Row],[Time Spent on Review/Testing]]</f>
        <v>NaN</v>
      </c>
      <c r="O1026" s="1" t="s">
        <v>31</v>
      </c>
      <c r="P1026" s="1" t="s">
        <v>32</v>
      </c>
      <c r="Q1026" s="1" t="s">
        <v>42</v>
      </c>
      <c r="R1026" s="11">
        <v>45418</v>
      </c>
      <c r="S1026" s="1">
        <v>5</v>
      </c>
      <c r="U1026" s="48"/>
    </row>
    <row r="1027" spans="1:21" x14ac:dyDescent="0.25">
      <c r="A1027" s="1" t="s">
        <v>3646</v>
      </c>
      <c r="B1027" s="1">
        <v>2024</v>
      </c>
      <c r="C1027" s="2" t="s">
        <v>334</v>
      </c>
      <c r="D1027" s="1" t="s">
        <v>335</v>
      </c>
      <c r="E1027" s="1">
        <v>375949</v>
      </c>
      <c r="F1027" s="1" t="s">
        <v>37</v>
      </c>
      <c r="G1027" s="11">
        <v>45421</v>
      </c>
      <c r="H1027" s="11" t="s">
        <v>38</v>
      </c>
      <c r="I1027" s="2" t="s">
        <v>3829</v>
      </c>
      <c r="J1027" s="2" t="s">
        <v>3830</v>
      </c>
      <c r="K1027" s="12">
        <v>0.020833333332120674</v>
      </c>
      <c r="L1027" s="12">
        <v>0.055555555554747116</v>
      </c>
      <c r="M1027" s="13">
        <f>CRF_3[[#This Row],[Time Spent on Configuration]]+CRF_3[[#This Row],[Time Spent on Review/Testing]]</f>
        <v>NaN</v>
      </c>
      <c r="O1027" s="1" t="s">
        <v>31</v>
      </c>
      <c r="P1027" s="1" t="s">
        <v>41</v>
      </c>
      <c r="Q1027" s="1" t="s">
        <v>42</v>
      </c>
      <c r="R1027" s="11">
        <v>45421</v>
      </c>
      <c r="S1027" s="1">
        <v>5</v>
      </c>
      <c r="U1027" s="48"/>
    </row>
    <row r="1028" ht="45" customHeight="1" spans="1:21" x14ac:dyDescent="0.25">
      <c r="A1028" s="1" t="s">
        <v>3646</v>
      </c>
      <c r="B1028" s="1">
        <v>2024</v>
      </c>
      <c r="C1028" s="2" t="s">
        <v>223</v>
      </c>
      <c r="D1028" s="1" t="s">
        <v>186</v>
      </c>
      <c r="E1028" s="1">
        <v>369325</v>
      </c>
      <c r="F1028" s="1" t="s">
        <v>27</v>
      </c>
      <c r="G1028" s="11">
        <v>45422</v>
      </c>
      <c r="H1028" s="11" t="s">
        <v>28</v>
      </c>
      <c r="I1028" s="2" t="s">
        <v>703</v>
      </c>
      <c r="J1028" s="2" t="s">
        <v>3831</v>
      </c>
      <c r="K1028" s="12">
        <v>0.010416666667879326</v>
      </c>
      <c r="L1028" s="12">
        <v>0.04861111110949423</v>
      </c>
      <c r="M1028" s="13">
        <f>CRF_3[[#This Row],[Time Spent on Configuration]]+CRF_3[[#This Row],[Time Spent on Review/Testing]]</f>
        <v>NaN</v>
      </c>
      <c r="O1028" s="1" t="s">
        <v>31</v>
      </c>
      <c r="P1028" s="1" t="s">
        <v>41</v>
      </c>
      <c r="Q1028" s="1" t="s">
        <v>488</v>
      </c>
      <c r="R1028" s="11">
        <v>45422</v>
      </c>
      <c r="S1028" s="1">
        <v>5</v>
      </c>
      <c r="U1028" s="48"/>
    </row>
    <row r="1029" ht="180" customHeight="1" spans="1:21" x14ac:dyDescent="0.25">
      <c r="A1029" s="1" t="s">
        <v>3646</v>
      </c>
      <c r="B1029" s="1">
        <v>2024</v>
      </c>
      <c r="C1029" s="2" t="s">
        <v>281</v>
      </c>
      <c r="D1029" s="1" t="s">
        <v>282</v>
      </c>
      <c r="E1029" s="1">
        <v>376482</v>
      </c>
      <c r="F1029" s="1" t="s">
        <v>27</v>
      </c>
      <c r="G1029" s="11">
        <v>45427</v>
      </c>
      <c r="H1029" s="11" t="s">
        <v>74</v>
      </c>
      <c r="I1029" s="2" t="s">
        <v>3832</v>
      </c>
      <c r="J1029" s="2" t="s">
        <v>3833</v>
      </c>
      <c r="K1029" s="12">
        <v>0.03472222222262644</v>
      </c>
      <c r="L1029" s="12">
        <v>0.07083333333503106</v>
      </c>
      <c r="M1029" s="13">
        <f>CRF_3[[#This Row],[Time Spent on Configuration]]+CRF_3[[#This Row],[Time Spent on Review/Testing]]</f>
        <v>NaN</v>
      </c>
      <c r="O1029" s="1" t="s">
        <v>32</v>
      </c>
      <c r="P1029" s="1" t="s">
        <v>41</v>
      </c>
      <c r="Q1029" s="1" t="s">
        <v>708</v>
      </c>
      <c r="R1029" s="11">
        <v>45427</v>
      </c>
      <c r="S1029" s="1">
        <v>5</v>
      </c>
      <c r="U1029" s="48"/>
    </row>
    <row r="1030" ht="90" customHeight="1" spans="1:21" x14ac:dyDescent="0.25">
      <c r="A1030" s="1" t="s">
        <v>3646</v>
      </c>
      <c r="B1030" s="1">
        <v>2024</v>
      </c>
      <c r="C1030" s="2" t="s">
        <v>48</v>
      </c>
      <c r="D1030" s="1" t="s">
        <v>25</v>
      </c>
      <c r="E1030" s="1">
        <v>377620</v>
      </c>
      <c r="F1030" s="1" t="s">
        <v>37</v>
      </c>
      <c r="G1030" s="11">
        <v>45434</v>
      </c>
      <c r="H1030" s="11" t="s">
        <v>133</v>
      </c>
      <c r="I1030" s="2" t="s">
        <v>3834</v>
      </c>
      <c r="J1030" s="2" t="s">
        <v>3835</v>
      </c>
      <c r="K1030" s="12">
        <v>0.013888888890505768</v>
      </c>
      <c r="L1030" s="12">
        <v>0.024305555554747116</v>
      </c>
      <c r="M1030" s="13">
        <f>CRF_3[[#This Row],[Time Spent on Configuration]]+CRF_3[[#This Row],[Time Spent on Review/Testing]]</f>
        <v>NaN</v>
      </c>
      <c r="O1030" s="1" t="s">
        <v>31</v>
      </c>
      <c r="P1030" s="1" t="s">
        <v>483</v>
      </c>
      <c r="Q1030" s="1" t="s">
        <v>47</v>
      </c>
      <c r="R1030" s="11">
        <v>45434</v>
      </c>
      <c r="S1030" s="1">
        <v>5</v>
      </c>
      <c r="U1030" s="48"/>
    </row>
    <row r="1031" ht="60" customHeight="1" spans="1:21" x14ac:dyDescent="0.25">
      <c r="A1031" s="1" t="s">
        <v>3646</v>
      </c>
      <c r="B1031" s="1">
        <v>2024</v>
      </c>
      <c r="C1031" s="2" t="s">
        <v>35</v>
      </c>
      <c r="D1031" s="1" t="s">
        <v>25</v>
      </c>
      <c r="E1031" s="1">
        <v>374620</v>
      </c>
      <c r="F1031" s="1" t="s">
        <v>713</v>
      </c>
      <c r="G1031" s="11">
        <v>45435</v>
      </c>
      <c r="H1031" s="11" t="s">
        <v>507</v>
      </c>
      <c r="I1031" s="2" t="s">
        <v>3836</v>
      </c>
      <c r="J1031" s="2" t="s">
        <v>3837</v>
      </c>
      <c r="K1031" s="12">
        <v>0</v>
      </c>
      <c r="L1031" s="12">
        <v>0.013888888890505768</v>
      </c>
      <c r="M1031" s="13">
        <f>CRF_3[[#This Row],[Time Spent on Configuration]]+CRF_3[[#This Row],[Time Spent on Review/Testing]]</f>
        <v>NaN</v>
      </c>
      <c r="O1031" s="1" t="s">
        <v>716</v>
      </c>
      <c r="P1031" s="1" t="s">
        <v>41</v>
      </c>
      <c r="Q1031" s="1" t="s">
        <v>42</v>
      </c>
      <c r="R1031" s="11">
        <v>45435</v>
      </c>
      <c r="S1031" s="1">
        <v>5</v>
      </c>
      <c r="U1031" s="48"/>
    </row>
    <row r="1032" ht="120" customHeight="1" spans="1:21" x14ac:dyDescent="0.25">
      <c r="A1032" s="1" t="s">
        <v>3646</v>
      </c>
      <c r="B1032" s="1">
        <v>2024</v>
      </c>
      <c r="C1032" s="2" t="s">
        <v>72</v>
      </c>
      <c r="D1032" s="1" t="s">
        <v>236</v>
      </c>
      <c r="E1032" s="1">
        <v>378819</v>
      </c>
      <c r="F1032" s="1" t="s">
        <v>713</v>
      </c>
      <c r="G1032" s="11">
        <v>45437</v>
      </c>
      <c r="H1032" s="11" t="s">
        <v>507</v>
      </c>
      <c r="I1032" s="2" t="s">
        <v>3838</v>
      </c>
      <c r="J1032" s="2" t="s">
        <v>3839</v>
      </c>
      <c r="K1032" s="12">
        <v>0.020833333332120674</v>
      </c>
      <c r="L1032" s="12">
        <v>0.038194444445252884</v>
      </c>
      <c r="M1032" s="13">
        <f>CRF_3[[#This Row],[Time Spent on Configuration]]+CRF_3[[#This Row],[Time Spent on Review/Testing]]</f>
        <v>NaN</v>
      </c>
      <c r="O1032" s="1" t="s">
        <v>53</v>
      </c>
      <c r="P1032" s="1" t="s">
        <v>32</v>
      </c>
      <c r="Q1032" s="1" t="s">
        <v>708</v>
      </c>
      <c r="R1032" s="11">
        <v>45437</v>
      </c>
      <c r="S1032" s="1">
        <v>5</v>
      </c>
      <c r="U1032" s="48"/>
    </row>
    <row r="1033" spans="1:21" x14ac:dyDescent="0.25">
      <c r="A1033" s="1" t="s">
        <v>3646</v>
      </c>
      <c r="B1033" s="1">
        <v>2024</v>
      </c>
      <c r="C1033" s="2" t="s">
        <v>334</v>
      </c>
      <c r="D1033" s="1" t="s">
        <v>335</v>
      </c>
      <c r="E1033" s="1">
        <v>377429</v>
      </c>
      <c r="F1033" s="1" t="s">
        <v>37</v>
      </c>
      <c r="G1033" s="11">
        <v>45443</v>
      </c>
      <c r="H1033" s="11" t="s">
        <v>28</v>
      </c>
      <c r="I1033" s="2" t="s">
        <v>721</v>
      </c>
      <c r="J1033" s="2" t="s">
        <v>721</v>
      </c>
      <c r="K1033" s="12">
        <v>0.04930555555620231</v>
      </c>
      <c r="L1033" s="12">
        <v>0.04861111110949423</v>
      </c>
      <c r="M1033" s="13">
        <f>CRF_3[[#This Row],[Time Spent on Configuration]]+CRF_3[[#This Row],[Time Spent on Review/Testing]]</f>
        <v>NaN</v>
      </c>
      <c r="O1033" s="1" t="s">
        <v>574</v>
      </c>
      <c r="P1033" s="1" t="s">
        <v>32</v>
      </c>
      <c r="Q1033" s="1" t="s">
        <v>42</v>
      </c>
      <c r="R1033" s="11">
        <v>45443</v>
      </c>
      <c r="S1033" s="1">
        <v>5</v>
      </c>
      <c r="U1033" s="48"/>
    </row>
    <row r="1034" ht="30" customHeight="1" spans="1:21" x14ac:dyDescent="0.25">
      <c r="A1034" s="1" t="s">
        <v>3663</v>
      </c>
      <c r="B1034" s="1">
        <v>2024</v>
      </c>
      <c r="C1034" s="2" t="s">
        <v>113</v>
      </c>
      <c r="D1034" s="1" t="s">
        <v>25</v>
      </c>
      <c r="E1034" s="1">
        <v>381035</v>
      </c>
      <c r="F1034" s="1" t="s">
        <v>37</v>
      </c>
      <c r="G1034" s="11">
        <v>45451</v>
      </c>
      <c r="H1034" s="11" t="s">
        <v>507</v>
      </c>
      <c r="I1034" s="2" t="s">
        <v>724</v>
      </c>
      <c r="J1034" s="2" t="s">
        <v>725</v>
      </c>
      <c r="K1034" s="12">
        <v>0.03125</v>
      </c>
      <c r="L1034" s="12">
        <v>0.04513888889050577</v>
      </c>
      <c r="M1034" s="13">
        <f>CRF_3[[#This Row],[Time Spent on Configuration]]+CRF_3[[#This Row],[Time Spent on Review/Testing]]</f>
        <v>NaN</v>
      </c>
      <c r="O1034" s="1" t="s">
        <v>574</v>
      </c>
      <c r="P1034" s="1" t="s">
        <v>32</v>
      </c>
      <c r="Q1034" s="1" t="s">
        <v>47</v>
      </c>
      <c r="R1034" s="11">
        <v>45451</v>
      </c>
      <c r="S1034" s="1">
        <v>5</v>
      </c>
      <c r="U1034" s="48"/>
    </row>
    <row r="1035" ht="165" customHeight="1" spans="1:21" x14ac:dyDescent="0.25">
      <c r="A1035" s="1" t="s">
        <v>3663</v>
      </c>
      <c r="B1035" s="1">
        <v>2024</v>
      </c>
      <c r="C1035" s="2" t="s">
        <v>286</v>
      </c>
      <c r="D1035" s="1" t="s">
        <v>287</v>
      </c>
      <c r="E1035" s="1">
        <v>381022</v>
      </c>
      <c r="F1035" s="1" t="s">
        <v>37</v>
      </c>
      <c r="G1035" s="11">
        <v>45454</v>
      </c>
      <c r="H1035" s="11" t="s">
        <v>74</v>
      </c>
      <c r="I1035" s="2" t="s">
        <v>3840</v>
      </c>
      <c r="J1035" s="2" t="s">
        <v>3841</v>
      </c>
      <c r="K1035" s="12">
        <v>0.020833333332120674</v>
      </c>
      <c r="L1035" s="12">
        <v>0.03125</v>
      </c>
      <c r="M1035" s="13">
        <f>CRF_3[[#This Row],[Time Spent on Configuration]]+CRF_3[[#This Row],[Time Spent on Review/Testing]]</f>
        <v>NaN</v>
      </c>
      <c r="O1035" s="1" t="s">
        <v>53</v>
      </c>
      <c r="P1035" s="1" t="s">
        <v>41</v>
      </c>
      <c r="Q1035" s="1" t="s">
        <v>47</v>
      </c>
      <c r="R1035" s="11">
        <v>45454</v>
      </c>
      <c r="S1035" s="1">
        <v>5</v>
      </c>
      <c r="U1035" s="48"/>
    </row>
    <row r="1036" ht="75" customHeight="1" spans="1:21" x14ac:dyDescent="0.25">
      <c r="A1036" s="1" t="s">
        <v>3663</v>
      </c>
      <c r="B1036" s="1">
        <v>2024</v>
      </c>
      <c r="C1036" s="2" t="s">
        <v>545</v>
      </c>
      <c r="D1036" s="1" t="s">
        <v>546</v>
      </c>
      <c r="E1036" s="1">
        <v>381309</v>
      </c>
      <c r="F1036" s="1" t="s">
        <v>37</v>
      </c>
      <c r="G1036" s="11">
        <v>45454</v>
      </c>
      <c r="H1036" s="11" t="s">
        <v>3842</v>
      </c>
      <c r="I1036" s="2" t="s">
        <v>3843</v>
      </c>
      <c r="J1036" s="2" t="s">
        <v>3844</v>
      </c>
      <c r="K1036" s="12">
        <v>0.020833333332120674</v>
      </c>
      <c r="L1036" s="12">
        <v>0.03125</v>
      </c>
      <c r="M1036" s="13">
        <f>CRF_3[[#This Row],[Time Spent on Configuration]]+CRF_3[[#This Row],[Time Spent on Review/Testing]]</f>
        <v>NaN</v>
      </c>
      <c r="O1036" s="1" t="s">
        <v>53</v>
      </c>
      <c r="P1036" s="1" t="s">
        <v>41</v>
      </c>
      <c r="Q1036" s="1" t="s">
        <v>47</v>
      </c>
      <c r="R1036" s="11">
        <v>45454</v>
      </c>
      <c r="S1036" s="1">
        <v>5</v>
      </c>
      <c r="U1036" s="48"/>
    </row>
    <row r="1037" ht="120" customHeight="1" spans="1:21" x14ac:dyDescent="0.25">
      <c r="A1037" s="1" t="s">
        <v>3663</v>
      </c>
      <c r="B1037" s="1">
        <v>2024</v>
      </c>
      <c r="C1037" s="2" t="s">
        <v>247</v>
      </c>
      <c r="D1037" s="1" t="s">
        <v>25</v>
      </c>
      <c r="E1037" s="1">
        <v>381426</v>
      </c>
      <c r="F1037" s="1" t="s">
        <v>37</v>
      </c>
      <c r="G1037" s="11">
        <v>45455</v>
      </c>
      <c r="H1037" s="11" t="s">
        <v>28</v>
      </c>
      <c r="I1037" s="2" t="s">
        <v>3845</v>
      </c>
      <c r="J1037" s="2" t="s">
        <v>3846</v>
      </c>
      <c r="K1037" s="12">
        <v>0.027777777777373558</v>
      </c>
      <c r="L1037" s="12">
        <v>0.07083333333503106</v>
      </c>
      <c r="M1037" s="13">
        <f>CRF_3[[#This Row],[Time Spent on Configuration]]+CRF_3[[#This Row],[Time Spent on Review/Testing]]</f>
        <v>NaN</v>
      </c>
      <c r="O1037" s="1" t="s">
        <v>32</v>
      </c>
      <c r="P1037" s="1" t="s">
        <v>41</v>
      </c>
      <c r="Q1037" s="1" t="s">
        <v>708</v>
      </c>
      <c r="R1037" s="11">
        <v>45456</v>
      </c>
      <c r="S1037" s="1">
        <v>5</v>
      </c>
      <c r="U1037" s="48"/>
    </row>
    <row r="1038" ht="30" customHeight="1" spans="1:21" x14ac:dyDescent="0.25">
      <c r="A1038" s="1" t="s">
        <v>3663</v>
      </c>
      <c r="B1038" s="1">
        <v>2024</v>
      </c>
      <c r="C1038" s="2" t="s">
        <v>99</v>
      </c>
      <c r="D1038" s="1" t="s">
        <v>25</v>
      </c>
      <c r="E1038" s="1">
        <v>381358</v>
      </c>
      <c r="F1038" s="1" t="s">
        <v>37</v>
      </c>
      <c r="G1038" s="11">
        <v>45456</v>
      </c>
      <c r="H1038" s="11" t="s">
        <v>28</v>
      </c>
      <c r="I1038" s="2" t="s">
        <v>3847</v>
      </c>
      <c r="J1038" s="2" t="s">
        <v>737</v>
      </c>
      <c r="K1038" s="12">
        <v>0.010416666667879326</v>
      </c>
      <c r="L1038" s="12">
        <v>0.041666666667879326</v>
      </c>
      <c r="M1038" s="13">
        <f>CRF_3[[#This Row],[Time Spent on Configuration]]+CRF_3[[#This Row],[Time Spent on Review/Testing]]</f>
        <v>NaN</v>
      </c>
      <c r="O1038" s="1" t="s">
        <v>31</v>
      </c>
      <c r="P1038" s="1" t="s">
        <v>32</v>
      </c>
      <c r="Q1038" s="1" t="s">
        <v>47</v>
      </c>
      <c r="R1038" s="11">
        <v>45456</v>
      </c>
      <c r="S1038" s="1">
        <v>5</v>
      </c>
      <c r="U1038" s="48"/>
    </row>
    <row r="1039" ht="45" customHeight="1" spans="1:21" x14ac:dyDescent="0.25">
      <c r="A1039" s="1" t="s">
        <v>3663</v>
      </c>
      <c r="B1039" s="1">
        <v>2024</v>
      </c>
      <c r="C1039" s="2" t="s">
        <v>529</v>
      </c>
      <c r="D1039" s="1" t="s">
        <v>530</v>
      </c>
      <c r="E1039" s="1">
        <v>381467</v>
      </c>
      <c r="F1039" s="1" t="s">
        <v>37</v>
      </c>
      <c r="G1039" s="11">
        <v>45457</v>
      </c>
      <c r="H1039" s="11" t="s">
        <v>28</v>
      </c>
      <c r="I1039" s="2" t="s">
        <v>3848</v>
      </c>
      <c r="J1039" s="2" t="s">
        <v>740</v>
      </c>
      <c r="K1039" s="12">
        <v>0.027777777777373558</v>
      </c>
      <c r="L1039" s="12">
        <v>0.045833333333575865</v>
      </c>
      <c r="M1039" s="13">
        <f>CRF_3[[#This Row],[Time Spent on Configuration]]+CRF_3[[#This Row],[Time Spent on Review/Testing]]</f>
        <v>NaN</v>
      </c>
      <c r="O1039" s="1" t="s">
        <v>32</v>
      </c>
      <c r="P1039" s="1" t="s">
        <v>41</v>
      </c>
      <c r="Q1039" s="1" t="s">
        <v>47</v>
      </c>
      <c r="R1039" s="11">
        <v>45457</v>
      </c>
      <c r="S1039" s="1">
        <v>5</v>
      </c>
      <c r="U1039" s="48"/>
    </row>
    <row r="1040" ht="135" customHeight="1" spans="1:21" x14ac:dyDescent="0.25">
      <c r="A1040" s="1" t="s">
        <v>3663</v>
      </c>
      <c r="B1040" s="1">
        <v>2024</v>
      </c>
      <c r="C1040" s="2" t="s">
        <v>35</v>
      </c>
      <c r="D1040" s="1" t="s">
        <v>25</v>
      </c>
      <c r="E1040" s="1">
        <v>363653</v>
      </c>
      <c r="F1040" s="1" t="s">
        <v>37</v>
      </c>
      <c r="G1040" s="11">
        <v>45460</v>
      </c>
      <c r="H1040" s="11" t="s">
        <v>28</v>
      </c>
      <c r="I1040" s="2" t="s">
        <v>3849</v>
      </c>
      <c r="J1040" s="2" t="s">
        <v>3850</v>
      </c>
      <c r="K1040" s="12">
        <v>0.0625</v>
      </c>
      <c r="L1040" s="12">
        <v>0.03472222222262644</v>
      </c>
      <c r="M1040" s="13">
        <f>CRF_3[[#This Row],[Time Spent on Configuration]]+CRF_3[[#This Row],[Time Spent on Review/Testing]]</f>
        <v>NaN</v>
      </c>
      <c r="O1040" s="1" t="s">
        <v>31</v>
      </c>
      <c r="P1040" s="1" t="s">
        <v>32</v>
      </c>
      <c r="Q1040" s="1" t="s">
        <v>42</v>
      </c>
      <c r="R1040" s="11">
        <v>45462</v>
      </c>
      <c r="S1040" s="1">
        <v>5</v>
      </c>
      <c r="U1040" s="48"/>
    </row>
    <row r="1041" spans="1:21" x14ac:dyDescent="0.25">
      <c r="A1041" s="1" t="s">
        <v>3663</v>
      </c>
      <c r="B1041" s="1">
        <v>2024</v>
      </c>
      <c r="C1041" s="2" t="s">
        <v>479</v>
      </c>
      <c r="D1041" s="1" t="s">
        <v>25</v>
      </c>
      <c r="E1041" s="1">
        <v>381622</v>
      </c>
      <c r="F1041" s="1" t="s">
        <v>27</v>
      </c>
      <c r="G1041" s="11">
        <v>45461</v>
      </c>
      <c r="H1041" s="11" t="s">
        <v>507</v>
      </c>
      <c r="I1041" s="2" t="s">
        <v>745</v>
      </c>
      <c r="J1041" s="2" t="s">
        <v>746</v>
      </c>
      <c r="K1041" s="12">
        <v>0.013888888890505768</v>
      </c>
      <c r="L1041" s="12">
        <v>0.02569444444452529</v>
      </c>
      <c r="M1041" s="13">
        <f>CRF_3[[#This Row],[Time Spent on Configuration]]+CRF_3[[#This Row],[Time Spent on Review/Testing]]</f>
        <v>NaN</v>
      </c>
      <c r="O1041" s="1" t="s">
        <v>32</v>
      </c>
      <c r="P1041" s="1" t="s">
        <v>41</v>
      </c>
      <c r="Q1041" s="1" t="s">
        <v>42</v>
      </c>
      <c r="R1041" s="11">
        <v>45461</v>
      </c>
      <c r="S1041" s="1">
        <v>5</v>
      </c>
      <c r="U1041" s="48"/>
    </row>
    <row r="1042" spans="1:21" x14ac:dyDescent="0.25">
      <c r="A1042" s="1" t="s">
        <v>3663</v>
      </c>
      <c r="B1042" s="1">
        <v>2024</v>
      </c>
      <c r="C1042" s="2" t="s">
        <v>35</v>
      </c>
      <c r="D1042" s="1" t="s">
        <v>25</v>
      </c>
      <c r="E1042" s="1">
        <v>382536</v>
      </c>
      <c r="F1042" s="1" t="s">
        <v>27</v>
      </c>
      <c r="G1042" s="11">
        <v>45471</v>
      </c>
      <c r="H1042" s="11" t="s">
        <v>507</v>
      </c>
      <c r="I1042" s="2" t="s">
        <v>748</v>
      </c>
      <c r="J1042" s="2" t="s">
        <v>749</v>
      </c>
      <c r="K1042" s="12">
        <v>0.010416666667879326</v>
      </c>
      <c r="L1042" s="12">
        <v>0.027777777777373558</v>
      </c>
      <c r="M1042" s="13">
        <f>CRF_3[[#This Row],[Time Spent on Configuration]]+CRF_3[[#This Row],[Time Spent on Review/Testing]]</f>
        <v>NaN</v>
      </c>
      <c r="O1042" s="1" t="s">
        <v>41</v>
      </c>
      <c r="P1042" s="1" t="s">
        <v>32</v>
      </c>
      <c r="Q1042" s="1" t="s">
        <v>42</v>
      </c>
      <c r="R1042" s="11">
        <v>45471</v>
      </c>
      <c r="S1042" s="1">
        <v>5</v>
      </c>
      <c r="U1042" s="48"/>
    </row>
    <row r="1043" spans="1:21" x14ac:dyDescent="0.25">
      <c r="A1043" s="1" t="s">
        <v>3663</v>
      </c>
      <c r="B1043" s="1">
        <v>2024</v>
      </c>
      <c r="C1043" s="2" t="s">
        <v>641</v>
      </c>
      <c r="D1043" s="1" t="s">
        <v>261</v>
      </c>
      <c r="E1043" s="1">
        <v>383359</v>
      </c>
      <c r="F1043" s="1" t="s">
        <v>27</v>
      </c>
      <c r="G1043" s="11">
        <v>45476</v>
      </c>
      <c r="H1043" s="11" t="s">
        <v>133</v>
      </c>
      <c r="I1043" s="2" t="s">
        <v>752</v>
      </c>
      <c r="J1043" s="2" t="s">
        <v>753</v>
      </c>
      <c r="K1043" s="12">
        <v>0.013888888890505768</v>
      </c>
      <c r="L1043" s="12">
        <v>0.04861111110949423</v>
      </c>
      <c r="M1043" s="13">
        <f>CRF_3[[#This Row],[Time Spent on Configuration]]+CRF_3[[#This Row],[Time Spent on Review/Testing]]</f>
        <v>NaN</v>
      </c>
      <c r="O1043" s="1" t="s">
        <v>32</v>
      </c>
      <c r="P1043" s="1" t="s">
        <v>41</v>
      </c>
      <c r="Q1043" s="1" t="s">
        <v>42</v>
      </c>
      <c r="R1043" s="11">
        <v>45476</v>
      </c>
      <c r="S1043" s="1">
        <v>5</v>
      </c>
      <c r="U1043" s="48"/>
    </row>
    <row r="1044" spans="1:21" x14ac:dyDescent="0.25">
      <c r="A1044" s="1" t="s">
        <v>3676</v>
      </c>
      <c r="B1044" s="1">
        <v>2024</v>
      </c>
      <c r="C1044" s="2" t="s">
        <v>641</v>
      </c>
      <c r="D1044" s="1" t="s">
        <v>261</v>
      </c>
      <c r="E1044" s="1">
        <v>384238</v>
      </c>
      <c r="F1044" s="1" t="s">
        <v>37</v>
      </c>
      <c r="G1044" s="11">
        <v>45483</v>
      </c>
      <c r="H1044" s="11" t="s">
        <v>96</v>
      </c>
      <c r="I1044" s="2" t="s">
        <v>3851</v>
      </c>
      <c r="J1044" s="2" t="s">
        <v>3851</v>
      </c>
      <c r="K1044" s="12">
        <v>0.0625</v>
      </c>
      <c r="L1044" s="12">
        <v>0.027777777777373558</v>
      </c>
      <c r="M1044" s="13">
        <f>CRF_3[[#This Row],[Time Spent on Configuration]]+CRF_3[[#This Row],[Time Spent on Review/Testing]]</f>
        <v>NaN</v>
      </c>
      <c r="O1044" s="1" t="s">
        <v>31</v>
      </c>
      <c r="P1044" s="1" t="s">
        <v>32</v>
      </c>
      <c r="Q1044" s="1" t="s">
        <v>42</v>
      </c>
      <c r="R1044" s="11">
        <v>45483</v>
      </c>
      <c r="S1044" s="1">
        <v>5</v>
      </c>
      <c r="U1044" s="48"/>
    </row>
    <row r="1045" ht="225" customHeight="1" spans="1:21" x14ac:dyDescent="0.25">
      <c r="A1045" s="1" t="s">
        <v>3676</v>
      </c>
      <c r="B1045" s="1">
        <v>2024</v>
      </c>
      <c r="C1045" s="2" t="s">
        <v>286</v>
      </c>
      <c r="D1045" s="1" t="s">
        <v>287</v>
      </c>
      <c r="E1045" s="1">
        <v>383548</v>
      </c>
      <c r="F1045" s="1" t="s">
        <v>37</v>
      </c>
      <c r="G1045" s="11">
        <v>45483</v>
      </c>
      <c r="H1045" s="11" t="s">
        <v>38</v>
      </c>
      <c r="I1045" s="2" t="s">
        <v>3852</v>
      </c>
      <c r="J1045" s="2" t="s">
        <v>3852</v>
      </c>
      <c r="K1045" s="12">
        <v>0.0625</v>
      </c>
      <c r="L1045" s="12">
        <v>0.05902777777737356</v>
      </c>
      <c r="M1045" s="13">
        <f>CRF_3[[#This Row],[Time Spent on Configuration]]+CRF_3[[#This Row],[Time Spent on Review/Testing]]</f>
        <v>NaN</v>
      </c>
      <c r="O1045" s="1" t="s">
        <v>31</v>
      </c>
      <c r="P1045" s="1" t="s">
        <v>41</v>
      </c>
      <c r="Q1045" s="1" t="s">
        <v>47</v>
      </c>
      <c r="R1045" s="11">
        <v>45483</v>
      </c>
      <c r="S1045" s="1">
        <v>5</v>
      </c>
      <c r="U1045" s="48"/>
    </row>
    <row r="1046" ht="105" customHeight="1" spans="1:21" x14ac:dyDescent="0.25">
      <c r="A1046" s="1" t="s">
        <v>3676</v>
      </c>
      <c r="B1046" s="1">
        <v>2024</v>
      </c>
      <c r="C1046" s="2" t="s">
        <v>308</v>
      </c>
      <c r="D1046" s="1" t="s">
        <v>309</v>
      </c>
      <c r="E1046" s="1">
        <v>384416</v>
      </c>
      <c r="F1046" s="1" t="s">
        <v>27</v>
      </c>
      <c r="G1046" s="11">
        <v>45485</v>
      </c>
      <c r="H1046" s="11" t="s">
        <v>38</v>
      </c>
      <c r="I1046" s="41" t="s">
        <v>3853</v>
      </c>
      <c r="J1046" s="41" t="s">
        <v>3853</v>
      </c>
      <c r="K1046" s="12">
        <v>0.024305555554747116</v>
      </c>
      <c r="L1046" s="12">
        <v>0.04513888889050577</v>
      </c>
      <c r="M1046" s="13">
        <f>CRF_3[[#This Row],[Time Spent on Configuration]]+CRF_3[[#This Row],[Time Spent on Review/Testing]]</f>
        <v>NaN</v>
      </c>
      <c r="O1046" s="1" t="s">
        <v>31</v>
      </c>
      <c r="P1046" s="1" t="s">
        <v>32</v>
      </c>
      <c r="Q1046" s="1" t="s">
        <v>42</v>
      </c>
      <c r="R1046" s="11">
        <v>45485</v>
      </c>
      <c r="S1046" s="1">
        <v>5</v>
      </c>
      <c r="U1046" s="48"/>
    </row>
    <row r="1047" spans="1:21" x14ac:dyDescent="0.25">
      <c r="A1047" s="1" t="s">
        <v>3676</v>
      </c>
      <c r="B1047" s="1">
        <v>2024</v>
      </c>
      <c r="C1047" s="2" t="s">
        <v>2813</v>
      </c>
      <c r="D1047" s="1" t="s">
        <v>25</v>
      </c>
      <c r="E1047" s="1">
        <v>383619</v>
      </c>
      <c r="F1047" s="1" t="s">
        <v>27</v>
      </c>
      <c r="G1047" s="11">
        <v>45485</v>
      </c>
      <c r="H1047" s="11" t="s">
        <v>38</v>
      </c>
      <c r="I1047" s="2" t="s">
        <v>3854</v>
      </c>
      <c r="J1047" s="2" t="s">
        <v>3854</v>
      </c>
      <c r="K1047" s="12">
        <v>0.024305555554747116</v>
      </c>
      <c r="L1047" s="12">
        <v>0.027777777777373558</v>
      </c>
      <c r="M1047" s="13">
        <f>CRF_3[[#This Row],[Time Spent on Configuration]]+CRF_3[[#This Row],[Time Spent on Review/Testing]]</f>
        <v>NaN</v>
      </c>
      <c r="O1047" s="1" t="s">
        <v>31</v>
      </c>
      <c r="P1047" s="1" t="s">
        <v>32</v>
      </c>
      <c r="Q1047" s="1" t="s">
        <v>112</v>
      </c>
      <c r="R1047" s="11">
        <v>45485</v>
      </c>
      <c r="S1047" s="1">
        <v>5</v>
      </c>
      <c r="U1047" s="48"/>
    </row>
    <row r="1048" ht="30" customHeight="1" spans="1:21" x14ac:dyDescent="0.25">
      <c r="A1048" s="1" t="s">
        <v>3676</v>
      </c>
      <c r="B1048" s="1">
        <v>2024</v>
      </c>
      <c r="C1048" s="2" t="s">
        <v>247</v>
      </c>
      <c r="D1048" s="1" t="s">
        <v>25</v>
      </c>
      <c r="E1048" s="1">
        <v>385105</v>
      </c>
      <c r="F1048" s="1" t="s">
        <v>27</v>
      </c>
      <c r="G1048" s="11">
        <v>45490</v>
      </c>
      <c r="H1048" s="11" t="s">
        <v>38</v>
      </c>
      <c r="I1048" s="2" t="s">
        <v>3855</v>
      </c>
      <c r="J1048" s="2" t="s">
        <v>3856</v>
      </c>
      <c r="K1048" s="12">
        <v>0.020833333332120674</v>
      </c>
      <c r="L1048" s="12">
        <v>0.027777777777373558</v>
      </c>
      <c r="M1048" s="13">
        <f>CRF_3[[#This Row],[Time Spent on Configuration]]+CRF_3[[#This Row],[Time Spent on Review/Testing]]</f>
        <v>NaN</v>
      </c>
      <c r="O1048" s="1" t="s">
        <v>31</v>
      </c>
      <c r="P1048" s="1" t="s">
        <v>32</v>
      </c>
      <c r="Q1048" s="1" t="s">
        <v>47</v>
      </c>
      <c r="R1048" s="11">
        <v>45490</v>
      </c>
      <c r="S1048" s="1">
        <v>5</v>
      </c>
      <c r="U1048" s="48"/>
    </row>
    <row r="1049" ht="30" customHeight="1" spans="1:21" x14ac:dyDescent="0.25">
      <c r="A1049" s="1" t="s">
        <v>3676</v>
      </c>
      <c r="B1049" s="1">
        <v>2024</v>
      </c>
      <c r="C1049" s="2" t="s">
        <v>113</v>
      </c>
      <c r="D1049" s="1" t="s">
        <v>25</v>
      </c>
      <c r="E1049" s="1">
        <v>383034</v>
      </c>
      <c r="F1049" s="1" t="s">
        <v>27</v>
      </c>
      <c r="G1049" s="11">
        <v>45490</v>
      </c>
      <c r="H1049" s="11" t="s">
        <v>28</v>
      </c>
      <c r="I1049" s="2" t="s">
        <v>3857</v>
      </c>
      <c r="J1049" s="2" t="s">
        <v>3858</v>
      </c>
      <c r="K1049" s="12">
        <v>0.03125</v>
      </c>
      <c r="L1049" s="12">
        <v>0.041666666667879326</v>
      </c>
      <c r="M1049" s="13">
        <f>CRF_3[[#This Row],[Time Spent on Configuration]]+CRF_3[[#This Row],[Time Spent on Review/Testing]]</f>
        <v>NaN</v>
      </c>
      <c r="O1049" s="1" t="s">
        <v>31</v>
      </c>
      <c r="P1049" s="1" t="s">
        <v>32</v>
      </c>
      <c r="Q1049" s="1" t="s">
        <v>47</v>
      </c>
      <c r="R1049" s="11">
        <v>45490</v>
      </c>
      <c r="S1049" s="1">
        <v>5</v>
      </c>
      <c r="U1049" s="48"/>
    </row>
    <row r="1050" spans="1:21" x14ac:dyDescent="0.25">
      <c r="A1050" s="1" t="s">
        <v>3676</v>
      </c>
      <c r="B1050" s="1">
        <v>2024</v>
      </c>
      <c r="C1050" s="2" t="s">
        <v>2813</v>
      </c>
      <c r="D1050" s="1" t="s">
        <v>25</v>
      </c>
      <c r="E1050" s="1">
        <v>383719</v>
      </c>
      <c r="F1050" s="1" t="s">
        <v>27</v>
      </c>
      <c r="G1050" s="11">
        <v>45485</v>
      </c>
      <c r="H1050" s="11" t="s">
        <v>38</v>
      </c>
      <c r="I1050" s="2" t="s">
        <v>3859</v>
      </c>
      <c r="J1050" s="2" t="s">
        <v>3860</v>
      </c>
      <c r="K1050" s="12">
        <v>0.024305555554747116</v>
      </c>
      <c r="L1050" s="12">
        <v>0.052083333332120674</v>
      </c>
      <c r="M1050" s="13">
        <f>CRF_3[[#This Row],[Time Spent on Configuration]]+CRF_3[[#This Row],[Time Spent on Review/Testing]]</f>
        <v>NaN</v>
      </c>
      <c r="O1050" s="1" t="s">
        <v>31</v>
      </c>
      <c r="P1050" s="1" t="s">
        <v>41</v>
      </c>
      <c r="Q1050" s="1" t="s">
        <v>112</v>
      </c>
      <c r="R1050" s="11">
        <v>45491</v>
      </c>
      <c r="S1050" s="1">
        <v>5</v>
      </c>
      <c r="U1050" s="48"/>
    </row>
    <row r="1051" ht="45" customHeight="1" spans="1:21" x14ac:dyDescent="0.25">
      <c r="A1051" s="1" t="s">
        <v>3676</v>
      </c>
      <c r="B1051" s="1">
        <v>2024</v>
      </c>
      <c r="C1051" s="2" t="s">
        <v>258</v>
      </c>
      <c r="D1051" s="1" t="s">
        <v>25</v>
      </c>
      <c r="E1051" s="1">
        <v>376600</v>
      </c>
      <c r="F1051" s="1" t="s">
        <v>27</v>
      </c>
      <c r="G1051" s="11">
        <v>45497</v>
      </c>
      <c r="H1051" s="11" t="s">
        <v>507</v>
      </c>
      <c r="I1051" s="2" t="s">
        <v>3861</v>
      </c>
      <c r="J1051" s="2" t="s">
        <v>773</v>
      </c>
      <c r="K1051" s="12">
        <v>0.020833333332120674</v>
      </c>
      <c r="L1051" s="12">
        <v>0.04513888889050577</v>
      </c>
      <c r="M1051" s="13">
        <f>CRF_3[[#This Row],[Time Spent on Configuration]]+CRF_3[[#This Row],[Time Spent on Review/Testing]]</f>
        <v>NaN</v>
      </c>
      <c r="O1051" s="1" t="s">
        <v>32</v>
      </c>
      <c r="P1051" s="1" t="s">
        <v>41</v>
      </c>
      <c r="Q1051" s="1" t="s">
        <v>42</v>
      </c>
      <c r="R1051" s="11">
        <v>45497</v>
      </c>
      <c r="S1051" s="1">
        <v>5</v>
      </c>
      <c r="U1051" s="48"/>
    </row>
    <row r="1052" ht="75" customHeight="1" spans="1:21" x14ac:dyDescent="0.25">
      <c r="A1052" s="1" t="s">
        <v>3676</v>
      </c>
      <c r="B1052" s="1">
        <v>2024</v>
      </c>
      <c r="C1052" s="2" t="s">
        <v>286</v>
      </c>
      <c r="D1052" s="1" t="s">
        <v>287</v>
      </c>
      <c r="E1052" s="1">
        <v>385254</v>
      </c>
      <c r="F1052" s="1" t="s">
        <v>37</v>
      </c>
      <c r="G1052" s="11">
        <v>45497</v>
      </c>
      <c r="H1052" s="11" t="s">
        <v>670</v>
      </c>
      <c r="I1052" s="2" t="s">
        <v>3864</v>
      </c>
      <c r="J1052" s="2" t="s">
        <v>3865</v>
      </c>
      <c r="K1052" s="12">
        <v>0.041666666667879326</v>
      </c>
      <c r="L1052" s="12">
        <v>0.020833333332120674</v>
      </c>
      <c r="M1052" s="13">
        <f>CRF_3[[#This Row],[Time Spent on Configuration]]+CRF_3[[#This Row],[Time Spent on Review/Testing]]</f>
        <v>NaN</v>
      </c>
      <c r="O1052" s="1" t="s">
        <v>31</v>
      </c>
      <c r="P1052" s="1" t="s">
        <v>32</v>
      </c>
      <c r="Q1052" s="1" t="s">
        <v>47</v>
      </c>
      <c r="R1052" s="11">
        <v>45497</v>
      </c>
      <c r="S1052" s="1">
        <v>5</v>
      </c>
      <c r="U1052" s="48"/>
    </row>
    <row r="1053" ht="36" customHeight="1" spans="1:21" x14ac:dyDescent="0.25">
      <c r="A1053" s="1" t="s">
        <v>3676</v>
      </c>
      <c r="B1053" s="1">
        <v>2024</v>
      </c>
      <c r="C1053" s="2" t="s">
        <v>545</v>
      </c>
      <c r="D1053" s="1" t="s">
        <v>546</v>
      </c>
      <c r="E1053" s="1">
        <v>381517</v>
      </c>
      <c r="F1053" s="1" t="s">
        <v>27</v>
      </c>
      <c r="G1053" s="11">
        <v>45503</v>
      </c>
      <c r="H1053" s="11" t="s">
        <v>28</v>
      </c>
      <c r="I1053" s="2" t="s">
        <v>781</v>
      </c>
      <c r="J1053" s="42" t="s">
        <v>3866</v>
      </c>
      <c r="K1053" s="12">
        <v>0.020833333332120674</v>
      </c>
      <c r="L1053" s="12">
        <v>0.027777777777373558</v>
      </c>
      <c r="M1053" s="13">
        <f>CRF_3[[#This Row],[Time Spent on Configuration]]+CRF_3[[#This Row],[Time Spent on Review/Testing]]</f>
        <v>NaN</v>
      </c>
      <c r="O1053" s="1" t="s">
        <v>53</v>
      </c>
      <c r="P1053" s="1" t="s">
        <v>32</v>
      </c>
      <c r="Q1053" s="1" t="s">
        <v>47</v>
      </c>
      <c r="R1053" s="11">
        <v>45503</v>
      </c>
      <c r="S1053" s="1">
        <v>5</v>
      </c>
      <c r="U1053" s="48"/>
    </row>
    <row r="1054" ht="75" customHeight="1" spans="1:21" x14ac:dyDescent="0.25">
      <c r="A1054" s="1" t="s">
        <v>3690</v>
      </c>
      <c r="B1054" s="1">
        <v>2024</v>
      </c>
      <c r="C1054" s="2" t="s">
        <v>118</v>
      </c>
      <c r="D1054" s="1" t="s">
        <v>25</v>
      </c>
      <c r="E1054" s="1">
        <v>385767</v>
      </c>
      <c r="F1054" s="1" t="s">
        <v>27</v>
      </c>
      <c r="G1054" s="11">
        <v>45505</v>
      </c>
      <c r="H1054" s="11" t="s">
        <v>38</v>
      </c>
      <c r="I1054" s="2" t="s">
        <v>3867</v>
      </c>
      <c r="J1054" s="2" t="s">
        <v>786</v>
      </c>
      <c r="K1054" s="12">
        <v>0.03472222222262644</v>
      </c>
      <c r="L1054" s="12">
        <v>0.05902777777737356</v>
      </c>
      <c r="M1054" s="13">
        <f>CRF_3[[#This Row],[Time Spent on Configuration]]+CRF_3[[#This Row],[Time Spent on Review/Testing]]</f>
        <v>NaN</v>
      </c>
      <c r="O1054" s="1" t="s">
        <v>31</v>
      </c>
      <c r="P1054" s="1" t="s">
        <v>41</v>
      </c>
      <c r="Q1054" s="1" t="s">
        <v>42</v>
      </c>
      <c r="R1054" s="11">
        <v>45505</v>
      </c>
      <c r="S1054" s="1">
        <v>5</v>
      </c>
      <c r="U1054" s="48"/>
    </row>
    <row r="1055" ht="30" customHeight="1" spans="1:21" x14ac:dyDescent="0.25">
      <c r="A1055" s="1" t="s">
        <v>3690</v>
      </c>
      <c r="B1055" s="1">
        <v>2024</v>
      </c>
      <c r="C1055" s="2" t="s">
        <v>667</v>
      </c>
      <c r="D1055" s="1" t="s">
        <v>3868</v>
      </c>
      <c r="E1055" s="1">
        <v>386992</v>
      </c>
      <c r="F1055" s="1" t="s">
        <v>27</v>
      </c>
      <c r="G1055" s="11">
        <v>45507</v>
      </c>
      <c r="H1055" s="11" t="s">
        <v>507</v>
      </c>
      <c r="I1055" s="2" t="s">
        <v>3869</v>
      </c>
      <c r="J1055" s="2" t="s">
        <v>789</v>
      </c>
      <c r="K1055" s="12">
        <v>0.03472222222262644</v>
      </c>
      <c r="L1055" s="12">
        <v>0.03125</v>
      </c>
      <c r="M1055" s="13">
        <f>CRF_3[[#This Row],[Time Spent on Configuration]]+CRF_3[[#This Row],[Time Spent on Review/Testing]]</f>
        <v>NaN</v>
      </c>
      <c r="O1055" s="1" t="s">
        <v>31</v>
      </c>
      <c r="P1055" s="1" t="s">
        <v>41</v>
      </c>
      <c r="Q1055" s="1" t="s">
        <v>42</v>
      </c>
      <c r="R1055" s="11">
        <v>45507</v>
      </c>
      <c r="S1055" s="1">
        <v>5</v>
      </c>
      <c r="U1055" s="48"/>
    </row>
    <row r="1056" ht="30" customHeight="1" spans="1:21" x14ac:dyDescent="0.25">
      <c r="A1056" s="1" t="s">
        <v>3690</v>
      </c>
      <c r="B1056" s="1">
        <v>2024</v>
      </c>
      <c r="C1056" s="2" t="s">
        <v>667</v>
      </c>
      <c r="D1056" s="1" t="s">
        <v>3868</v>
      </c>
      <c r="E1056" s="1">
        <v>386985</v>
      </c>
      <c r="F1056" s="1" t="s">
        <v>37</v>
      </c>
      <c r="G1056" s="11">
        <v>45507</v>
      </c>
      <c r="H1056" s="11" t="s">
        <v>74</v>
      </c>
      <c r="I1056" s="2" t="s">
        <v>3870</v>
      </c>
      <c r="J1056" s="2" t="s">
        <v>3871</v>
      </c>
      <c r="K1056" s="12">
        <v>0.03472222222262644</v>
      </c>
      <c r="L1056" s="12">
        <v>0.027777777777373558</v>
      </c>
      <c r="M1056" s="13">
        <f>CRF_3[[#This Row],[Time Spent on Configuration]]+CRF_3[[#This Row],[Time Spent on Review/Testing]]</f>
        <v>NaN</v>
      </c>
      <c r="O1056" s="1" t="s">
        <v>31</v>
      </c>
      <c r="P1056" s="1" t="s">
        <v>41</v>
      </c>
      <c r="Q1056" s="1" t="s">
        <v>42</v>
      </c>
      <c r="R1056" s="11">
        <v>45507</v>
      </c>
      <c r="S1056" s="1">
        <v>5</v>
      </c>
      <c r="U1056" s="48"/>
    </row>
    <row r="1057" ht="45" customHeight="1" spans="1:21" x14ac:dyDescent="0.25">
      <c r="A1057" s="72" t="s">
        <v>3690</v>
      </c>
      <c r="B1057" s="72">
        <v>2024</v>
      </c>
      <c r="C1057" s="2" t="s">
        <v>2813</v>
      </c>
      <c r="D1057" s="72" t="s">
        <v>25</v>
      </c>
      <c r="E1057" s="72">
        <v>386964</v>
      </c>
      <c r="F1057" s="1" t="s">
        <v>37</v>
      </c>
      <c r="G1057" s="73">
        <v>45510</v>
      </c>
      <c r="H1057" s="73" t="s">
        <v>28</v>
      </c>
      <c r="I1057" s="64" t="s">
        <v>3872</v>
      </c>
      <c r="J1057" s="74" t="s">
        <v>3873</v>
      </c>
      <c r="K1057" s="12">
        <v>0.03125</v>
      </c>
      <c r="L1057" s="12">
        <v>0.06597222222262644</v>
      </c>
      <c r="M1057" s="13">
        <f>CRF_3[[#This Row],[Time Spent on Configuration]]+CRF_3[[#This Row],[Time Spent on Review/Testing]]</f>
        <v>NaN</v>
      </c>
      <c r="O1057" s="1" t="s">
        <v>41</v>
      </c>
      <c r="P1057" s="1" t="s">
        <v>32</v>
      </c>
      <c r="Q1057" s="1" t="s">
        <v>244</v>
      </c>
      <c r="R1057" s="11">
        <v>45510</v>
      </c>
      <c r="S1057" s="1">
        <v>5</v>
      </c>
      <c r="U1057" s="48"/>
    </row>
    <row r="1058" ht="30" customHeight="1" spans="1:21" x14ac:dyDescent="0.25">
      <c r="A1058" s="1" t="s">
        <v>3690</v>
      </c>
      <c r="B1058" s="1">
        <v>2024</v>
      </c>
      <c r="C1058" s="2" t="s">
        <v>796</v>
      </c>
      <c r="D1058" s="1" t="s">
        <v>285</v>
      </c>
      <c r="E1058" s="1">
        <v>387374</v>
      </c>
      <c r="F1058" s="1" t="s">
        <v>37</v>
      </c>
      <c r="G1058" s="11">
        <v>45511</v>
      </c>
      <c r="H1058" s="11" t="s">
        <v>798</v>
      </c>
      <c r="I1058" s="2" t="s">
        <v>799</v>
      </c>
      <c r="J1058" s="2" t="s">
        <v>3874</v>
      </c>
      <c r="K1058" s="12">
        <v>0.020833333332120674</v>
      </c>
      <c r="L1058" s="12">
        <v>0.027777777777373558</v>
      </c>
      <c r="M1058" s="13">
        <f>CRF_3[[#This Row],[Time Spent on Configuration]]+CRF_3[[#This Row],[Time Spent on Review/Testing]]</f>
        <v>NaN</v>
      </c>
      <c r="O1058" s="1" t="s">
        <v>31</v>
      </c>
      <c r="P1058" s="1" t="s">
        <v>32</v>
      </c>
      <c r="Q1058" s="1" t="s">
        <v>47</v>
      </c>
      <c r="R1058" s="11">
        <v>45511</v>
      </c>
      <c r="S1058" s="1">
        <v>5</v>
      </c>
      <c r="U1058" s="48"/>
    </row>
    <row r="1059" ht="165" customHeight="1" spans="1:21" x14ac:dyDescent="0.25">
      <c r="A1059" s="1" t="s">
        <v>3690</v>
      </c>
      <c r="B1059" s="1">
        <v>2024</v>
      </c>
      <c r="C1059" s="2" t="s">
        <v>113</v>
      </c>
      <c r="D1059" s="1" t="s">
        <v>25</v>
      </c>
      <c r="E1059" s="1">
        <v>386144</v>
      </c>
      <c r="F1059" s="1" t="s">
        <v>37</v>
      </c>
      <c r="G1059" s="14">
        <v>45511</v>
      </c>
      <c r="H1059" s="1" t="s">
        <v>133</v>
      </c>
      <c r="I1059" s="17" t="s">
        <v>3875</v>
      </c>
      <c r="J1059" s="2" t="s">
        <v>3876</v>
      </c>
      <c r="K1059" s="43">
        <v>0.013888888890505768</v>
      </c>
      <c r="M1059" s="13">
        <f>CRF_3[[#This Row],[Time Spent on Configuration]]+CRF_3[[#This Row],[Time Spent on Review/Testing]]</f>
        <v>NaN</v>
      </c>
      <c r="O1059" s="1" t="s">
        <v>32</v>
      </c>
      <c r="P1059" s="1" t="s">
        <v>41</v>
      </c>
      <c r="Q1059" s="1" t="s">
        <v>47</v>
      </c>
      <c r="R1059" s="14">
        <v>45511</v>
      </c>
      <c r="S1059" s="1">
        <v>5</v>
      </c>
      <c r="U1059" s="48"/>
    </row>
    <row r="1060" ht="30" customHeight="1" spans="1:21" x14ac:dyDescent="0.25">
      <c r="A1060" s="2" t="s">
        <v>3690</v>
      </c>
      <c r="B1060" s="1">
        <v>2024</v>
      </c>
      <c r="C1060" s="2" t="s">
        <v>804</v>
      </c>
      <c r="D1060" s="1" t="s">
        <v>25</v>
      </c>
      <c r="E1060" s="1">
        <v>387504</v>
      </c>
      <c r="F1060" s="1" t="s">
        <v>27</v>
      </c>
      <c r="G1060" s="11">
        <v>45512</v>
      </c>
      <c r="H1060" s="1" t="s">
        <v>133</v>
      </c>
      <c r="I1060" s="2" t="s">
        <v>806</v>
      </c>
      <c r="J1060" s="2" t="s">
        <v>807</v>
      </c>
      <c r="K1060" s="12">
        <v>0.010416666667879326</v>
      </c>
      <c r="L1060" s="12">
        <v>0.04861111110949423</v>
      </c>
      <c r="M1060" s="13">
        <f>CRF_3[[#This Row],[Time Spent on Configuration]]+CRF_3[[#This Row],[Time Spent on Review/Testing]]</f>
        <v>NaN</v>
      </c>
      <c r="O1060" s="1" t="s">
        <v>41</v>
      </c>
      <c r="P1060" s="1" t="s">
        <v>32</v>
      </c>
      <c r="Q1060" s="1" t="s">
        <v>47</v>
      </c>
      <c r="R1060" s="11">
        <v>45512</v>
      </c>
      <c r="S1060" s="1">
        <v>5</v>
      </c>
      <c r="U1060" s="48"/>
    </row>
    <row r="1061" ht="30" customHeight="1" spans="1:21" x14ac:dyDescent="0.25">
      <c r="A1061" s="1" t="s">
        <v>3690</v>
      </c>
      <c r="B1061" s="1">
        <v>2024</v>
      </c>
      <c r="C1061" s="2" t="s">
        <v>286</v>
      </c>
      <c r="D1061" s="1" t="s">
        <v>287</v>
      </c>
      <c r="E1061" s="1">
        <v>387825</v>
      </c>
      <c r="F1061" s="1" t="s">
        <v>27</v>
      </c>
      <c r="G1061" s="11">
        <v>45518</v>
      </c>
      <c r="H1061" s="11" t="s">
        <v>38</v>
      </c>
      <c r="I1061" s="2" t="s">
        <v>3877</v>
      </c>
      <c r="J1061" s="2" t="s">
        <v>3878</v>
      </c>
      <c r="K1061" s="12">
        <v>0.03472222222262644</v>
      </c>
      <c r="L1061" s="12">
        <v>0.024305555554747116</v>
      </c>
      <c r="M1061" s="13">
        <f>CRF_3[[#This Row],[Time Spent on Configuration]]+CRF_3[[#This Row],[Time Spent on Review/Testing]]</f>
        <v>NaN</v>
      </c>
      <c r="O1061" s="1" t="s">
        <v>31</v>
      </c>
      <c r="P1061" s="1" t="s">
        <v>41</v>
      </c>
      <c r="Q1061" s="1" t="s">
        <v>47</v>
      </c>
      <c r="R1061" s="11">
        <v>45518</v>
      </c>
      <c r="S1061" s="1">
        <v>5</v>
      </c>
      <c r="U1061" s="48"/>
    </row>
    <row r="1062" ht="120" customHeight="1" spans="1:21" x14ac:dyDescent="0.25">
      <c r="A1062" s="1" t="s">
        <v>3690</v>
      </c>
      <c r="B1062" s="1">
        <v>2024</v>
      </c>
      <c r="C1062" s="2" t="s">
        <v>286</v>
      </c>
      <c r="D1062" s="1" t="str">
        <f>IFERROR(INDEX(D:D, MATCH(C1062, C:C, 0)), "")</f>
        <v>Cherry Creek</v>
      </c>
      <c r="E1062" s="1">
        <v>387005</v>
      </c>
      <c r="F1062" s="1" t="s">
        <v>27</v>
      </c>
      <c r="G1062" s="11">
        <v>45520</v>
      </c>
      <c r="H1062" s="11" t="s">
        <v>38</v>
      </c>
      <c r="I1062" s="2" t="s">
        <v>3879</v>
      </c>
      <c r="J1062" s="2" t="s">
        <v>3880</v>
      </c>
      <c r="K1062" s="12">
        <v>0.041666666667879326</v>
      </c>
      <c r="L1062" s="12">
        <v>0.03472222222262644</v>
      </c>
      <c r="M1062" s="13">
        <f>CRF_3[[#This Row],[Time Spent on Configuration]]+CRF_3[[#This Row],[Time Spent on Review/Testing]]</f>
        <v>NaN</v>
      </c>
      <c r="O1062" s="1" t="s">
        <v>31</v>
      </c>
      <c r="P1062" s="1" t="s">
        <v>32</v>
      </c>
      <c r="Q1062" s="1" t="s">
        <v>47</v>
      </c>
      <c r="R1062" s="11">
        <v>45520</v>
      </c>
      <c r="S1062" s="1">
        <v>5</v>
      </c>
      <c r="U1062" s="48"/>
    </row>
    <row r="1063" ht="45" customHeight="1" spans="1:21" x14ac:dyDescent="0.25">
      <c r="A1063" s="1" t="s">
        <v>3690</v>
      </c>
      <c r="B1063" s="1">
        <v>2024</v>
      </c>
      <c r="C1063" s="1" t="s">
        <v>163</v>
      </c>
      <c r="D1063" s="2" t="str">
        <f>IFERROR(INDEX(D:D, MATCH(C1063, C:C, 0)), "")</f>
        <v>TrueNorth</v>
      </c>
      <c r="E1063" s="1">
        <v>387995</v>
      </c>
      <c r="F1063" s="1" t="s">
        <v>37</v>
      </c>
      <c r="G1063" s="11">
        <v>45524</v>
      </c>
      <c r="H1063" s="11" t="s">
        <v>28</v>
      </c>
      <c r="I1063" s="11" t="s">
        <v>3881</v>
      </c>
      <c r="J1063" s="2" t="s">
        <v>3882</v>
      </c>
      <c r="K1063" s="43">
        <v>0.013888888890505768</v>
      </c>
      <c r="L1063" s="12">
        <v>0.041666666667879326</v>
      </c>
      <c r="M1063" s="13">
        <f>CRF_3[[#This Row],[Time Spent on Configuration]]+CRF_3[[#This Row],[Time Spent on Review/Testing]]</f>
        <v>NaN</v>
      </c>
      <c r="N1063" s="13">
        <f>CRF_2[[#This Row],[Time Spent on Configuration]]+CRF_2[[#This Row],[Time Spent on Review/Testing]]</f>
        <v>0.055555555554747116</v>
      </c>
      <c r="O1063" s="1" t="s">
        <v>31</v>
      </c>
      <c r="P1063" s="1" t="s">
        <v>32</v>
      </c>
      <c r="Q1063" s="1" t="s">
        <v>47</v>
      </c>
      <c r="R1063" s="11">
        <v>45524</v>
      </c>
      <c r="S1063" s="1">
        <v>5</v>
      </c>
      <c r="U1063" s="48"/>
    </row>
    <row r="1064" ht="120" customHeight="1" spans="1:21" x14ac:dyDescent="0.25">
      <c r="A1064" s="1" t="s">
        <v>3690</v>
      </c>
      <c r="B1064" s="1">
        <v>2024</v>
      </c>
      <c r="C1064" s="1" t="s">
        <v>479</v>
      </c>
      <c r="D1064" s="2" t="str">
        <f>IFERROR(INDEX(D:D, MATCH(C1064, C:C, 0)), "")</f>
        <v>TrueNorth</v>
      </c>
      <c r="E1064" s="1">
        <v>353809</v>
      </c>
      <c r="F1064" s="1" t="s">
        <v>27</v>
      </c>
      <c r="G1064" s="11">
        <v>45525</v>
      </c>
      <c r="H1064" s="11" t="s">
        <v>38</v>
      </c>
      <c r="I1064" s="11" t="s">
        <v>3883</v>
      </c>
      <c r="J1064" s="2" t="s">
        <v>3884</v>
      </c>
      <c r="K1064" s="43">
        <v>0.020833333332120674</v>
      </c>
      <c r="L1064" s="12">
        <v>0.04861111110949423</v>
      </c>
      <c r="M1064" s="13">
        <f>CRF_3[[#This Row],[Time Spent on Configuration]]+CRF_3[[#This Row],[Time Spent on Review/Testing]]</f>
        <v>NaN</v>
      </c>
      <c r="N1064" s="13">
        <f>CRF_2[[#This Row],[Time Spent on Configuration]]+CRF_2[[#This Row],[Time Spent on Review/Testing]]</f>
        <v>0.06944444444525288</v>
      </c>
      <c r="O1064" s="1" t="s">
        <v>31</v>
      </c>
      <c r="P1064" s="1" t="s">
        <v>32</v>
      </c>
      <c r="Q1064" s="1" t="s">
        <v>42</v>
      </c>
      <c r="R1064" s="11">
        <v>45525</v>
      </c>
      <c r="S1064" s="1">
        <v>5</v>
      </c>
      <c r="U1064" s="48"/>
    </row>
    <row r="1065" spans="1:21" x14ac:dyDescent="0.25">
      <c r="A1065" s="1" t="s">
        <v>3690</v>
      </c>
      <c r="B1065" s="1">
        <v>2024</v>
      </c>
      <c r="C1065" s="1" t="s">
        <v>258</v>
      </c>
      <c r="D1065" s="2" t="str">
        <f>IFERROR(INDEX(D:D, MATCH(C1065, C:C, 0)), "")</f>
        <v>TrueNorth</v>
      </c>
      <c r="E1065" s="1">
        <v>376600</v>
      </c>
      <c r="F1065" s="1" t="s">
        <v>27</v>
      </c>
      <c r="G1065" s="11">
        <v>45534</v>
      </c>
      <c r="H1065" s="11" t="s">
        <v>820</v>
      </c>
      <c r="I1065" s="11" t="s">
        <v>821</v>
      </c>
      <c r="J1065" s="2" t="s">
        <v>822</v>
      </c>
      <c r="K1065" s="43">
        <v>0.03125</v>
      </c>
      <c r="L1065" s="12">
        <v>0.03472222222262644</v>
      </c>
      <c r="M1065" s="13">
        <f>CRF_3[[#This Row],[Time Spent on Configuration]]+CRF_3[[#This Row],[Time Spent on Review/Testing]]</f>
        <v>NaN</v>
      </c>
      <c r="N1065" s="13">
        <f>CRF_2[[#This Row],[Time Spent on Configuration]]+CRF_2[[#This Row],[Time Spent on Review/Testing]]</f>
        <v>0.06597222222262644</v>
      </c>
      <c r="O1065" s="1" t="s">
        <v>41</v>
      </c>
      <c r="P1065" s="1" t="s">
        <v>32</v>
      </c>
      <c r="Q1065" s="1" t="s">
        <v>42</v>
      </c>
      <c r="R1065" s="11">
        <v>45534</v>
      </c>
      <c r="S1065" s="1">
        <v>5</v>
      </c>
      <c r="U1065" s="48"/>
    </row>
    <row r="1066" spans="1:21" x14ac:dyDescent="0.25">
      <c r="A1066" s="1" t="s">
        <v>3699</v>
      </c>
      <c r="B1066" s="1">
        <v>2024</v>
      </c>
      <c r="C1066" s="1" t="s">
        <v>99</v>
      </c>
      <c r="D1066" s="2" t="str">
        <f>IFERROR(INDEX(D:D, MATCH(C1066, C:C, 0)), "")</f>
        <v>TrueNorth</v>
      </c>
      <c r="E1066" s="1">
        <v>390246</v>
      </c>
      <c r="F1066" s="1" t="s">
        <v>27</v>
      </c>
      <c r="G1066" s="11">
        <v>45540</v>
      </c>
      <c r="H1066" s="11" t="s">
        <v>28</v>
      </c>
      <c r="I1066" s="68" t="s">
        <v>825</v>
      </c>
      <c r="J1066" s="2" t="s">
        <v>826</v>
      </c>
      <c r="K1066" s="43">
        <v>0.020833333332120674</v>
      </c>
      <c r="L1066" s="12">
        <v>0.0625</v>
      </c>
      <c r="M1066" s="13">
        <f>CRF_3[[#This Row],[Time Spent on Configuration]]+CRF_3[[#This Row],[Time Spent on Review/Testing]]</f>
        <v>NaN</v>
      </c>
      <c r="N1066" s="13">
        <f>CRF_2[[#This Row],[Time Spent on Configuration]]+CRF_2[[#This Row],[Time Spent on Review/Testing]]</f>
        <v>0.08333333333212067</v>
      </c>
      <c r="O1066" s="1" t="s">
        <v>31</v>
      </c>
      <c r="P1066" s="1" t="s">
        <v>41</v>
      </c>
      <c r="Q1066" s="1" t="s">
        <v>47</v>
      </c>
      <c r="R1066" s="11">
        <v>45541</v>
      </c>
      <c r="S1066" s="1">
        <v>5</v>
      </c>
      <c r="U1066" s="48"/>
    </row>
    <row r="1067" ht="90" customHeight="1" spans="1:21" x14ac:dyDescent="0.25">
      <c r="A1067" s="1" t="s">
        <v>3699</v>
      </c>
      <c r="B1067" s="1">
        <v>2024</v>
      </c>
      <c r="C1067" s="1" t="s">
        <v>641</v>
      </c>
      <c r="D1067" s="2" t="s">
        <v>261</v>
      </c>
      <c r="E1067" s="1">
        <v>389214</v>
      </c>
      <c r="F1067" s="1" t="s">
        <v>27</v>
      </c>
      <c r="G1067" s="11">
        <v>45545</v>
      </c>
      <c r="H1067" s="11" t="s">
        <v>38</v>
      </c>
      <c r="I1067" s="11" t="s">
        <v>828</v>
      </c>
      <c r="J1067" s="2" t="s">
        <v>3885</v>
      </c>
      <c r="K1067" s="43">
        <v>0.020833333332120674</v>
      </c>
      <c r="L1067" s="12">
        <v>0.04513888889050577</v>
      </c>
      <c r="M1067" s="13">
        <f>CRF_3[[#This Row],[Time Spent on Configuration]]+CRF_3[[#This Row],[Time Spent on Review/Testing]]</f>
        <v>NaN</v>
      </c>
      <c r="N1067" s="13">
        <f>CRF_2[[#This Row],[Time Spent on Configuration]]+CRF_2[[#This Row],[Time Spent on Review/Testing]]</f>
        <v>0.06597222222262644</v>
      </c>
      <c r="O1067" s="1" t="s">
        <v>32</v>
      </c>
      <c r="P1067" s="1" t="s">
        <v>41</v>
      </c>
      <c r="Q1067" s="1" t="s">
        <v>42</v>
      </c>
      <c r="R1067" s="11">
        <v>45545</v>
      </c>
      <c r="S1067" s="1">
        <v>5</v>
      </c>
      <c r="U1067" s="48"/>
    </row>
    <row r="1068" spans="1:21" x14ac:dyDescent="0.25">
      <c r="A1068" s="1" t="s">
        <v>3699</v>
      </c>
      <c r="B1068" s="1">
        <v>2024</v>
      </c>
      <c r="C1068" s="1" t="s">
        <v>199</v>
      </c>
      <c r="D1068" s="2" t="s">
        <v>541</v>
      </c>
      <c r="E1068" s="1">
        <v>389347</v>
      </c>
      <c r="F1068" s="1" t="s">
        <v>37</v>
      </c>
      <c r="G1068" s="11">
        <v>45546</v>
      </c>
      <c r="H1068" s="11" t="s">
        <v>133</v>
      </c>
      <c r="I1068" s="11" t="s">
        <v>831</v>
      </c>
      <c r="J1068" s="2" t="s">
        <v>832</v>
      </c>
      <c r="K1068" s="43">
        <v>0.013888888890505768</v>
      </c>
      <c r="L1068" s="12">
        <v>0.052083333332120674</v>
      </c>
      <c r="M1068" s="13">
        <f>CRF_3[[#This Row],[Time Spent on Configuration]]+CRF_3[[#This Row],[Time Spent on Review/Testing]]</f>
        <v>NaN</v>
      </c>
      <c r="N1068" s="13">
        <f>CRF_2[[#This Row],[Time Spent on Configuration]]+CRF_2[[#This Row],[Time Spent on Review/Testing]]</f>
        <v>0.06597222222262644</v>
      </c>
      <c r="O1068" s="1" t="s">
        <v>32</v>
      </c>
      <c r="P1068" s="1" t="s">
        <v>41</v>
      </c>
      <c r="Q1068" s="1" t="s">
        <v>42</v>
      </c>
      <c r="R1068" s="11">
        <v>45546</v>
      </c>
      <c r="S1068" s="1">
        <v>5</v>
      </c>
      <c r="U1068" s="48"/>
    </row>
    <row r="1069" spans="1:21" x14ac:dyDescent="0.25">
      <c r="A1069" s="1" t="s">
        <v>3699</v>
      </c>
      <c r="B1069" s="1">
        <v>2024</v>
      </c>
      <c r="C1069" s="1" t="s">
        <v>99</v>
      </c>
      <c r="D1069" s="2" t="str">
        <f t="shared" ref="D1069:D1076" si="0">IFERROR(INDEX(D:D, MATCH(C1069, C:C, 0)), "")</f>
        <v>TrueNorth</v>
      </c>
      <c r="E1069" s="1">
        <v>391578</v>
      </c>
      <c r="F1069" s="1" t="s">
        <v>27</v>
      </c>
      <c r="G1069" s="11">
        <v>45553</v>
      </c>
      <c r="H1069" s="11" t="s">
        <v>28</v>
      </c>
      <c r="I1069" s="68" t="s">
        <v>834</v>
      </c>
      <c r="J1069" s="2" t="s">
        <v>835</v>
      </c>
      <c r="K1069" s="43">
        <v>0.020833333332120674</v>
      </c>
      <c r="L1069" s="12">
        <v>0.04513888889050577</v>
      </c>
      <c r="M1069" s="13">
        <f>CRF_3[[#This Row],[Time Spent on Configuration]]+CRF_3[[#This Row],[Time Spent on Review/Testing]]</f>
        <v>NaN</v>
      </c>
      <c r="N1069" s="13">
        <f>CRF_2[[#This Row],[Time Spent on Configuration]]+CRF_2[[#This Row],[Time Spent on Review/Testing]]</f>
        <v>0.06597222222262644</v>
      </c>
      <c r="O1069" s="1" t="s">
        <v>31</v>
      </c>
      <c r="P1069" s="1" t="s">
        <v>41</v>
      </c>
      <c r="Q1069" s="1" t="s">
        <v>47</v>
      </c>
      <c r="R1069" s="11">
        <v>45553</v>
      </c>
      <c r="S1069" s="1">
        <v>5</v>
      </c>
      <c r="U1069" s="48"/>
    </row>
    <row r="1070" ht="135" customHeight="1" spans="1:21" x14ac:dyDescent="0.25">
      <c r="A1070" s="1" t="s">
        <v>3699</v>
      </c>
      <c r="B1070" s="1">
        <v>2024</v>
      </c>
      <c r="C1070" s="1" t="s">
        <v>163</v>
      </c>
      <c r="D1070" s="2" t="str">
        <f t="shared" si="0"/>
        <v>TrueNorth</v>
      </c>
      <c r="E1070" s="1">
        <v>384448</v>
      </c>
      <c r="F1070" s="1" t="s">
        <v>27</v>
      </c>
      <c r="G1070" s="11">
        <v>45555</v>
      </c>
      <c r="H1070" s="11" t="s">
        <v>28</v>
      </c>
      <c r="I1070" s="11" t="s">
        <v>3886</v>
      </c>
      <c r="J1070" s="2" t="s">
        <v>3887</v>
      </c>
      <c r="K1070" s="43">
        <v>0.020833333332120674</v>
      </c>
      <c r="L1070" s="12">
        <v>0.041666666667879326</v>
      </c>
      <c r="M1070" s="13">
        <f>CRF_3[[#This Row],[Time Spent on Configuration]]+CRF_3[[#This Row],[Time Spent on Review/Testing]]</f>
        <v>NaN</v>
      </c>
      <c r="N1070" s="13">
        <f>CRF_2[[#This Row],[Time Spent on Configuration]]+CRF_2[[#This Row],[Time Spent on Review/Testing]]</f>
        <v>0.0625</v>
      </c>
      <c r="O1070" s="1" t="s">
        <v>53</v>
      </c>
      <c r="P1070" s="1" t="s">
        <v>32</v>
      </c>
      <c r="Q1070" s="1" t="s">
        <v>47</v>
      </c>
      <c r="R1070" s="11">
        <v>45555</v>
      </c>
      <c r="S1070" s="1">
        <v>5</v>
      </c>
      <c r="U1070" s="48"/>
    </row>
    <row r="1071" spans="1:21" x14ac:dyDescent="0.25">
      <c r="A1071" s="1" t="s">
        <v>3699</v>
      </c>
      <c r="B1071" s="1">
        <v>2024</v>
      </c>
      <c r="C1071" s="1" t="s">
        <v>334</v>
      </c>
      <c r="D1071" s="2" t="str">
        <f t="shared" si="0"/>
        <v>TrueNorth</v>
      </c>
      <c r="E1071" s="1">
        <v>392052</v>
      </c>
      <c r="F1071" s="1" t="s">
        <v>37</v>
      </c>
      <c r="G1071" s="11">
        <v>45559</v>
      </c>
      <c r="H1071" s="11" t="s">
        <v>507</v>
      </c>
      <c r="I1071" s="11" t="s">
        <v>840</v>
      </c>
      <c r="J1071" s="2" t="s">
        <v>841</v>
      </c>
      <c r="K1071" s="43">
        <v>0.020833333332120674</v>
      </c>
      <c r="L1071" s="12">
        <v>0.03472222222262644</v>
      </c>
      <c r="M1071" s="13">
        <f>CRF_3[[#This Row],[Time Spent on Configuration]]+CRF_3[[#This Row],[Time Spent on Review/Testing]]</f>
        <v>NaN</v>
      </c>
      <c r="N1071" s="13">
        <f>CRF_2[[#This Row],[Time Spent on Configuration]]+CRF_2[[#This Row],[Time Spent on Review/Testing]]</f>
        <v>0.055555555554747116</v>
      </c>
      <c r="O1071" s="1" t="s">
        <v>574</v>
      </c>
      <c r="P1071" s="1" t="s">
        <v>32</v>
      </c>
      <c r="Q1071" s="1" t="s">
        <v>42</v>
      </c>
      <c r="R1071" s="11">
        <v>45555</v>
      </c>
      <c r="S1071" s="1">
        <v>5</v>
      </c>
      <c r="U1071" s="48"/>
    </row>
    <row r="1072" ht="90" customHeight="1" spans="1:21" x14ac:dyDescent="0.25">
      <c r="A1072" s="1" t="s">
        <v>3699</v>
      </c>
      <c r="B1072" s="1">
        <v>2024</v>
      </c>
      <c r="C1072" s="1" t="s">
        <v>281</v>
      </c>
      <c r="D1072" s="2" t="str">
        <f t="shared" si="0"/>
        <v>The Benefit Company</v>
      </c>
      <c r="E1072" s="1">
        <v>391180</v>
      </c>
      <c r="F1072" s="1" t="s">
        <v>27</v>
      </c>
      <c r="G1072" s="11">
        <v>45561</v>
      </c>
      <c r="H1072" s="11" t="s">
        <v>74</v>
      </c>
      <c r="I1072" s="11" t="s">
        <v>843</v>
      </c>
      <c r="J1072" s="2" t="s">
        <v>3888</v>
      </c>
      <c r="K1072" s="43">
        <v>0.03472222222262644</v>
      </c>
      <c r="L1072" s="12">
        <v>0.05902777777737356</v>
      </c>
      <c r="M1072" s="13">
        <f>CRF_3[[#This Row],[Time Spent on Configuration]]+CRF_3[[#This Row],[Time Spent on Review/Testing]]</f>
        <v>NaN</v>
      </c>
      <c r="N1072" s="13">
        <f>CRF_2[[#This Row],[Time Spent on Configuration]]+CRF_2[[#This Row],[Time Spent on Review/Testing]]</f>
        <v>0.09375</v>
      </c>
      <c r="O1072" s="1" t="s">
        <v>32</v>
      </c>
      <c r="P1072" s="1" t="s">
        <v>41</v>
      </c>
      <c r="Q1072" s="1" t="s">
        <v>244</v>
      </c>
      <c r="R1072" s="11">
        <v>45561</v>
      </c>
      <c r="S1072" s="1">
        <v>5</v>
      </c>
      <c r="U1072" s="48"/>
    </row>
    <row r="1073" spans="1:21" x14ac:dyDescent="0.25">
      <c r="A1073" s="1" t="s">
        <v>3699</v>
      </c>
      <c r="B1073" s="1">
        <v>2024</v>
      </c>
      <c r="C1073" s="1" t="s">
        <v>286</v>
      </c>
      <c r="D1073" s="2" t="str">
        <f t="shared" si="0"/>
        <v>Cherry Creek</v>
      </c>
      <c r="E1073" s="1">
        <v>388689</v>
      </c>
      <c r="F1073" s="1" t="s">
        <v>37</v>
      </c>
      <c r="G1073" s="11">
        <v>45561</v>
      </c>
      <c r="H1073" s="11" t="s">
        <v>74</v>
      </c>
      <c r="I1073" s="11" t="s">
        <v>846</v>
      </c>
      <c r="J1073" s="2" t="s">
        <v>847</v>
      </c>
      <c r="K1073" s="43">
        <v>0.020833333332120674</v>
      </c>
      <c r="L1073" s="12">
        <v>0.041666666667879326</v>
      </c>
      <c r="M1073" s="13">
        <f>CRF_3[[#This Row],[Time Spent on Configuration]]+CRF_3[[#This Row],[Time Spent on Review/Testing]]</f>
        <v>NaN</v>
      </c>
      <c r="N1073" s="13">
        <f>CRF_2[[#This Row],[Time Spent on Configuration]]+CRF_2[[#This Row],[Time Spent on Review/Testing]]</f>
        <v>0.0625</v>
      </c>
      <c r="O1073" s="1" t="s">
        <v>574</v>
      </c>
      <c r="P1073" s="1" t="s">
        <v>41</v>
      </c>
      <c r="Q1073" s="1" t="s">
        <v>47</v>
      </c>
      <c r="R1073" s="11">
        <v>45561</v>
      </c>
      <c r="S1073" s="1">
        <v>5</v>
      </c>
      <c r="U1073" s="48"/>
    </row>
    <row r="1074" ht="90" customHeight="1" spans="1:21" x14ac:dyDescent="0.25">
      <c r="A1074" s="1" t="s">
        <v>3699</v>
      </c>
      <c r="B1074" s="1">
        <v>2024</v>
      </c>
      <c r="C1074" s="1" t="s">
        <v>545</v>
      </c>
      <c r="D1074" s="2" t="str">
        <f t="shared" si="0"/>
        <v>EBS Capstone</v>
      </c>
      <c r="E1074" s="1">
        <v>392587</v>
      </c>
      <c r="F1074" s="1" t="s">
        <v>37</v>
      </c>
      <c r="G1074" s="11">
        <v>45562</v>
      </c>
      <c r="H1074" s="11" t="s">
        <v>74</v>
      </c>
      <c r="I1074" s="11" t="s">
        <v>3889</v>
      </c>
      <c r="J1074" s="2" t="s">
        <v>3889</v>
      </c>
      <c r="K1074" s="43">
        <v>0.020833333332120674</v>
      </c>
      <c r="L1074" s="12">
        <v>0.03125</v>
      </c>
      <c r="M1074" s="13">
        <f>CRF_3[[#This Row],[Time Spent on Configuration]]+CRF_3[[#This Row],[Time Spent on Review/Testing]]</f>
        <v>NaN</v>
      </c>
      <c r="N1074" s="13">
        <f>CRF_2[[#This Row],[Time Spent on Configuration]]+CRF_2[[#This Row],[Time Spent on Review/Testing]]</f>
        <v>0.052083333332120674</v>
      </c>
      <c r="O1074" s="1" t="s">
        <v>31</v>
      </c>
      <c r="P1074" s="1" t="s">
        <v>41</v>
      </c>
      <c r="Q1074" s="1" t="s">
        <v>47</v>
      </c>
      <c r="R1074" s="11">
        <v>45562</v>
      </c>
      <c r="S1074" s="1">
        <v>5</v>
      </c>
      <c r="U1074" s="48"/>
    </row>
    <row r="1075" ht="30" customHeight="1" spans="1:21" x14ac:dyDescent="0.25">
      <c r="A1075" s="1" t="s">
        <v>3699</v>
      </c>
      <c r="B1075" s="1">
        <v>2024</v>
      </c>
      <c r="C1075" s="1" t="s">
        <v>545</v>
      </c>
      <c r="D1075" s="2" t="str">
        <f t="shared" si="0"/>
        <v>EBS Capstone</v>
      </c>
      <c r="E1075" s="1">
        <v>392603</v>
      </c>
      <c r="F1075" s="1" t="s">
        <v>37</v>
      </c>
      <c r="G1075" s="11">
        <v>45565</v>
      </c>
      <c r="H1075" s="11" t="s">
        <v>353</v>
      </c>
      <c r="I1075" s="11" t="s">
        <v>3890</v>
      </c>
      <c r="J1075" s="2" t="s">
        <v>852</v>
      </c>
      <c r="K1075" s="43">
        <v>0.006944444445252884</v>
      </c>
      <c r="L1075" s="12">
        <v>0.013888888890505768</v>
      </c>
      <c r="M1075" s="13">
        <f>CRF_3[[#This Row],[Time Spent on Configuration]]+CRF_3[[#This Row],[Time Spent on Review/Testing]]</f>
        <v>NaN</v>
      </c>
      <c r="N1075" s="13">
        <f>CRF_2[[#This Row],[Time Spent on Configuration]]+CRF_2[[#This Row],[Time Spent on Review/Testing]]</f>
        <v>0.020833333332120674</v>
      </c>
      <c r="O1075" s="1" t="s">
        <v>41</v>
      </c>
      <c r="P1075" s="1" t="s">
        <v>32</v>
      </c>
      <c r="Q1075" s="1" t="s">
        <v>47</v>
      </c>
      <c r="R1075" s="11">
        <v>45565</v>
      </c>
      <c r="S1075" s="1">
        <v>5</v>
      </c>
      <c r="U1075" s="48"/>
    </row>
    <row r="1076" ht="45" customHeight="1" spans="1:21" x14ac:dyDescent="0.25">
      <c r="A1076" s="1" t="s">
        <v>3708</v>
      </c>
      <c r="B1076" s="1">
        <v>2024</v>
      </c>
      <c r="C1076" s="1" t="s">
        <v>199</v>
      </c>
      <c r="D1076" s="2" t="str">
        <f t="shared" si="0"/>
        <v>Hierl Insurance Inc</v>
      </c>
      <c r="E1076" s="1">
        <v>392441</v>
      </c>
      <c r="F1076" s="1" t="s">
        <v>37</v>
      </c>
      <c r="G1076" s="11">
        <v>45569</v>
      </c>
      <c r="H1076" s="11" t="s">
        <v>74</v>
      </c>
      <c r="I1076" s="11" t="s">
        <v>3891</v>
      </c>
      <c r="J1076" s="2" t="s">
        <v>3892</v>
      </c>
      <c r="K1076" s="43">
        <v>0.020833333332120674</v>
      </c>
      <c r="L1076" s="12">
        <v>0.027777777777373558</v>
      </c>
      <c r="M1076" s="13">
        <f>CRF_3[[#This Row],[Time Spent on Configuration]]+CRF_3[[#This Row],[Time Spent on Review/Testing]]</f>
        <v>NaN</v>
      </c>
      <c r="N1076" s="13">
        <f>CRF_2[[#This Row],[Time Spent on Configuration]]+CRF_2[[#This Row],[Time Spent on Review/Testing]]</f>
        <v>0.04861111110949423</v>
      </c>
      <c r="O1076" s="1" t="s">
        <v>31</v>
      </c>
      <c r="P1076" s="1" t="s">
        <v>41</v>
      </c>
      <c r="Q1076" s="1" t="s">
        <v>42</v>
      </c>
      <c r="R1076" s="11">
        <v>45569</v>
      </c>
      <c r="S1076" s="1">
        <v>5</v>
      </c>
      <c r="U1076" s="48"/>
    </row>
    <row r="1077" ht="75" customHeight="1" spans="1:21" x14ac:dyDescent="0.25">
      <c r="A1077" s="1" t="s">
        <v>3708</v>
      </c>
      <c r="B1077" s="1">
        <v>2024</v>
      </c>
      <c r="C1077" s="1" t="s">
        <v>48</v>
      </c>
      <c r="D1077" s="2" t="s">
        <v>25</v>
      </c>
      <c r="E1077" s="1">
        <v>392543</v>
      </c>
      <c r="F1077" s="1" t="s">
        <v>713</v>
      </c>
      <c r="G1077" s="11">
        <v>45570</v>
      </c>
      <c r="H1077" s="11" t="s">
        <v>74</v>
      </c>
      <c r="I1077" s="11" t="s">
        <v>3893</v>
      </c>
      <c r="J1077" s="2" t="s">
        <v>859</v>
      </c>
      <c r="K1077" s="43">
        <v>0.0625</v>
      </c>
      <c r="L1077" s="12">
        <v>0.027777777777373558</v>
      </c>
      <c r="M1077" s="13">
        <f>CRF_3[[#This Row],[Time Spent on Configuration]]+CRF_3[[#This Row],[Time Spent on Review/Testing]]</f>
        <v>NaN</v>
      </c>
      <c r="N1077" s="13">
        <f>CRF_2[[#This Row],[Time Spent on Configuration]]+CRF_2[[#This Row],[Time Spent on Review/Testing]]</f>
        <v>0.09027777777737356</v>
      </c>
      <c r="O1077" s="1" t="s">
        <v>31</v>
      </c>
      <c r="P1077" s="1" t="s">
        <v>32</v>
      </c>
      <c r="Q1077" s="1" t="s">
        <v>47</v>
      </c>
      <c r="R1077" s="11">
        <v>45570</v>
      </c>
      <c r="S1077" s="1">
        <v>5</v>
      </c>
      <c r="U1077" s="48"/>
    </row>
    <row r="1078" ht="60" customHeight="1" spans="1:21" x14ac:dyDescent="0.25">
      <c r="A1078" s="1" t="s">
        <v>3708</v>
      </c>
      <c r="B1078" s="1">
        <v>2024</v>
      </c>
      <c r="C1078" s="1" t="s">
        <v>641</v>
      </c>
      <c r="D1078" s="2" t="s">
        <v>261</v>
      </c>
      <c r="E1078" s="1">
        <v>393468</v>
      </c>
      <c r="F1078" s="1" t="s">
        <v>37</v>
      </c>
      <c r="G1078" s="11">
        <v>45572</v>
      </c>
      <c r="H1078" s="11" t="s">
        <v>38</v>
      </c>
      <c r="I1078" s="11" t="s">
        <v>3894</v>
      </c>
      <c r="J1078" s="2" t="s">
        <v>3895</v>
      </c>
      <c r="K1078" s="43">
        <v>0.020833333332120674</v>
      </c>
      <c r="L1078" s="12">
        <v>0.03125</v>
      </c>
      <c r="M1078" s="13">
        <f>CRF_3[[#This Row],[Time Spent on Configuration]]+CRF_3[[#This Row],[Time Spent on Review/Testing]]</f>
        <v>NaN</v>
      </c>
      <c r="N1078" s="13">
        <f>CRF_2[[#This Row],[Time Spent on Configuration]]+CRF_2[[#This Row],[Time Spent on Review/Testing]]</f>
        <v>0.052083333332120674</v>
      </c>
      <c r="O1078" s="1" t="s">
        <v>32</v>
      </c>
      <c r="P1078" s="1" t="s">
        <v>41</v>
      </c>
      <c r="Q1078" s="1" t="s">
        <v>42</v>
      </c>
      <c r="R1078" s="11">
        <v>45572</v>
      </c>
      <c r="S1078" s="1">
        <v>5</v>
      </c>
      <c r="U1078" s="48"/>
    </row>
    <row r="1079" spans="1:21" x14ac:dyDescent="0.25">
      <c r="A1079" s="1" t="s">
        <v>3708</v>
      </c>
      <c r="B1079" s="1">
        <v>2024</v>
      </c>
      <c r="C1079" s="1" t="s">
        <v>258</v>
      </c>
      <c r="D1079" s="2" t="str">
        <f>IFERROR(INDEX(D:D, MATCH(C1079, C:C, 0)), "")</f>
        <v>TrueNorth</v>
      </c>
      <c r="E1079" s="1">
        <v>390941</v>
      </c>
      <c r="F1079" s="1" t="s">
        <v>27</v>
      </c>
      <c r="G1079" s="11">
        <v>45573</v>
      </c>
      <c r="H1079" s="11" t="s">
        <v>864</v>
      </c>
      <c r="I1079" s="11" t="s">
        <v>3896</v>
      </c>
      <c r="J1079" s="2" t="s">
        <v>3897</v>
      </c>
      <c r="K1079" s="43">
        <v>0.03125</v>
      </c>
      <c r="L1079" s="12">
        <v>0.03472222222262644</v>
      </c>
      <c r="M1079" s="13">
        <f>CRF_3[[#This Row],[Time Spent on Configuration]]+CRF_3[[#This Row],[Time Spent on Review/Testing]]</f>
        <v>NaN</v>
      </c>
      <c r="N1079" s="13">
        <f>CRF_2[[#This Row],[Time Spent on Configuration]]+CRF_2[[#This Row],[Time Spent on Review/Testing]]</f>
        <v>0.06597222222262644</v>
      </c>
      <c r="O1079" s="1" t="s">
        <v>41</v>
      </c>
      <c r="P1079" s="1" t="s">
        <v>32</v>
      </c>
      <c r="Q1079" s="1" t="s">
        <v>42</v>
      </c>
      <c r="R1079" s="11">
        <v>45573</v>
      </c>
      <c r="S1079" s="1">
        <v>5</v>
      </c>
      <c r="U1079" s="48"/>
    </row>
    <row r="1080" ht="45" customHeight="1" spans="1:21" x14ac:dyDescent="0.25">
      <c r="A1080" s="1" t="s">
        <v>3708</v>
      </c>
      <c r="B1080" s="1">
        <v>2024</v>
      </c>
      <c r="C1080" s="1" t="s">
        <v>479</v>
      </c>
      <c r="D1080" s="2" t="str">
        <f>IFERROR(INDEX(D:D, MATCH(C1080, C:C, 0)), "")</f>
        <v>TrueNorth</v>
      </c>
      <c r="E1080" s="1">
        <v>353809</v>
      </c>
      <c r="F1080" s="1" t="s">
        <v>27</v>
      </c>
      <c r="G1080" s="11">
        <v>45574</v>
      </c>
      <c r="H1080" s="11" t="s">
        <v>38</v>
      </c>
      <c r="I1080" s="11" t="s">
        <v>3898</v>
      </c>
      <c r="J1080" s="2" t="s">
        <v>3899</v>
      </c>
      <c r="K1080" s="43">
        <v>0.027777777777373558</v>
      </c>
      <c r="L1080" s="12">
        <v>0.041666666667879326</v>
      </c>
      <c r="M1080" s="13">
        <f>CRF_3[[#This Row],[Time Spent on Configuration]]+CRF_3[[#This Row],[Time Spent on Review/Testing]]</f>
        <v>NaN</v>
      </c>
      <c r="N1080" s="13">
        <f>CRF_2[[#This Row],[Time Spent on Configuration]]+CRF_2[[#This Row],[Time Spent on Review/Testing]]</f>
        <v>0.06944444444525288</v>
      </c>
      <c r="O1080" s="1" t="s">
        <v>41</v>
      </c>
      <c r="P1080" s="1" t="s">
        <v>32</v>
      </c>
      <c r="Q1080" s="1" t="s">
        <v>42</v>
      </c>
      <c r="R1080" s="11">
        <v>45574</v>
      </c>
      <c r="S1080" s="1">
        <v>5</v>
      </c>
      <c r="U1080" s="48"/>
    </row>
    <row r="1081" ht="90" customHeight="1" spans="1:21" x14ac:dyDescent="0.25">
      <c r="A1081" s="1" t="s">
        <v>3708</v>
      </c>
      <c r="B1081" s="1">
        <v>2024</v>
      </c>
      <c r="C1081" s="1" t="s">
        <v>146</v>
      </c>
      <c r="D1081" s="2" t="s">
        <v>186</v>
      </c>
      <c r="E1081" s="1">
        <v>394054</v>
      </c>
      <c r="F1081" s="1" t="s">
        <v>27</v>
      </c>
      <c r="G1081" s="11">
        <v>45575</v>
      </c>
      <c r="H1081" s="11" t="s">
        <v>820</v>
      </c>
      <c r="I1081" s="11" t="s">
        <v>3900</v>
      </c>
      <c r="J1081" s="2" t="s">
        <v>3901</v>
      </c>
      <c r="K1081" s="43">
        <v>0.020833333332120674</v>
      </c>
      <c r="L1081" s="12">
        <v>0.03125</v>
      </c>
      <c r="M1081" s="13">
        <f>CRF_3[[#This Row],[Time Spent on Configuration]]+CRF_3[[#This Row],[Time Spent on Review/Testing]]</f>
        <v>NaN</v>
      </c>
      <c r="N1081" s="13">
        <f>CRF_2[[#This Row],[Time Spent on Configuration]]+CRF_2[[#This Row],[Time Spent on Review/Testing]]</f>
        <v>0.052083333332120674</v>
      </c>
      <c r="O1081" s="1" t="s">
        <v>32</v>
      </c>
      <c r="P1081" s="1" t="s">
        <v>41</v>
      </c>
      <c r="Q1081" s="1" t="s">
        <v>112</v>
      </c>
      <c r="R1081" s="11">
        <v>45575</v>
      </c>
      <c r="S1081" s="1">
        <v>5</v>
      </c>
      <c r="U1081" s="48" t="s">
        <v>872</v>
      </c>
    </row>
    <row r="1082" ht="45" customHeight="1" spans="1:21" x14ac:dyDescent="0.25">
      <c r="A1082" s="1" t="s">
        <v>3708</v>
      </c>
      <c r="B1082" s="1">
        <v>2024</v>
      </c>
      <c r="C1082" s="1" t="s">
        <v>258</v>
      </c>
      <c r="D1082" s="2" t="str">
        <f>IFERROR(INDEX(D:D, MATCH(C1082, C:C, 0)), "")</f>
        <v>TrueNorth</v>
      </c>
      <c r="E1082" s="1">
        <v>393907</v>
      </c>
      <c r="F1082" s="1" t="s">
        <v>27</v>
      </c>
      <c r="G1082" s="11">
        <v>45575</v>
      </c>
      <c r="H1082" s="11" t="s">
        <v>28</v>
      </c>
      <c r="I1082" s="11" t="s">
        <v>874</v>
      </c>
      <c r="J1082" s="2" t="s">
        <v>3902</v>
      </c>
      <c r="K1082" s="43">
        <v>0.03472222222262644</v>
      </c>
      <c r="L1082" s="12">
        <v>0.07291666666787933</v>
      </c>
      <c r="M1082" s="13">
        <f>CRF_3[[#This Row],[Time Spent on Configuration]]+CRF_3[[#This Row],[Time Spent on Review/Testing]]</f>
        <v>NaN</v>
      </c>
      <c r="N1082" s="13">
        <f>CRF_2[[#This Row],[Time Spent on Configuration]]+CRF_2[[#This Row],[Time Spent on Review/Testing]]</f>
        <v>0.10763888889050577</v>
      </c>
      <c r="O1082" s="1" t="s">
        <v>32</v>
      </c>
      <c r="P1082" s="1" t="s">
        <v>41</v>
      </c>
      <c r="Q1082" s="14" t="s">
        <v>42</v>
      </c>
      <c r="R1082" s="11">
        <v>45575</v>
      </c>
      <c r="S1082" s="1">
        <v>5</v>
      </c>
      <c r="U1082" s="48" t="s">
        <v>876</v>
      </c>
    </row>
    <row r="1083" ht="45" customHeight="1" spans="1:21" x14ac:dyDescent="0.25">
      <c r="A1083" s="1" t="s">
        <v>3708</v>
      </c>
      <c r="B1083" s="1">
        <v>2024</v>
      </c>
      <c r="C1083" s="1" t="s">
        <v>199</v>
      </c>
      <c r="D1083" s="2" t="str">
        <f>IFERROR(INDEX(D:D, MATCH(C1083, C:C, 0)), "")</f>
        <v>Hierl Insurance Inc</v>
      </c>
      <c r="E1083" s="1">
        <v>393909</v>
      </c>
      <c r="F1083" s="1" t="s">
        <v>37</v>
      </c>
      <c r="G1083" s="11">
        <v>45580</v>
      </c>
      <c r="H1083" s="11" t="s">
        <v>74</v>
      </c>
      <c r="I1083" s="11" t="s">
        <v>3903</v>
      </c>
      <c r="J1083" s="2" t="s">
        <v>3904</v>
      </c>
      <c r="K1083" s="43">
        <v>0.03472222222262644</v>
      </c>
      <c r="L1083" s="12">
        <v>0.04861111110949423</v>
      </c>
      <c r="M1083" s="13">
        <f>CRF_3[[#This Row],[Time Spent on Configuration]]+CRF_3[[#This Row],[Time Spent on Review/Testing]]</f>
        <v>NaN</v>
      </c>
      <c r="N1083" s="13">
        <f>CRF_2[[#This Row],[Time Spent on Configuration]]+CRF_2[[#This Row],[Time Spent on Review/Testing]]</f>
        <v>0.08333333333212067</v>
      </c>
      <c r="O1083" s="1" t="s">
        <v>31</v>
      </c>
      <c r="P1083" s="1" t="s">
        <v>32</v>
      </c>
      <c r="Q1083" s="14" t="s">
        <v>42</v>
      </c>
      <c r="R1083" s="11">
        <v>45580</v>
      </c>
      <c r="S1083" s="1">
        <v>2</v>
      </c>
      <c r="U1083" s="48" t="s">
        <v>872</v>
      </c>
    </row>
    <row r="1084" ht="45" customHeight="1" spans="1:21" x14ac:dyDescent="0.25">
      <c r="A1084" s="1" t="s">
        <v>3708</v>
      </c>
      <c r="B1084" s="1">
        <v>2024</v>
      </c>
      <c r="C1084" s="1" t="s">
        <v>796</v>
      </c>
      <c r="D1084" s="2" t="str">
        <f>IFERROR(INDEX(D:D, MATCH(C1084, C:C, 0)), "")</f>
        <v>Dillingham Benefits</v>
      </c>
      <c r="E1084" s="1">
        <v>393749</v>
      </c>
      <c r="F1084" s="1" t="s">
        <v>37</v>
      </c>
      <c r="G1084" s="11">
        <v>45581</v>
      </c>
      <c r="H1084" s="11" t="s">
        <v>74</v>
      </c>
      <c r="I1084" s="11" t="s">
        <v>3905</v>
      </c>
      <c r="J1084" s="2" t="s">
        <v>3906</v>
      </c>
      <c r="K1084" s="43">
        <v>0.03472222222262644</v>
      </c>
      <c r="L1084" s="12">
        <v>0.04513888889050577</v>
      </c>
      <c r="M1084" s="13">
        <f>CRF_3[[#This Row],[Time Spent on Configuration]]+CRF_3[[#This Row],[Time Spent on Review/Testing]]</f>
        <v>NaN</v>
      </c>
      <c r="N1084" s="13">
        <f>CRF_2[[#This Row],[Time Spent on Configuration]]+CRF_2[[#This Row],[Time Spent on Review/Testing]]</f>
        <v>0.07986111110949423</v>
      </c>
      <c r="O1084" s="1" t="s">
        <v>31</v>
      </c>
      <c r="P1084" s="1" t="s">
        <v>32</v>
      </c>
      <c r="Q1084" s="14" t="s">
        <v>47</v>
      </c>
      <c r="R1084" s="11">
        <v>45581</v>
      </c>
      <c r="S1084" s="1">
        <v>5</v>
      </c>
      <c r="U1084" s="48"/>
    </row>
    <row r="1085" ht="195" customHeight="1" spans="1:21" x14ac:dyDescent="0.25">
      <c r="A1085" s="1" t="s">
        <v>3708</v>
      </c>
      <c r="B1085" s="1">
        <v>2024</v>
      </c>
      <c r="C1085" s="1" t="s">
        <v>35</v>
      </c>
      <c r="D1085" s="2" t="str">
        <f>IFERROR(INDEX(D:D, MATCH(C1085, C:C, 0)), "")</f>
        <v>TrueNorth</v>
      </c>
      <c r="E1085" s="1">
        <v>394406</v>
      </c>
      <c r="F1085" s="1" t="s">
        <v>27</v>
      </c>
      <c r="G1085" s="11">
        <v>45583</v>
      </c>
      <c r="H1085" s="11" t="s">
        <v>38</v>
      </c>
      <c r="I1085" s="11" t="s">
        <v>3907</v>
      </c>
      <c r="J1085" s="2" t="s">
        <v>3908</v>
      </c>
      <c r="K1085" s="43">
        <v>0.041666666667879326</v>
      </c>
      <c r="L1085" s="12">
        <v>0.055555555554747116</v>
      </c>
      <c r="M1085" s="13">
        <f>CRF_3[[#This Row],[Time Spent on Configuration]]+CRF_3[[#This Row],[Time Spent on Review/Testing]]</f>
        <v>NaN</v>
      </c>
      <c r="N1085" s="13">
        <f>CRF_2[[#This Row],[Time Spent on Configuration]]+CRF_2[[#This Row],[Time Spent on Review/Testing]]</f>
        <v>0.09722222222262644</v>
      </c>
      <c r="O1085" s="1" t="s">
        <v>31</v>
      </c>
      <c r="P1085" s="1" t="s">
        <v>32</v>
      </c>
      <c r="Q1085" s="14" t="s">
        <v>42</v>
      </c>
      <c r="R1085" s="11">
        <v>45583</v>
      </c>
      <c r="S1085" s="1">
        <v>2</v>
      </c>
      <c r="U1085" s="48"/>
    </row>
    <row r="1086" ht="75" customHeight="1" spans="1:21" x14ac:dyDescent="0.25">
      <c r="A1086" s="1" t="s">
        <v>3708</v>
      </c>
      <c r="B1086" s="1">
        <v>2024</v>
      </c>
      <c r="C1086" s="1" t="s">
        <v>545</v>
      </c>
      <c r="D1086" s="2" t="str">
        <f>IFERROR(INDEX(D:D, MATCH(C1086, C:C, 0)), "")</f>
        <v>EBS Capstone</v>
      </c>
      <c r="E1086" s="1">
        <v>392603</v>
      </c>
      <c r="F1086" s="1" t="s">
        <v>37</v>
      </c>
      <c r="G1086" s="11">
        <v>45589</v>
      </c>
      <c r="H1086" s="11" t="s">
        <v>74</v>
      </c>
      <c r="I1086" s="11" t="s">
        <v>3909</v>
      </c>
      <c r="J1086" s="2" t="s">
        <v>3910</v>
      </c>
      <c r="K1086" s="43">
        <v>0.020833333332120674</v>
      </c>
      <c r="L1086" s="12">
        <v>0.05902777777737356</v>
      </c>
      <c r="M1086" s="13">
        <f>CRF_3[[#This Row],[Time Spent on Configuration]]+CRF_3[[#This Row],[Time Spent on Review/Testing]]</f>
        <v>NaN</v>
      </c>
      <c r="N1086" s="13">
        <f>CRF_2[[#This Row],[Time Spent on Configuration]]+CRF_2[[#This Row],[Time Spent on Review/Testing]]</f>
        <v>0.07986111110949423</v>
      </c>
      <c r="O1086" s="1" t="s">
        <v>31</v>
      </c>
      <c r="P1086" s="1" t="s">
        <v>41</v>
      </c>
      <c r="Q1086" s="1" t="s">
        <v>47</v>
      </c>
      <c r="R1086" s="11">
        <v>45589</v>
      </c>
      <c r="S1086" s="1">
        <v>5</v>
      </c>
      <c r="U1086" s="48"/>
    </row>
    <row r="1087" spans="1:21" x14ac:dyDescent="0.25">
      <c r="A1087" s="1" t="s">
        <v>3708</v>
      </c>
      <c r="B1087" s="1">
        <v>2024</v>
      </c>
      <c r="C1087" s="1" t="s">
        <v>185</v>
      </c>
      <c r="D1087" s="2" t="s">
        <v>186</v>
      </c>
      <c r="E1087" s="1">
        <v>395295</v>
      </c>
      <c r="F1087" s="1" t="s">
        <v>27</v>
      </c>
      <c r="G1087" s="11">
        <v>45590</v>
      </c>
      <c r="H1087" s="11" t="s">
        <v>28</v>
      </c>
      <c r="I1087" s="11" t="s">
        <v>889</v>
      </c>
      <c r="J1087" s="2" t="s">
        <v>890</v>
      </c>
      <c r="K1087" s="43">
        <v>0.027777777777373558</v>
      </c>
      <c r="L1087" s="12">
        <v>0.06597222222262644</v>
      </c>
      <c r="M1087" s="13">
        <f>CRF_3[[#This Row],[Time Spent on Configuration]]+CRF_3[[#This Row],[Time Spent on Review/Testing]]</f>
        <v>NaN</v>
      </c>
      <c r="N1087" s="13">
        <f>CRF_2[[#This Row],[Time Spent on Configuration]]+CRF_2[[#This Row],[Time Spent on Review/Testing]]</f>
        <v>0.09375</v>
      </c>
      <c r="O1087" s="1" t="s">
        <v>32</v>
      </c>
      <c r="P1087" s="1" t="s">
        <v>41</v>
      </c>
      <c r="Q1087" s="1" t="s">
        <v>47</v>
      </c>
      <c r="R1087" s="11">
        <v>45591</v>
      </c>
      <c r="S1087" s="1">
        <v>5</v>
      </c>
      <c r="U1087" s="48"/>
    </row>
    <row r="1088" ht="75" customHeight="1" spans="1:21" x14ac:dyDescent="0.25">
      <c r="A1088" s="1" t="s">
        <v>3725</v>
      </c>
      <c r="B1088" s="1">
        <v>2024</v>
      </c>
      <c r="C1088" s="1" t="s">
        <v>510</v>
      </c>
      <c r="D1088" s="2" t="s">
        <v>25</v>
      </c>
      <c r="E1088" s="1">
        <v>396291</v>
      </c>
      <c r="F1088" s="1" t="s">
        <v>27</v>
      </c>
      <c r="G1088" s="11">
        <v>45600</v>
      </c>
      <c r="H1088" s="11" t="s">
        <v>38</v>
      </c>
      <c r="I1088" s="11" t="s">
        <v>893</v>
      </c>
      <c r="J1088" s="2" t="s">
        <v>3911</v>
      </c>
      <c r="K1088" s="43">
        <v>0.020833333332120674</v>
      </c>
      <c r="L1088" s="12">
        <v>0.03472222222262644</v>
      </c>
      <c r="M1088" s="13">
        <f>CRF_3[[#This Row],[Time Spent on Configuration]]+CRF_3[[#This Row],[Time Spent on Review/Testing]]</f>
        <v>NaN</v>
      </c>
      <c r="N1088" s="13">
        <f>CRF_2[[#This Row],[Time Spent on Configuration]]+CRF_2[[#This Row],[Time Spent on Review/Testing]]</f>
        <v>0.055555555554747116</v>
      </c>
      <c r="O1088" s="1" t="s">
        <v>32</v>
      </c>
      <c r="P1088" s="1" t="s">
        <v>41</v>
      </c>
      <c r="Q1088" s="1" t="s">
        <v>47</v>
      </c>
      <c r="R1088" s="11">
        <v>45600</v>
      </c>
      <c r="S1088" s="1">
        <v>5</v>
      </c>
      <c r="U1088" s="48" t="s">
        <v>872</v>
      </c>
    </row>
    <row r="1089" ht="105" customHeight="1" spans="1:21" x14ac:dyDescent="0.25">
      <c r="A1089" s="1" t="s">
        <v>3725</v>
      </c>
      <c r="B1089" s="1">
        <v>2024</v>
      </c>
      <c r="C1089" s="1" t="s">
        <v>60</v>
      </c>
      <c r="D1089" s="2" t="s">
        <v>61</v>
      </c>
      <c r="E1089" s="1">
        <v>394937</v>
      </c>
      <c r="F1089" s="1" t="s">
        <v>37</v>
      </c>
      <c r="G1089" s="11">
        <v>45601</v>
      </c>
      <c r="H1089" s="11" t="s">
        <v>28</v>
      </c>
      <c r="I1089" s="11" t="s">
        <v>3912</v>
      </c>
      <c r="J1089" s="2" t="s">
        <v>3913</v>
      </c>
      <c r="K1089" s="43">
        <v>0.03125</v>
      </c>
      <c r="L1089" s="12">
        <v>0.041666666667879326</v>
      </c>
      <c r="M1089" s="13">
        <f>CRF_3[[#This Row],[Time Spent on Configuration]]+CRF_3[[#This Row],[Time Spent on Review/Testing]]</f>
        <v>NaN</v>
      </c>
      <c r="N1089" s="13">
        <f>CRF_2[[#This Row],[Time Spent on Configuration]]+CRF_2[[#This Row],[Time Spent on Review/Testing]]</f>
        <v>0.07291666666787933</v>
      </c>
      <c r="O1089" s="1" t="s">
        <v>31</v>
      </c>
      <c r="P1089" s="1" t="s">
        <v>32</v>
      </c>
      <c r="Q1089" s="1" t="s">
        <v>47</v>
      </c>
      <c r="R1089" s="11">
        <v>45601</v>
      </c>
      <c r="S1089" s="1">
        <v>5</v>
      </c>
      <c r="U1089" s="48" t="s">
        <v>872</v>
      </c>
    </row>
    <row r="1090" ht="120" customHeight="1" spans="1:21" x14ac:dyDescent="0.25">
      <c r="A1090" s="1" t="s">
        <v>3725</v>
      </c>
      <c r="B1090" s="1">
        <v>2024</v>
      </c>
      <c r="C1090" s="1" t="s">
        <v>118</v>
      </c>
      <c r="D1090" s="2" t="s">
        <v>25</v>
      </c>
      <c r="E1090" s="1">
        <v>389759</v>
      </c>
      <c r="F1090" s="1" t="s">
        <v>27</v>
      </c>
      <c r="G1090" s="11">
        <v>45601</v>
      </c>
      <c r="H1090" s="11" t="s">
        <v>38</v>
      </c>
      <c r="I1090" s="11" t="s">
        <v>3914</v>
      </c>
      <c r="J1090" s="2" t="s">
        <v>900</v>
      </c>
      <c r="K1090" s="43">
        <v>0.020833333332120674</v>
      </c>
      <c r="L1090" s="12">
        <v>0.03472222222262644</v>
      </c>
      <c r="M1090" s="13">
        <f>CRF_3[[#This Row],[Time Spent on Configuration]]+CRF_3[[#This Row],[Time Spent on Review/Testing]]</f>
        <v>NaN</v>
      </c>
      <c r="N1090" s="13">
        <f>CRF_2[[#This Row],[Time Spent on Configuration]]+CRF_2[[#This Row],[Time Spent on Review/Testing]]</f>
        <v>0.055555555554747116</v>
      </c>
      <c r="O1090" s="1" t="s">
        <v>53</v>
      </c>
      <c r="P1090" s="1" t="s">
        <v>32</v>
      </c>
      <c r="Q1090" s="1" t="s">
        <v>47</v>
      </c>
      <c r="R1090" s="11">
        <v>45601</v>
      </c>
      <c r="S1090" s="1">
        <v>5</v>
      </c>
      <c r="U1090" s="48" t="s">
        <v>872</v>
      </c>
    </row>
    <row r="1091" ht="45" customHeight="1" spans="1:21" x14ac:dyDescent="0.25">
      <c r="A1091" s="1" t="s">
        <v>3725</v>
      </c>
      <c r="B1091" s="1">
        <v>2024</v>
      </c>
      <c r="C1091" s="1" t="s">
        <v>35</v>
      </c>
      <c r="D1091" s="2" t="s">
        <v>25</v>
      </c>
      <c r="E1091" s="1">
        <v>396772</v>
      </c>
      <c r="F1091" s="1" t="s">
        <v>27</v>
      </c>
      <c r="G1091" s="11">
        <v>45603</v>
      </c>
      <c r="H1091" s="11" t="s">
        <v>38</v>
      </c>
      <c r="I1091" s="11" t="s">
        <v>902</v>
      </c>
      <c r="J1091" s="2" t="s">
        <v>3915</v>
      </c>
      <c r="K1091" s="43">
        <v>0.041666666667879326</v>
      </c>
      <c r="L1091" s="12">
        <v>0.020833333332120674</v>
      </c>
      <c r="M1091" s="13">
        <f>CRF_3[[#This Row],[Time Spent on Configuration]]+CRF_3[[#This Row],[Time Spent on Review/Testing]]</f>
        <v>NaN</v>
      </c>
      <c r="N1091" s="13">
        <f>CRF_2[[#This Row],[Time Spent on Configuration]]+CRF_2[[#This Row],[Time Spent on Review/Testing]]</f>
        <v>0.0625</v>
      </c>
      <c r="O1091" s="1" t="s">
        <v>53</v>
      </c>
      <c r="P1091" s="1" t="s">
        <v>32</v>
      </c>
      <c r="Q1091" s="1" t="s">
        <v>42</v>
      </c>
      <c r="R1091" s="11">
        <v>45603</v>
      </c>
      <c r="S1091" s="1">
        <v>5</v>
      </c>
      <c r="U1091" s="48" t="s">
        <v>872</v>
      </c>
    </row>
    <row r="1092" ht="75" customHeight="1" spans="1:21" x14ac:dyDescent="0.25">
      <c r="A1092" s="1" t="s">
        <v>3725</v>
      </c>
      <c r="B1092" s="1">
        <v>2024</v>
      </c>
      <c r="C1092" s="1" t="s">
        <v>83</v>
      </c>
      <c r="D1092" s="2" t="s">
        <v>78</v>
      </c>
      <c r="E1092" s="1">
        <v>398171</v>
      </c>
      <c r="F1092" s="1" t="s">
        <v>37</v>
      </c>
      <c r="G1092" s="11">
        <v>45611</v>
      </c>
      <c r="H1092" s="11" t="s">
        <v>74</v>
      </c>
      <c r="I1092" s="11" t="s">
        <v>3916</v>
      </c>
      <c r="J1092" s="2" t="s">
        <v>906</v>
      </c>
      <c r="K1092" s="43">
        <v>0.020833333332120674</v>
      </c>
      <c r="L1092" s="12">
        <v>0.06944444444525288</v>
      </c>
      <c r="M1092" s="13">
        <f>CRF_3[[#This Row],[Time Spent on Configuration]]+CRF_3[[#This Row],[Time Spent on Review/Testing]]</f>
        <v>NaN</v>
      </c>
      <c r="N1092" s="13">
        <f>CRF_2[[#This Row],[Time Spent on Configuration]]+CRF_2[[#This Row],[Time Spent on Review/Testing]]</f>
        <v>0.09027777777737356</v>
      </c>
      <c r="O1092" s="1" t="s">
        <v>53</v>
      </c>
      <c r="P1092" s="1" t="s">
        <v>32</v>
      </c>
      <c r="Q1092" s="1" t="s">
        <v>112</v>
      </c>
      <c r="R1092" s="11">
        <v>45614</v>
      </c>
      <c r="S1092" s="1">
        <v>5</v>
      </c>
      <c r="U1092" s="48"/>
    </row>
    <row r="1093" ht="60" customHeight="1" spans="1:21" x14ac:dyDescent="0.25">
      <c r="A1093" s="1" t="s">
        <v>3725</v>
      </c>
      <c r="B1093" s="1">
        <v>2024</v>
      </c>
      <c r="C1093" s="1" t="s">
        <v>288</v>
      </c>
      <c r="D1093" s="2" t="s">
        <v>289</v>
      </c>
      <c r="E1093" s="1">
        <v>398020</v>
      </c>
      <c r="F1093" s="1" t="s">
        <v>27</v>
      </c>
      <c r="G1093" s="11">
        <v>45617</v>
      </c>
      <c r="H1093" s="11" t="s">
        <v>820</v>
      </c>
      <c r="I1093" s="11" t="s">
        <v>3917</v>
      </c>
      <c r="J1093" s="2" t="s">
        <v>3918</v>
      </c>
      <c r="K1093" s="43">
        <v>0.020833333332120674</v>
      </c>
      <c r="L1093" s="12">
        <v>0.027777777777373558</v>
      </c>
      <c r="M1093" s="13">
        <f>CRF_3[[#This Row],[Time Spent on Configuration]]+CRF_3[[#This Row],[Time Spent on Review/Testing]]</f>
        <v>NaN</v>
      </c>
      <c r="N1093" s="13">
        <f>CRF_2[[#This Row],[Time Spent on Configuration]]+CRF_2[[#This Row],[Time Spent on Review/Testing]]</f>
        <v>0.04861111110949423</v>
      </c>
      <c r="O1093" s="1" t="s">
        <v>53</v>
      </c>
      <c r="P1093" s="1" t="s">
        <v>32</v>
      </c>
      <c r="Q1093" s="1" t="s">
        <v>112</v>
      </c>
      <c r="R1093" s="11">
        <v>45617</v>
      </c>
      <c r="S1093" s="1">
        <v>5</v>
      </c>
      <c r="U1093" s="48"/>
    </row>
    <row r="1094" ht="210" customHeight="1" spans="1:21" x14ac:dyDescent="0.25">
      <c r="A1094" s="1" t="s">
        <v>3725</v>
      </c>
      <c r="B1094" s="1">
        <v>2024</v>
      </c>
      <c r="C1094" s="1" t="s">
        <v>308</v>
      </c>
      <c r="D1094" s="2" t="s">
        <v>309</v>
      </c>
      <c r="E1094" s="1">
        <v>398627</v>
      </c>
      <c r="F1094" s="1" t="s">
        <v>37</v>
      </c>
      <c r="G1094" s="11">
        <v>45623</v>
      </c>
      <c r="H1094" s="11" t="s">
        <v>670</v>
      </c>
      <c r="I1094" s="11" t="s">
        <v>911</v>
      </c>
      <c r="J1094" s="2" t="s">
        <v>3919</v>
      </c>
      <c r="K1094" s="43">
        <v>0.013888888890505768</v>
      </c>
      <c r="L1094" s="12">
        <v>0.020833333332120674</v>
      </c>
      <c r="M1094" s="13">
        <f>CRF_3[[#This Row],[Time Spent on Configuration]]+CRF_3[[#This Row],[Time Spent on Review/Testing]]</f>
        <v>NaN</v>
      </c>
      <c r="N1094" s="13">
        <f>CRF_2[[#This Row],[Time Spent on Configuration]]+CRF_2[[#This Row],[Time Spent on Review/Testing]]</f>
        <v>0.03472222222262644</v>
      </c>
      <c r="O1094" s="1" t="s">
        <v>31</v>
      </c>
      <c r="P1094" s="1" t="s">
        <v>32</v>
      </c>
      <c r="Q1094" s="1" t="s">
        <v>42</v>
      </c>
      <c r="R1094" s="11">
        <v>45623</v>
      </c>
      <c r="S1094" s="1">
        <v>5</v>
      </c>
      <c r="U1094" s="48"/>
    </row>
    <row r="1095" spans="1:21" x14ac:dyDescent="0.25">
      <c r="A1095" s="1" t="s">
        <v>3725</v>
      </c>
      <c r="B1095" s="1">
        <v>2024</v>
      </c>
      <c r="C1095" s="1" t="s">
        <v>83</v>
      </c>
      <c r="D1095" s="2" t="s">
        <v>78</v>
      </c>
      <c r="E1095" s="1">
        <v>400299</v>
      </c>
      <c r="F1095" s="1" t="s">
        <v>37</v>
      </c>
      <c r="G1095" s="11">
        <v>45624</v>
      </c>
      <c r="H1095" s="11" t="s">
        <v>74</v>
      </c>
      <c r="I1095" s="11" t="s">
        <v>914</v>
      </c>
      <c r="J1095" s="2" t="s">
        <v>915</v>
      </c>
      <c r="K1095" s="43">
        <v>0.020833333332120674</v>
      </c>
      <c r="L1095" s="12">
        <v>0.027777777777373558</v>
      </c>
      <c r="M1095" s="13">
        <f>CRF_3[[#This Row],[Time Spent on Configuration]]+CRF_3[[#This Row],[Time Spent on Review/Testing]]</f>
        <v>NaN</v>
      </c>
      <c r="N1095" s="13">
        <f>CRF_2[[#This Row],[Time Spent on Configuration]]+CRF_2[[#This Row],[Time Spent on Review/Testing]]</f>
        <v>0.04861111110949423</v>
      </c>
      <c r="O1095" s="1" t="s">
        <v>53</v>
      </c>
      <c r="P1095" s="1" t="s">
        <v>32</v>
      </c>
      <c r="Q1095" s="1" t="s">
        <v>112</v>
      </c>
      <c r="R1095" s="11">
        <v>45625</v>
      </c>
      <c r="S1095" s="1">
        <v>5</v>
      </c>
      <c r="U1095" s="48"/>
    </row>
    <row r="1096" spans="1:21" x14ac:dyDescent="0.25">
      <c r="A1096" s="1" t="s">
        <v>3733</v>
      </c>
      <c r="B1096" s="1">
        <v>2024</v>
      </c>
      <c r="C1096" s="1" t="s">
        <v>258</v>
      </c>
      <c r="D1096" s="2" t="s">
        <v>25</v>
      </c>
      <c r="E1096" s="1">
        <v>398176</v>
      </c>
      <c r="F1096" s="1" t="s">
        <v>37</v>
      </c>
      <c r="G1096" s="11">
        <v>45630</v>
      </c>
      <c r="H1096" s="11" t="s">
        <v>670</v>
      </c>
      <c r="I1096" s="11" t="s">
        <v>3920</v>
      </c>
      <c r="J1096" s="2" t="s">
        <v>919</v>
      </c>
      <c r="K1096" s="43">
        <v>0.055555555554747116</v>
      </c>
      <c r="L1096" s="12"/>
      <c r="M1096" s="13">
        <f>CRF_3[[#This Row],[Time Spent on Configuration]]+CRF_3[[#This Row],[Time Spent on Review/Testing]]</f>
        <v>NaN</v>
      </c>
      <c r="N1096" s="13">
        <f>CRF_2[[#This Row],[Time Spent on Configuration]]+CRF_2[[#This Row],[Time Spent on Review/Testing]]</f>
        <v>0.055555555554747116</v>
      </c>
      <c r="P1096" s="1" t="s">
        <v>31</v>
      </c>
      <c r="Q1096" s="1" t="s">
        <v>42</v>
      </c>
      <c r="R1096" s="11">
        <v>45630</v>
      </c>
      <c r="S1096" s="1">
        <v>5</v>
      </c>
      <c r="U1096" s="48"/>
    </row>
    <row r="1097" ht="120" customHeight="1" spans="1:21" x14ac:dyDescent="0.25">
      <c r="A1097" s="1" t="s">
        <v>3733</v>
      </c>
      <c r="B1097" s="1">
        <v>2024</v>
      </c>
      <c r="C1097" s="1" t="s">
        <v>35</v>
      </c>
      <c r="D1097" s="2" t="s">
        <v>25</v>
      </c>
      <c r="E1097" s="1">
        <v>398363</v>
      </c>
      <c r="F1097" s="1" t="s">
        <v>27</v>
      </c>
      <c r="G1097" s="11">
        <v>45632</v>
      </c>
      <c r="H1097" s="11" t="s">
        <v>74</v>
      </c>
      <c r="I1097" s="11" t="s">
        <v>3921</v>
      </c>
      <c r="J1097" s="2" t="s">
        <v>3922</v>
      </c>
      <c r="K1097" s="43">
        <v>0.08333333333212067</v>
      </c>
      <c r="L1097" s="12">
        <v>0.055555555554747116</v>
      </c>
      <c r="M1097" s="13">
        <f>CRF_3[[#This Row],[Time Spent on Configuration]]+CRF_3[[#This Row],[Time Spent on Review/Testing]]</f>
        <v>NaN</v>
      </c>
      <c r="N1097" s="13">
        <f>CRF_2[[#This Row],[Time Spent on Configuration]]+CRF_2[[#This Row],[Time Spent on Review/Testing]]</f>
        <v>0.13888888889050577</v>
      </c>
      <c r="O1097" s="1" t="s">
        <v>31</v>
      </c>
      <c r="P1097" s="1" t="s">
        <v>32</v>
      </c>
      <c r="Q1097" s="1" t="s">
        <v>42</v>
      </c>
      <c r="R1097" s="11">
        <v>45635</v>
      </c>
      <c r="S1097" s="1">
        <v>5</v>
      </c>
      <c r="U1097" s="48"/>
    </row>
    <row r="1098" ht="45" customHeight="1" spans="1:21" x14ac:dyDescent="0.25">
      <c r="A1098" s="1" t="s">
        <v>3733</v>
      </c>
      <c r="B1098" s="1">
        <v>2024</v>
      </c>
      <c r="C1098" s="1" t="s">
        <v>77</v>
      </c>
      <c r="D1098" s="2" t="s">
        <v>78</v>
      </c>
      <c r="E1098" s="1">
        <v>401666</v>
      </c>
      <c r="F1098" s="1" t="s">
        <v>37</v>
      </c>
      <c r="G1098" s="11">
        <v>45632</v>
      </c>
      <c r="H1098" s="11" t="s">
        <v>924</v>
      </c>
      <c r="I1098" s="11" t="s">
        <v>3923</v>
      </c>
      <c r="J1098" s="2" t="s">
        <v>926</v>
      </c>
      <c r="K1098" s="43">
        <v>0.020833333332120674</v>
      </c>
      <c r="L1098" s="12">
        <v>0.03472222222262644</v>
      </c>
      <c r="M1098" s="13">
        <f>CRF_3[[#This Row],[Time Spent on Configuration]]+CRF_3[[#This Row],[Time Spent on Review/Testing]]</f>
        <v>NaN</v>
      </c>
      <c r="N1098" s="13">
        <f>CRF_2[[#This Row],[Time Spent on Configuration]]+CRF_2[[#This Row],[Time Spent on Review/Testing]]</f>
        <v>0.055555555554747116</v>
      </c>
      <c r="O1098" s="1" t="s">
        <v>347</v>
      </c>
      <c r="P1098" s="1" t="s">
        <v>32</v>
      </c>
      <c r="Q1098" s="1" t="s">
        <v>112</v>
      </c>
      <c r="R1098" s="11">
        <v>45632</v>
      </c>
      <c r="S1098" s="1">
        <v>5</v>
      </c>
      <c r="U1098" s="48"/>
    </row>
    <row r="1099" ht="120" customHeight="1" spans="1:21" x14ac:dyDescent="0.25">
      <c r="A1099" s="1" t="s">
        <v>3733</v>
      </c>
      <c r="B1099" s="1">
        <v>2024</v>
      </c>
      <c r="C1099" s="1" t="s">
        <v>545</v>
      </c>
      <c r="D1099" s="2" t="str">
        <f>IFERROR(INDEX(D:D, MATCH(C1099, C:C, 0)), "")</f>
        <v>EBS Capstone</v>
      </c>
      <c r="E1099" s="1">
        <v>394682</v>
      </c>
      <c r="F1099" s="1" t="s">
        <v>37</v>
      </c>
      <c r="G1099" s="11">
        <v>45632</v>
      </c>
      <c r="H1099" s="11" t="s">
        <v>74</v>
      </c>
      <c r="I1099" s="11" t="s">
        <v>3924</v>
      </c>
      <c r="J1099" s="2" t="s">
        <v>3925</v>
      </c>
      <c r="K1099" s="43">
        <v>0.041666666667879326</v>
      </c>
      <c r="L1099" s="12">
        <v>0.06944444444525288</v>
      </c>
      <c r="M1099" s="13">
        <f>CRF_3[[#This Row],[Time Spent on Configuration]]+CRF_3[[#This Row],[Time Spent on Review/Testing]]</f>
        <v>NaN</v>
      </c>
      <c r="N1099" s="13">
        <f>CRF_2[[#This Row],[Time Spent on Configuration]]+CRF_2[[#This Row],[Time Spent on Review/Testing]]</f>
        <v>0.11111111110949423</v>
      </c>
      <c r="O1099" s="1" t="s">
        <v>31</v>
      </c>
      <c r="P1099" s="1" t="s">
        <v>32</v>
      </c>
      <c r="Q1099" s="1" t="s">
        <v>47</v>
      </c>
      <c r="R1099" s="11">
        <v>45635</v>
      </c>
      <c r="S1099" s="1">
        <v>5</v>
      </c>
      <c r="U1099" s="48"/>
    </row>
    <row r="1100" ht="120" customHeight="1" spans="1:21" x14ac:dyDescent="0.25">
      <c r="A1100" s="1" t="s">
        <v>3733</v>
      </c>
      <c r="B1100" s="1">
        <v>2024</v>
      </c>
      <c r="C1100" s="1" t="s">
        <v>35</v>
      </c>
      <c r="D1100" s="2" t="s">
        <v>25</v>
      </c>
      <c r="E1100" s="1">
        <v>402722</v>
      </c>
      <c r="F1100" s="1" t="s">
        <v>27</v>
      </c>
      <c r="G1100" s="11">
        <v>45643</v>
      </c>
      <c r="H1100" s="11" t="s">
        <v>28</v>
      </c>
      <c r="I1100" s="11" t="s">
        <v>3926</v>
      </c>
      <c r="J1100" s="2" t="s">
        <v>3927</v>
      </c>
      <c r="K1100" s="43">
        <v>0.03472222222262644</v>
      </c>
      <c r="L1100" s="12"/>
      <c r="M1100" s="13">
        <f>CRF_3[[#This Row],[Time Spent on Configuration]]+CRF_3[[#This Row],[Time Spent on Review/Testing]]</f>
        <v>NaN</v>
      </c>
      <c r="N1100" s="13">
        <f>CRF_2[[#This Row],[Time Spent on Configuration]]+CRF_2[[#This Row],[Time Spent on Review/Testing]]</f>
        <v>0.03472222222262644</v>
      </c>
      <c r="O1100" s="1" t="s">
        <v>32</v>
      </c>
      <c r="Q1100" s="1" t="s">
        <v>42</v>
      </c>
      <c r="R1100" s="11">
        <v>45643</v>
      </c>
      <c r="S1100" s="1">
        <v>5</v>
      </c>
      <c r="U1100" s="48"/>
    </row>
    <row r="1101" ht="60" customHeight="1" spans="1:21" x14ac:dyDescent="0.25">
      <c r="A1101" s="1" t="s">
        <v>3733</v>
      </c>
      <c r="B1101" s="1">
        <v>2024</v>
      </c>
      <c r="C1101" s="1" t="s">
        <v>113</v>
      </c>
      <c r="D1101" s="2" t="s">
        <v>25</v>
      </c>
      <c r="E1101" s="1">
        <v>401524</v>
      </c>
      <c r="F1101" s="1" t="s">
        <v>37</v>
      </c>
      <c r="G1101" s="11">
        <v>45644</v>
      </c>
      <c r="H1101" s="11" t="s">
        <v>28</v>
      </c>
      <c r="I1101" s="11" t="s">
        <v>3928</v>
      </c>
      <c r="J1101" s="2" t="s">
        <v>935</v>
      </c>
      <c r="K1101" s="43">
        <v>0.03472222222262644</v>
      </c>
      <c r="L1101" s="12">
        <v>0.041666666667879326</v>
      </c>
      <c r="M1101" s="13">
        <f>CRF_3[[#This Row],[Time Spent on Configuration]]+CRF_3[[#This Row],[Time Spent on Review/Testing]]</f>
        <v>NaN</v>
      </c>
      <c r="N1101" s="13">
        <f>CRF_2[[#This Row],[Time Spent on Configuration]]+CRF_2[[#This Row],[Time Spent on Review/Testing]]</f>
        <v>0.07638888889050577</v>
      </c>
      <c r="O1101" s="1" t="s">
        <v>31</v>
      </c>
      <c r="P1101" s="1" t="s">
        <v>32</v>
      </c>
      <c r="Q1101" s="1" t="s">
        <v>47</v>
      </c>
      <c r="R1101" s="11">
        <v>45644</v>
      </c>
      <c r="S1101" s="1">
        <v>5</v>
      </c>
      <c r="U1101" s="48"/>
    </row>
    <row r="1102" ht="45" customHeight="1" spans="1:21" x14ac:dyDescent="0.25">
      <c r="A1102" s="1" t="s">
        <v>3733</v>
      </c>
      <c r="B1102" s="1">
        <v>2024</v>
      </c>
      <c r="C1102" s="1" t="s">
        <v>936</v>
      </c>
      <c r="D1102" s="2" t="s">
        <v>25</v>
      </c>
      <c r="E1102" s="1">
        <v>403145</v>
      </c>
      <c r="F1102" s="1" t="s">
        <v>27</v>
      </c>
      <c r="G1102" s="11">
        <v>45644</v>
      </c>
      <c r="H1102" s="11" t="s">
        <v>38</v>
      </c>
      <c r="I1102" s="11" t="s">
        <v>3929</v>
      </c>
      <c r="J1102" s="2" t="s">
        <v>3930</v>
      </c>
      <c r="K1102" s="43">
        <v>0.03472222222262644</v>
      </c>
      <c r="L1102" s="12">
        <v>0.041666666667879326</v>
      </c>
      <c r="M1102" s="13">
        <f>CRF_3[[#This Row],[Time Spent on Configuration]]+CRF_3[[#This Row],[Time Spent on Review/Testing]]</f>
        <v>NaN</v>
      </c>
      <c r="N1102" s="13">
        <f>CRF_2[[#This Row],[Time Spent on Configuration]]+CRF_2[[#This Row],[Time Spent on Review/Testing]]</f>
        <v>0.07638888889050577</v>
      </c>
      <c r="O1102" s="1" t="s">
        <v>31</v>
      </c>
      <c r="P1102" s="1" t="s">
        <v>32</v>
      </c>
      <c r="Q1102" s="1" t="s">
        <v>112</v>
      </c>
      <c r="R1102" s="11">
        <v>45644</v>
      </c>
      <c r="S1102" s="1">
        <v>5</v>
      </c>
      <c r="U1102" s="48"/>
    </row>
    <row r="1103" ht="105" customHeight="1" spans="1:21" x14ac:dyDescent="0.25">
      <c r="A1103" s="1" t="s">
        <v>3733</v>
      </c>
      <c r="B1103" s="1">
        <v>2024</v>
      </c>
      <c r="C1103" s="1" t="s">
        <v>936</v>
      </c>
      <c r="D1103" s="2" t="s">
        <v>25</v>
      </c>
      <c r="E1103" s="1">
        <v>403055</v>
      </c>
      <c r="F1103" s="1" t="s">
        <v>27</v>
      </c>
      <c r="G1103" s="11">
        <v>45645</v>
      </c>
      <c r="H1103" s="11" t="s">
        <v>38</v>
      </c>
      <c r="I1103" s="11" t="s">
        <v>3931</v>
      </c>
      <c r="J1103" s="2" t="s">
        <v>3932</v>
      </c>
      <c r="K1103" s="43">
        <v>0.041666666667879326</v>
      </c>
      <c r="L1103" s="12">
        <v>0.0625</v>
      </c>
      <c r="M1103" s="13">
        <f>CRF_3[[#This Row],[Time Spent on Configuration]]+CRF_3[[#This Row],[Time Spent on Review/Testing]]</f>
        <v>NaN</v>
      </c>
      <c r="N1103" s="13">
        <f>CRF_2[[#This Row],[Time Spent on Configuration]]+CRF_2[[#This Row],[Time Spent on Review/Testing]]</f>
        <v>0.10416666666787933</v>
      </c>
      <c r="O1103" s="1" t="s">
        <v>31</v>
      </c>
      <c r="P1103" s="1" t="s">
        <v>32</v>
      </c>
      <c r="Q1103" s="1" t="s">
        <v>112</v>
      </c>
      <c r="R1103" s="11">
        <v>45644</v>
      </c>
      <c r="S1103" s="1">
        <v>1</v>
      </c>
      <c r="U1103" s="48"/>
    </row>
    <row r="1104" ht="210" customHeight="1" spans="1:21" x14ac:dyDescent="0.25">
      <c r="A1104" s="1" t="s">
        <v>3733</v>
      </c>
      <c r="B1104" s="1">
        <v>2024</v>
      </c>
      <c r="C1104" s="1" t="s">
        <v>113</v>
      </c>
      <c r="D1104" s="2" t="s">
        <v>25</v>
      </c>
      <c r="E1104" s="1">
        <v>373055</v>
      </c>
      <c r="F1104" s="1" t="s">
        <v>37</v>
      </c>
      <c r="G1104" s="11">
        <v>45649</v>
      </c>
      <c r="H1104" s="11" t="s">
        <v>38</v>
      </c>
      <c r="I1104" s="11" t="s">
        <v>3933</v>
      </c>
      <c r="J1104" s="2" t="s">
        <v>3934</v>
      </c>
      <c r="K1104" s="43">
        <v>0.0625</v>
      </c>
      <c r="L1104" s="12">
        <v>0.0625</v>
      </c>
      <c r="M1104" s="13">
        <f>CRF_3[[#This Row],[Time Spent on Configuration]]+CRF_3[[#This Row],[Time Spent on Review/Testing]]</f>
        <v>NaN</v>
      </c>
      <c r="N1104" s="13">
        <f>CRF_2[[#This Row],[Time Spent on Configuration]]+CRF_2[[#This Row],[Time Spent on Review/Testing]]</f>
        <v>0.125</v>
      </c>
      <c r="O1104" s="1" t="s">
        <v>31</v>
      </c>
      <c r="P1104" s="1" t="s">
        <v>32</v>
      </c>
      <c r="Q1104" s="1" t="s">
        <v>117</v>
      </c>
      <c r="R1104" s="11">
        <v>45649</v>
      </c>
      <c r="S1104" s="1">
        <v>5</v>
      </c>
      <c r="U1104" s="48"/>
    </row>
    <row r="1105" ht="45" customHeight="1" spans="1:21" x14ac:dyDescent="0.25">
      <c r="A1105" s="1" t="s">
        <v>3733</v>
      </c>
      <c r="B1105" s="1">
        <v>2024</v>
      </c>
      <c r="C1105" s="1" t="s">
        <v>199</v>
      </c>
      <c r="D1105" s="2" t="s">
        <v>541</v>
      </c>
      <c r="E1105" s="1">
        <v>403338</v>
      </c>
      <c r="F1105" s="1" t="s">
        <v>37</v>
      </c>
      <c r="G1105" s="11">
        <v>45650</v>
      </c>
      <c r="H1105" s="11" t="s">
        <v>28</v>
      </c>
      <c r="I1105" s="11" t="s">
        <v>3935</v>
      </c>
      <c r="J1105" s="2" t="s">
        <v>3936</v>
      </c>
      <c r="K1105" s="43">
        <v>0.013888888890505768</v>
      </c>
      <c r="L1105" s="12">
        <v>0.041666666667879326</v>
      </c>
      <c r="M1105" s="13">
        <f>CRF_3[[#This Row],[Time Spent on Configuration]]+CRF_3[[#This Row],[Time Spent on Review/Testing]]</f>
        <v>NaN</v>
      </c>
      <c r="N1105" s="13">
        <f>CRF_2[[#This Row],[Time Spent on Configuration]]+CRF_2[[#This Row],[Time Spent on Review/Testing]]</f>
        <v>0.055555555554747116</v>
      </c>
      <c r="O1105" s="1" t="s">
        <v>31</v>
      </c>
      <c r="P1105" s="1" t="s">
        <v>32</v>
      </c>
      <c r="Q1105" s="1" t="s">
        <v>42</v>
      </c>
      <c r="R1105" s="11">
        <v>45650</v>
      </c>
      <c r="S1105" s="1">
        <v>5</v>
      </c>
      <c r="U1105" s="48"/>
    </row>
    <row r="1106" ht="210" customHeight="1" spans="1:19" x14ac:dyDescent="0.25">
      <c r="A1106" s="1" t="s">
        <v>3576</v>
      </c>
      <c r="B1106" s="1">
        <v>2025</v>
      </c>
      <c r="C1106" s="2" t="s">
        <v>35</v>
      </c>
      <c r="D1106" s="1" t="s">
        <v>25</v>
      </c>
      <c r="E1106" s="1">
        <v>404752</v>
      </c>
      <c r="F1106" s="1" t="s">
        <v>37</v>
      </c>
      <c r="G1106" s="11">
        <v>45660</v>
      </c>
      <c r="H1106" s="11" t="s">
        <v>38</v>
      </c>
      <c r="I1106" s="2" t="s">
        <v>3577</v>
      </c>
      <c r="J1106" s="2" t="s">
        <v>3578</v>
      </c>
      <c r="K1106" s="12">
        <v>0.041666666667879326</v>
      </c>
      <c r="L1106" s="12">
        <v>0.06944444444525288</v>
      </c>
      <c r="M1106" s="13">
        <v>0.11111111110949423</v>
      </c>
      <c r="O1106" s="1" t="s">
        <v>31</v>
      </c>
      <c r="P1106" s="1" t="s">
        <v>41</v>
      </c>
      <c r="Q1106" s="1" t="s">
        <v>42</v>
      </c>
      <c r="R1106" s="11">
        <v>45660</v>
      </c>
      <c r="S1106" s="1">
        <v>5</v>
      </c>
    </row>
    <row r="1107" ht="75" customHeight="1" spans="1:19" x14ac:dyDescent="0.25">
      <c r="A1107" s="1" t="s">
        <v>3576</v>
      </c>
      <c r="B1107" s="1">
        <v>2025</v>
      </c>
      <c r="C1107" s="2" t="s">
        <v>43</v>
      </c>
      <c r="D1107" s="1" t="s">
        <v>44</v>
      </c>
      <c r="E1107" s="15" t="s">
        <v>45</v>
      </c>
      <c r="F1107" s="1" t="s">
        <v>37</v>
      </c>
      <c r="G1107" s="11">
        <v>45663</v>
      </c>
      <c r="H1107" s="11" t="s">
        <v>28</v>
      </c>
      <c r="I1107" s="2" t="s">
        <v>3579</v>
      </c>
      <c r="J1107" s="2" t="s">
        <v>3579</v>
      </c>
      <c r="K1107" s="12">
        <v>0.041666666667879326</v>
      </c>
      <c r="L1107" s="12">
        <v>0.041666666667879326</v>
      </c>
      <c r="M1107" s="13">
        <v>0.08333333333212067</v>
      </c>
      <c r="O1107" s="1" t="s">
        <v>31</v>
      </c>
      <c r="P1107" s="1" t="s">
        <v>32</v>
      </c>
      <c r="Q1107" s="1" t="s">
        <v>47</v>
      </c>
      <c r="R1107" s="11">
        <v>45663</v>
      </c>
      <c r="S1107" s="1">
        <v>5</v>
      </c>
    </row>
    <row r="1108" spans="1:19" x14ac:dyDescent="0.25">
      <c r="A1108" s="1" t="s">
        <v>3576</v>
      </c>
      <c r="B1108" s="1">
        <v>2025</v>
      </c>
      <c r="C1108" s="2" t="s">
        <v>48</v>
      </c>
      <c r="D1108" s="1" t="s">
        <v>25</v>
      </c>
      <c r="E1108" s="1">
        <v>405176</v>
      </c>
      <c r="F1108" s="1" t="s">
        <v>37</v>
      </c>
      <c r="G1108" s="11">
        <v>45664</v>
      </c>
      <c r="H1108" s="11" t="s">
        <v>50</v>
      </c>
      <c r="I1108" s="2" t="s">
        <v>3580</v>
      </c>
      <c r="J1108" s="2" t="s">
        <v>52</v>
      </c>
      <c r="K1108" s="12">
        <v>0.020833333332120674</v>
      </c>
      <c r="L1108" s="12">
        <v>0.041666666667879326</v>
      </c>
      <c r="M1108" s="13">
        <v>0.0625</v>
      </c>
      <c r="O1108" s="1" t="s">
        <v>53</v>
      </c>
      <c r="P1108" s="1" t="s">
        <v>54</v>
      </c>
      <c r="Q1108" s="1" t="s">
        <v>47</v>
      </c>
      <c r="R1108" s="11">
        <v>45664</v>
      </c>
      <c r="S1108" s="1">
        <v>5</v>
      </c>
    </row>
    <row r="1109" ht="180" customHeight="1" spans="1:19" x14ac:dyDescent="0.25">
      <c r="A1109" s="1" t="s">
        <v>3576</v>
      </c>
      <c r="B1109" s="1">
        <v>2025</v>
      </c>
      <c r="C1109" s="2" t="s">
        <v>43</v>
      </c>
      <c r="D1109" s="1" t="s">
        <v>44</v>
      </c>
      <c r="E1109" s="15" t="s">
        <v>55</v>
      </c>
      <c r="F1109" s="1" t="s">
        <v>37</v>
      </c>
      <c r="G1109" s="11">
        <v>45667</v>
      </c>
      <c r="H1109" s="11" t="s">
        <v>28</v>
      </c>
      <c r="I1109" s="16" t="s">
        <v>3581</v>
      </c>
      <c r="J1109" s="16" t="s">
        <v>3581</v>
      </c>
      <c r="K1109" s="12">
        <v>0.041666666667879326</v>
      </c>
      <c r="L1109" s="12">
        <v>0</v>
      </c>
      <c r="M1109" s="13">
        <v>0.041666666667879326</v>
      </c>
      <c r="O1109" s="1" t="s">
        <v>31</v>
      </c>
      <c r="P1109" s="1" t="s">
        <v>32</v>
      </c>
      <c r="Q1109" s="1" t="s">
        <v>47</v>
      </c>
      <c r="R1109" s="11">
        <v>45667</v>
      </c>
      <c r="S1109" s="1">
        <v>5</v>
      </c>
    </row>
    <row r="1110" ht="60" customHeight="1" spans="1:19" x14ac:dyDescent="0.25">
      <c r="A1110" s="1" t="s">
        <v>3576</v>
      </c>
      <c r="B1110" s="1">
        <v>2025</v>
      </c>
      <c r="C1110" s="2" t="s">
        <v>43</v>
      </c>
      <c r="D1110" s="1" t="s">
        <v>44</v>
      </c>
      <c r="E1110" s="1">
        <v>405845</v>
      </c>
      <c r="F1110" s="1" t="s">
        <v>27</v>
      </c>
      <c r="G1110" s="11">
        <v>45672</v>
      </c>
      <c r="H1110" s="11" t="s">
        <v>924</v>
      </c>
      <c r="I1110" s="2" t="s">
        <v>3582</v>
      </c>
      <c r="J1110" s="2" t="s">
        <v>59</v>
      </c>
      <c r="K1110" s="12">
        <v>0.020833333332120674</v>
      </c>
      <c r="L1110" s="12">
        <v>0.027777777777373558</v>
      </c>
      <c r="M1110" s="13">
        <v>0.04861111110949423</v>
      </c>
      <c r="O1110" s="1" t="s">
        <v>53</v>
      </c>
      <c r="P1110" s="1" t="s">
        <v>32</v>
      </c>
      <c r="Q1110" s="1" t="s">
        <v>47</v>
      </c>
      <c r="R1110" s="11">
        <v>45672</v>
      </c>
      <c r="S1110" s="1">
        <v>5</v>
      </c>
    </row>
    <row r="1111" spans="1:19" x14ac:dyDescent="0.25">
      <c r="A1111" s="1" t="s">
        <v>3576</v>
      </c>
      <c r="B1111" s="1">
        <v>2025</v>
      </c>
      <c r="C1111" s="2" t="s">
        <v>60</v>
      </c>
      <c r="D1111" s="1" t="s">
        <v>61</v>
      </c>
      <c r="E1111" s="1">
        <v>405831</v>
      </c>
      <c r="F1111" s="1" t="s">
        <v>37</v>
      </c>
      <c r="G1111" s="11">
        <v>45672</v>
      </c>
      <c r="H1111" s="11" t="s">
        <v>924</v>
      </c>
      <c r="I1111" s="2" t="s">
        <v>63</v>
      </c>
      <c r="J1111" s="2" t="s">
        <v>64</v>
      </c>
      <c r="K1111" s="12">
        <v>0.020833333332120674</v>
      </c>
      <c r="L1111" s="12">
        <v>0.027777777777373558</v>
      </c>
      <c r="M1111" s="13">
        <v>0.04861111110949423</v>
      </c>
      <c r="O1111" s="1" t="s">
        <v>53</v>
      </c>
      <c r="P1111" s="1" t="s">
        <v>32</v>
      </c>
      <c r="Q1111" s="1" t="s">
        <v>47</v>
      </c>
      <c r="R1111" s="11">
        <v>45672</v>
      </c>
      <c r="S1111" s="1">
        <v>5</v>
      </c>
    </row>
    <row r="1112" ht="60" customHeight="1" spans="1:19" x14ac:dyDescent="0.25">
      <c r="A1112" s="1" t="s">
        <v>3576</v>
      </c>
      <c r="B1112" s="1">
        <v>2025</v>
      </c>
      <c r="C1112" s="2" t="s">
        <v>65</v>
      </c>
      <c r="D1112" s="1" t="s">
        <v>25</v>
      </c>
      <c r="E1112" s="1">
        <v>405618</v>
      </c>
      <c r="F1112" s="1" t="s">
        <v>27</v>
      </c>
      <c r="G1112" s="11">
        <v>45672</v>
      </c>
      <c r="H1112" s="11" t="s">
        <v>3570</v>
      </c>
      <c r="I1112" s="2" t="s">
        <v>67</v>
      </c>
      <c r="J1112" s="2" t="s">
        <v>3583</v>
      </c>
      <c r="K1112" s="12">
        <v>0.020833333332120674</v>
      </c>
      <c r="L1112" s="12">
        <v>0.027777777777373558</v>
      </c>
      <c r="M1112" s="13">
        <v>0.04861111110949423</v>
      </c>
      <c r="O1112" s="1" t="s">
        <v>53</v>
      </c>
      <c r="P1112" s="1" t="s">
        <v>32</v>
      </c>
      <c r="Q1112" s="1" t="s">
        <v>47</v>
      </c>
      <c r="R1112" s="11">
        <v>45672</v>
      </c>
      <c r="S1112" s="1">
        <v>5</v>
      </c>
    </row>
    <row r="1113" ht="45" customHeight="1" spans="1:19" x14ac:dyDescent="0.25">
      <c r="A1113" s="1" t="s">
        <v>3576</v>
      </c>
      <c r="B1113" s="1">
        <v>2025</v>
      </c>
      <c r="C1113" s="2" t="s">
        <v>65</v>
      </c>
      <c r="D1113" s="1" t="s">
        <v>25</v>
      </c>
      <c r="E1113" s="1">
        <v>406482</v>
      </c>
      <c r="F1113" s="1" t="s">
        <v>37</v>
      </c>
      <c r="G1113" s="11">
        <v>45674</v>
      </c>
      <c r="H1113" s="11" t="s">
        <v>3570</v>
      </c>
      <c r="I1113" s="2" t="s">
        <v>3584</v>
      </c>
      <c r="J1113" s="2" t="s">
        <v>3585</v>
      </c>
      <c r="K1113" s="12">
        <v>0.013888888890505768</v>
      </c>
      <c r="L1113" s="12">
        <v>0.024305555554747116</v>
      </c>
      <c r="M1113" s="13">
        <v>0.038194444445252884</v>
      </c>
      <c r="O1113" s="1" t="s">
        <v>31</v>
      </c>
      <c r="P1113" s="1" t="s">
        <v>41</v>
      </c>
      <c r="Q1113" s="1" t="s">
        <v>47</v>
      </c>
      <c r="R1113" s="11">
        <v>45674</v>
      </c>
      <c r="S1113" s="1">
        <v>5</v>
      </c>
    </row>
    <row r="1114" ht="105" customHeight="1" spans="1:19" x14ac:dyDescent="0.25">
      <c r="A1114" s="1" t="s">
        <v>3576</v>
      </c>
      <c r="B1114" s="1">
        <v>2025</v>
      </c>
      <c r="C1114" s="2" t="s">
        <v>72</v>
      </c>
      <c r="D1114" s="1" t="s">
        <v>44</v>
      </c>
      <c r="E1114" s="1">
        <v>406833</v>
      </c>
      <c r="F1114" s="1" t="s">
        <v>27</v>
      </c>
      <c r="G1114" s="11">
        <v>45679</v>
      </c>
      <c r="H1114" s="11" t="s">
        <v>74</v>
      </c>
      <c r="I1114" s="2" t="s">
        <v>3586</v>
      </c>
      <c r="J1114" s="2" t="s">
        <v>3587</v>
      </c>
      <c r="K1114" s="12">
        <v>0.020833333332120674</v>
      </c>
      <c r="L1114" s="12">
        <v>0.027777777777373558</v>
      </c>
      <c r="M1114" s="13">
        <v>0.04861111110949423</v>
      </c>
      <c r="O1114" s="1" t="s">
        <v>31</v>
      </c>
      <c r="P1114" s="1" t="s">
        <v>32</v>
      </c>
      <c r="Q1114" s="1" t="s">
        <v>47</v>
      </c>
      <c r="R1114" s="11">
        <v>45679</v>
      </c>
      <c r="S1114" s="1">
        <v>5</v>
      </c>
    </row>
    <row r="1115" ht="210" customHeight="1" spans="1:19" x14ac:dyDescent="0.25">
      <c r="A1115" s="1" t="s">
        <v>3576</v>
      </c>
      <c r="B1115" s="1">
        <v>2025</v>
      </c>
      <c r="C1115" s="2" t="s">
        <v>77</v>
      </c>
      <c r="D1115" s="1" t="s">
        <v>78</v>
      </c>
      <c r="E1115" s="1">
        <v>406029</v>
      </c>
      <c r="F1115" s="1" t="s">
        <v>27</v>
      </c>
      <c r="G1115" s="11">
        <v>45679</v>
      </c>
      <c r="H1115" s="11" t="s">
        <v>80</v>
      </c>
      <c r="I1115" s="2" t="s">
        <v>3588</v>
      </c>
      <c r="J1115" s="2" t="s">
        <v>3589</v>
      </c>
      <c r="K1115" s="12">
        <v>0.020833333332120674</v>
      </c>
      <c r="L1115" s="12">
        <v>0.027777777777373558</v>
      </c>
      <c r="M1115" s="13">
        <v>0.04861111110949423</v>
      </c>
      <c r="O1115" s="1" t="s">
        <v>31</v>
      </c>
      <c r="P1115" s="1" t="s">
        <v>32</v>
      </c>
      <c r="Q1115" s="1" t="s">
        <v>42</v>
      </c>
      <c r="R1115" s="11">
        <v>45679</v>
      </c>
      <c r="S1115" s="1">
        <v>5</v>
      </c>
    </row>
    <row r="1116" spans="1:19" x14ac:dyDescent="0.25">
      <c r="A1116" s="1" t="s">
        <v>3576</v>
      </c>
      <c r="B1116" s="1">
        <v>2025</v>
      </c>
      <c r="C1116" s="2" t="s">
        <v>83</v>
      </c>
      <c r="D1116" s="1" t="s">
        <v>78</v>
      </c>
      <c r="E1116" s="1">
        <v>407226</v>
      </c>
      <c r="F1116" s="1" t="s">
        <v>27</v>
      </c>
      <c r="G1116" s="11">
        <v>45681</v>
      </c>
      <c r="H1116" s="11" t="s">
        <v>3570</v>
      </c>
      <c r="I1116" s="2" t="s">
        <v>85</v>
      </c>
      <c r="J1116" s="2" t="s">
        <v>86</v>
      </c>
      <c r="K1116" s="12">
        <v>0.020833333332120674</v>
      </c>
      <c r="L1116" s="12">
        <v>0.020833333332120674</v>
      </c>
      <c r="M1116" s="13">
        <v>0.041666666667879326</v>
      </c>
      <c r="O1116" s="1" t="s">
        <v>53</v>
      </c>
      <c r="P1116" s="1" t="s">
        <v>32</v>
      </c>
      <c r="Q1116" s="1" t="s">
        <v>42</v>
      </c>
      <c r="R1116" s="11">
        <v>45681</v>
      </c>
      <c r="S1116" s="1">
        <v>5</v>
      </c>
    </row>
    <row r="1117" spans="1:19" x14ac:dyDescent="0.25">
      <c r="A1117" s="1" t="s">
        <v>3576</v>
      </c>
      <c r="B1117" s="1">
        <v>2025</v>
      </c>
      <c r="C1117" s="2" t="s">
        <v>65</v>
      </c>
      <c r="D1117" s="1" t="s">
        <v>25</v>
      </c>
      <c r="E1117" s="1">
        <v>407428</v>
      </c>
      <c r="F1117" s="1" t="s">
        <v>27</v>
      </c>
      <c r="G1117" s="11">
        <v>45685</v>
      </c>
      <c r="H1117" s="11" t="s">
        <v>88</v>
      </c>
      <c r="I1117" s="2" t="s">
        <v>89</v>
      </c>
      <c r="J1117" s="2" t="s">
        <v>90</v>
      </c>
      <c r="K1117" s="12">
        <v>0.020833333332120674</v>
      </c>
      <c r="L1117" s="12">
        <v>0.04861111110949423</v>
      </c>
      <c r="M1117" s="13">
        <v>0.06944444444525288</v>
      </c>
      <c r="O1117" s="1" t="s">
        <v>32</v>
      </c>
      <c r="P1117" s="1" t="s">
        <v>41</v>
      </c>
      <c r="Q1117" s="1" t="s">
        <v>47</v>
      </c>
      <c r="R1117" s="11">
        <v>45685</v>
      </c>
      <c r="S1117" s="1">
        <v>5</v>
      </c>
    </row>
    <row r="1118" ht="60" customHeight="1" spans="1:19" x14ac:dyDescent="0.25">
      <c r="A1118" s="1" t="s">
        <v>3576</v>
      </c>
      <c r="B1118" s="1">
        <v>2025</v>
      </c>
      <c r="C1118" s="2" t="s">
        <v>91</v>
      </c>
      <c r="D1118" s="1" t="s">
        <v>25</v>
      </c>
      <c r="E1118" s="1">
        <v>407288</v>
      </c>
      <c r="F1118" s="1" t="s">
        <v>37</v>
      </c>
      <c r="G1118" s="11">
        <v>45685</v>
      </c>
      <c r="H1118" s="11" t="s">
        <v>28</v>
      </c>
      <c r="I1118" s="17" t="s">
        <v>3590</v>
      </c>
      <c r="J1118" s="17" t="s">
        <v>3591</v>
      </c>
      <c r="K1118" s="12">
        <v>0.020833333332120674</v>
      </c>
      <c r="L1118" s="12">
        <v>0.038194444445252884</v>
      </c>
      <c r="M1118" s="13">
        <v>0.05902777777737356</v>
      </c>
      <c r="O1118" s="1" t="s">
        <v>31</v>
      </c>
      <c r="P1118" s="1" t="s">
        <v>32</v>
      </c>
      <c r="Q1118" s="1" t="s">
        <v>47</v>
      </c>
      <c r="R1118" s="11">
        <v>45685</v>
      </c>
      <c r="S1118" s="1">
        <v>5</v>
      </c>
    </row>
    <row r="1119" ht="30" customHeight="1" spans="1:19" x14ac:dyDescent="0.25">
      <c r="A1119" s="1" t="s">
        <v>3576</v>
      </c>
      <c r="B1119" s="1">
        <v>2025</v>
      </c>
      <c r="C1119" s="2" t="s">
        <v>60</v>
      </c>
      <c r="D1119" s="1" t="s">
        <v>61</v>
      </c>
      <c r="E1119" s="1">
        <v>407580</v>
      </c>
      <c r="F1119" s="1" t="s">
        <v>37</v>
      </c>
      <c r="G1119" s="11">
        <v>45685</v>
      </c>
      <c r="H1119" s="11" t="s">
        <v>96</v>
      </c>
      <c r="I1119" s="2" t="s">
        <v>3592</v>
      </c>
      <c r="J1119" s="2" t="s">
        <v>3593</v>
      </c>
      <c r="K1119" s="12">
        <v>0.020833333332120674</v>
      </c>
      <c r="L1119" s="12">
        <v>0.03472222222262644</v>
      </c>
      <c r="M1119" s="13">
        <v>0.055555555554747116</v>
      </c>
      <c r="O1119" s="1" t="s">
        <v>31</v>
      </c>
      <c r="P1119" s="1" t="s">
        <v>32</v>
      </c>
      <c r="Q1119" s="1" t="s">
        <v>47</v>
      </c>
      <c r="R1119" s="11">
        <v>45685</v>
      </c>
      <c r="S1119" s="1">
        <v>5</v>
      </c>
    </row>
    <row r="1120" spans="1:19" x14ac:dyDescent="0.25">
      <c r="A1120" s="1" t="s">
        <v>3576</v>
      </c>
      <c r="B1120" s="1">
        <v>2025</v>
      </c>
      <c r="C1120" s="2" t="s">
        <v>99</v>
      </c>
      <c r="D1120" s="1" t="s">
        <v>25</v>
      </c>
      <c r="E1120" s="1">
        <v>407567</v>
      </c>
      <c r="F1120" s="1" t="s">
        <v>27</v>
      </c>
      <c r="G1120" s="11">
        <v>45685</v>
      </c>
      <c r="H1120" s="11" t="s">
        <v>88</v>
      </c>
      <c r="I1120" s="2" t="s">
        <v>101</v>
      </c>
      <c r="J1120" s="2" t="s">
        <v>102</v>
      </c>
      <c r="K1120" s="12">
        <v>0.020833333332120674</v>
      </c>
      <c r="L1120" s="12">
        <v>0.020833333332120674</v>
      </c>
      <c r="M1120" s="13">
        <v>0.041666666667879326</v>
      </c>
      <c r="O1120" s="1" t="s">
        <v>31</v>
      </c>
      <c r="P1120" s="1" t="s">
        <v>32</v>
      </c>
      <c r="Q1120" s="1" t="s">
        <v>47</v>
      </c>
      <c r="R1120" s="11">
        <v>45685</v>
      </c>
      <c r="S1120" s="1">
        <v>5</v>
      </c>
    </row>
    <row r="1121" spans="1:19" x14ac:dyDescent="0.25">
      <c r="A1121" s="1" t="s">
        <v>3576</v>
      </c>
      <c r="B1121" s="1">
        <v>2025</v>
      </c>
      <c r="C1121" s="2" t="s">
        <v>24</v>
      </c>
      <c r="D1121" s="1" t="s">
        <v>25</v>
      </c>
      <c r="E1121" s="1" t="s">
        <v>103</v>
      </c>
      <c r="F1121" s="1" t="s">
        <v>27</v>
      </c>
      <c r="G1121" s="11">
        <v>45685</v>
      </c>
      <c r="H1121" s="11" t="s">
        <v>88</v>
      </c>
      <c r="I1121" s="2" t="s">
        <v>104</v>
      </c>
      <c r="J1121" s="2" t="s">
        <v>104</v>
      </c>
      <c r="K1121" s="12">
        <v>0.020833333332120674</v>
      </c>
      <c r="L1121" s="12">
        <v>0.041666666667879326</v>
      </c>
      <c r="M1121" s="13">
        <v>0.0625</v>
      </c>
      <c r="O1121" s="1" t="s">
        <v>31</v>
      </c>
      <c r="P1121" s="1" t="s">
        <v>41</v>
      </c>
      <c r="Q1121" s="1" t="s">
        <v>47</v>
      </c>
      <c r="R1121" s="11">
        <v>45685</v>
      </c>
      <c r="S1121" s="1">
        <v>5</v>
      </c>
    </row>
    <row r="1122" ht="30" customHeight="1" spans="1:19" x14ac:dyDescent="0.25">
      <c r="A1122" s="1" t="s">
        <v>3594</v>
      </c>
      <c r="B1122" s="1">
        <v>2025</v>
      </c>
      <c r="C1122" s="2" t="s">
        <v>83</v>
      </c>
      <c r="D1122" s="1" t="s">
        <v>78</v>
      </c>
      <c r="E1122" s="1">
        <v>408027</v>
      </c>
      <c r="F1122" s="1" t="s">
        <v>27</v>
      </c>
      <c r="G1122" s="11">
        <v>45694</v>
      </c>
      <c r="H1122" s="11" t="s">
        <v>88</v>
      </c>
      <c r="I1122" s="2" t="s">
        <v>3595</v>
      </c>
      <c r="J1122" s="2" t="s">
        <v>3595</v>
      </c>
      <c r="K1122" s="12">
        <v>0.013888888890505768</v>
      </c>
      <c r="L1122" s="12">
        <v>0.020833333332120674</v>
      </c>
      <c r="M1122" s="13">
        <v>0.03472222222262644</v>
      </c>
      <c r="O1122" s="1" t="s">
        <v>31</v>
      </c>
      <c r="P1122" s="1" t="s">
        <v>32</v>
      </c>
      <c r="Q1122" s="1" t="s">
        <v>42</v>
      </c>
      <c r="R1122" s="11">
        <v>45694</v>
      </c>
      <c r="S1122" s="1">
        <v>5</v>
      </c>
    </row>
    <row r="1123" spans="1:19" x14ac:dyDescent="0.25">
      <c r="A1123" s="1" t="s">
        <v>3594</v>
      </c>
      <c r="B1123" s="1">
        <v>2025</v>
      </c>
      <c r="C1123" s="2" t="s">
        <v>108</v>
      </c>
      <c r="D1123" s="1" t="s">
        <v>78</v>
      </c>
      <c r="E1123" s="1">
        <v>408511</v>
      </c>
      <c r="F1123" s="1" t="s">
        <v>27</v>
      </c>
      <c r="G1123" s="11">
        <v>45694</v>
      </c>
      <c r="H1123" s="11" t="s">
        <v>88</v>
      </c>
      <c r="I1123" s="2" t="s">
        <v>110</v>
      </c>
      <c r="J1123" s="2" t="s">
        <v>111</v>
      </c>
      <c r="K1123" s="12">
        <v>0.020833333332120674</v>
      </c>
      <c r="L1123" s="12">
        <v>0.03472222222262644</v>
      </c>
      <c r="M1123" s="13">
        <v>0.055555555554747116</v>
      </c>
      <c r="O1123" s="1" t="s">
        <v>53</v>
      </c>
      <c r="P1123" s="1" t="s">
        <v>32</v>
      </c>
      <c r="Q1123" s="1" t="s">
        <v>112</v>
      </c>
      <c r="R1123" s="11">
        <v>45694</v>
      </c>
      <c r="S1123" s="1">
        <v>5</v>
      </c>
    </row>
    <row r="1124" ht="165" customHeight="1" spans="1:19" x14ac:dyDescent="0.25">
      <c r="A1124" s="1" t="s">
        <v>3594</v>
      </c>
      <c r="B1124" s="1">
        <v>2025</v>
      </c>
      <c r="C1124" s="2" t="s">
        <v>113</v>
      </c>
      <c r="D1124" s="1" t="s">
        <v>25</v>
      </c>
      <c r="E1124" s="1">
        <v>409578</v>
      </c>
      <c r="F1124" s="1" t="s">
        <v>37</v>
      </c>
      <c r="G1124" s="11">
        <v>45700</v>
      </c>
      <c r="H1124" s="11" t="s">
        <v>28</v>
      </c>
      <c r="I1124" s="2" t="s">
        <v>3596</v>
      </c>
      <c r="J1124" s="2" t="s">
        <v>3597</v>
      </c>
      <c r="K1124" s="12">
        <v>0.03125</v>
      </c>
      <c r="L1124" s="12">
        <v>0.06597222222262644</v>
      </c>
      <c r="M1124" s="13">
        <v>0.09722222222262644</v>
      </c>
      <c r="O1124" s="1" t="s">
        <v>31</v>
      </c>
      <c r="P1124" s="1" t="s">
        <v>41</v>
      </c>
      <c r="Q1124" s="1" t="s">
        <v>117</v>
      </c>
      <c r="R1124" s="11">
        <v>45700</v>
      </c>
      <c r="S1124" s="1">
        <v>5</v>
      </c>
    </row>
    <row r="1125" ht="105" customHeight="1" spans="1:19" x14ac:dyDescent="0.25">
      <c r="A1125" s="1" t="s">
        <v>3594</v>
      </c>
      <c r="B1125" s="1">
        <v>2025</v>
      </c>
      <c r="C1125" s="2" t="s">
        <v>118</v>
      </c>
      <c r="D1125" s="1" t="s">
        <v>25</v>
      </c>
      <c r="E1125" s="1">
        <v>407649</v>
      </c>
      <c r="F1125" s="1" t="s">
        <v>27</v>
      </c>
      <c r="G1125" s="11">
        <v>45701</v>
      </c>
      <c r="H1125" s="11" t="s">
        <v>88</v>
      </c>
      <c r="I1125" s="2" t="s">
        <v>3598</v>
      </c>
      <c r="J1125" s="2" t="s">
        <v>3599</v>
      </c>
      <c r="K1125" s="12">
        <v>0.041666666667879326</v>
      </c>
      <c r="L1125" s="12">
        <v>0.041666666667879326</v>
      </c>
      <c r="M1125" s="13">
        <v>0.08333333333212067</v>
      </c>
      <c r="O1125" s="1" t="s">
        <v>31</v>
      </c>
      <c r="P1125" s="1" t="s">
        <v>41</v>
      </c>
      <c r="Q1125" s="1" t="s">
        <v>47</v>
      </c>
      <c r="R1125" s="11">
        <v>45701</v>
      </c>
      <c r="S1125" s="1">
        <v>5</v>
      </c>
    </row>
    <row r="1126" ht="120" customHeight="1" spans="1:19" x14ac:dyDescent="0.25">
      <c r="A1126" s="1" t="s">
        <v>3594</v>
      </c>
      <c r="B1126" s="1">
        <v>2025</v>
      </c>
      <c r="C1126" s="2" t="s">
        <v>122</v>
      </c>
      <c r="D1126" s="1" t="s">
        <v>123</v>
      </c>
      <c r="E1126" s="1">
        <v>409854</v>
      </c>
      <c r="F1126" s="1" t="s">
        <v>27</v>
      </c>
      <c r="G1126" s="11">
        <v>45705</v>
      </c>
      <c r="H1126" s="11" t="s">
        <v>88</v>
      </c>
      <c r="I1126" s="2" t="s">
        <v>3600</v>
      </c>
      <c r="J1126" s="2" t="s">
        <v>3601</v>
      </c>
      <c r="K1126" s="12">
        <v>0.006944444445252884</v>
      </c>
      <c r="L1126" s="12">
        <v>0.03472222222262644</v>
      </c>
      <c r="M1126" s="13">
        <v>0.041666666667879326</v>
      </c>
      <c r="O1126" s="1" t="s">
        <v>31</v>
      </c>
      <c r="P1126" s="1" t="s">
        <v>32</v>
      </c>
      <c r="Q1126" s="1" t="s">
        <v>47</v>
      </c>
      <c r="R1126" s="11">
        <v>45705</v>
      </c>
      <c r="S1126" s="1">
        <v>5</v>
      </c>
    </row>
    <row r="1127" spans="1:19" x14ac:dyDescent="0.25">
      <c r="A1127" s="1" t="s">
        <v>3594</v>
      </c>
      <c r="B1127" s="1">
        <v>2025</v>
      </c>
      <c r="C1127" s="2" t="s">
        <v>108</v>
      </c>
      <c r="D1127" s="1" t="s">
        <v>78</v>
      </c>
      <c r="E1127" s="1">
        <v>408511</v>
      </c>
      <c r="F1127" s="1" t="s">
        <v>27</v>
      </c>
      <c r="G1127" s="11">
        <v>45694</v>
      </c>
      <c r="H1127" s="11" t="s">
        <v>88</v>
      </c>
      <c r="I1127" s="2" t="s">
        <v>3602</v>
      </c>
      <c r="J1127" s="2" t="s">
        <v>128</v>
      </c>
      <c r="K1127" s="12">
        <v>0.006944444445252884</v>
      </c>
      <c r="L1127" s="12">
        <v>0.0625</v>
      </c>
      <c r="M1127" s="13">
        <v>0.06944444444525288</v>
      </c>
      <c r="O1127" s="1" t="s">
        <v>31</v>
      </c>
      <c r="P1127" s="1" t="s">
        <v>41</v>
      </c>
      <c r="Q1127" s="1" t="s">
        <v>112</v>
      </c>
      <c r="R1127" s="11">
        <v>45705</v>
      </c>
      <c r="S1127" s="1">
        <v>5</v>
      </c>
    </row>
    <row r="1128" ht="30" customHeight="1" spans="1:19" x14ac:dyDescent="0.25">
      <c r="A1128" s="1" t="s">
        <v>3594</v>
      </c>
      <c r="B1128" s="1">
        <v>2025</v>
      </c>
      <c r="C1128" s="2" t="s">
        <v>43</v>
      </c>
      <c r="D1128" s="1" t="s">
        <v>44</v>
      </c>
      <c r="E1128" s="1">
        <v>409856</v>
      </c>
      <c r="F1128" s="1" t="s">
        <v>37</v>
      </c>
      <c r="G1128" s="11">
        <v>45707</v>
      </c>
      <c r="H1128" s="11" t="s">
        <v>88</v>
      </c>
      <c r="I1128" s="2" t="s">
        <v>130</v>
      </c>
      <c r="J1128" s="2" t="s">
        <v>131</v>
      </c>
      <c r="K1128" s="12">
        <v>0.013888888890505768</v>
      </c>
      <c r="L1128" s="12">
        <v>0.020833333332120674</v>
      </c>
      <c r="M1128" s="13">
        <v>0.03472222222262644</v>
      </c>
      <c r="O1128" s="1" t="s">
        <v>53</v>
      </c>
      <c r="P1128" s="1" t="s">
        <v>32</v>
      </c>
      <c r="Q1128" s="1" t="s">
        <v>47</v>
      </c>
      <c r="R1128" s="11">
        <v>45707</v>
      </c>
      <c r="S1128" s="1">
        <v>5</v>
      </c>
    </row>
    <row r="1129" ht="30" customHeight="1" spans="1:19" x14ac:dyDescent="0.25">
      <c r="A1129" s="1" t="s">
        <v>3594</v>
      </c>
      <c r="B1129" s="1">
        <v>2025</v>
      </c>
      <c r="C1129" s="2" t="s">
        <v>113</v>
      </c>
      <c r="D1129" s="1" t="s">
        <v>25</v>
      </c>
      <c r="E1129" s="1">
        <v>408523</v>
      </c>
      <c r="F1129" s="1" t="s">
        <v>27</v>
      </c>
      <c r="G1129" s="11">
        <v>45709</v>
      </c>
      <c r="H1129" s="11" t="s">
        <v>133</v>
      </c>
      <c r="I1129" s="2" t="s">
        <v>134</v>
      </c>
      <c r="J1129" s="2" t="s">
        <v>3603</v>
      </c>
      <c r="K1129" s="12">
        <v>0.013888888890505768</v>
      </c>
      <c r="L1129" s="12">
        <v>0.03472222222262644</v>
      </c>
      <c r="M1129" s="13">
        <v>0.04861111110949423</v>
      </c>
      <c r="O1129" s="1" t="s">
        <v>31</v>
      </c>
      <c r="P1129" s="1" t="s">
        <v>32</v>
      </c>
      <c r="Q1129" s="1" t="s">
        <v>47</v>
      </c>
      <c r="R1129" s="11">
        <v>45709</v>
      </c>
      <c r="S1129" s="1">
        <v>5</v>
      </c>
    </row>
    <row r="1130" ht="90" customHeight="1" spans="1:19" x14ac:dyDescent="0.25">
      <c r="A1130" s="1" t="s">
        <v>3594</v>
      </c>
      <c r="B1130" s="1">
        <v>2025</v>
      </c>
      <c r="C1130" s="2" t="s">
        <v>65</v>
      </c>
      <c r="D1130" s="1" t="s">
        <v>25</v>
      </c>
      <c r="E1130" s="1">
        <v>407283</v>
      </c>
      <c r="F1130" s="1" t="s">
        <v>27</v>
      </c>
      <c r="G1130" s="11">
        <v>45712</v>
      </c>
      <c r="H1130" s="11" t="s">
        <v>88</v>
      </c>
      <c r="I1130" s="2" t="s">
        <v>3604</v>
      </c>
      <c r="J1130" s="2" t="s">
        <v>3605</v>
      </c>
      <c r="K1130" s="12">
        <v>0.020833333332120674</v>
      </c>
      <c r="L1130" s="12">
        <v>0.03472222222262644</v>
      </c>
      <c r="M1130" s="13">
        <v>0.055555555554747116</v>
      </c>
      <c r="O1130" s="1" t="s">
        <v>53</v>
      </c>
      <c r="P1130" s="1" t="s">
        <v>32</v>
      </c>
      <c r="Q1130" s="1" t="s">
        <v>47</v>
      </c>
      <c r="R1130" s="11">
        <v>45712</v>
      </c>
      <c r="S1130" s="1">
        <v>5</v>
      </c>
    </row>
    <row r="1131" ht="60" customHeight="1" spans="1:19" x14ac:dyDescent="0.25">
      <c r="A1131" s="1" t="s">
        <v>3594</v>
      </c>
      <c r="B1131" s="1">
        <v>2025</v>
      </c>
      <c r="C1131" s="2" t="s">
        <v>60</v>
      </c>
      <c r="D1131" s="1" t="s">
        <v>61</v>
      </c>
      <c r="E1131" s="1">
        <v>410397</v>
      </c>
      <c r="F1131" s="1" t="s">
        <v>37</v>
      </c>
      <c r="G1131" s="11">
        <v>45712</v>
      </c>
      <c r="H1131" s="11" t="s">
        <v>88</v>
      </c>
      <c r="I1131" s="2" t="s">
        <v>3606</v>
      </c>
      <c r="J1131" s="2" t="s">
        <v>3607</v>
      </c>
      <c r="K1131" s="12">
        <v>0.020833333332120674</v>
      </c>
      <c r="L1131" s="12">
        <v>0.038194444445252884</v>
      </c>
      <c r="M1131" s="13">
        <v>0.05902777777737356</v>
      </c>
      <c r="O1131" s="1" t="s">
        <v>53</v>
      </c>
      <c r="P1131" s="1" t="s">
        <v>32</v>
      </c>
      <c r="Q1131" s="1" t="s">
        <v>47</v>
      </c>
      <c r="R1131" s="11">
        <v>45712</v>
      </c>
      <c r="S1131" s="1">
        <v>5</v>
      </c>
    </row>
    <row r="1132" spans="1:19" x14ac:dyDescent="0.25">
      <c r="A1132" s="1" t="s">
        <v>3594</v>
      </c>
      <c r="B1132" s="1">
        <v>2025</v>
      </c>
      <c r="C1132" s="2" t="s">
        <v>142</v>
      </c>
      <c r="D1132" s="1" t="s">
        <v>25</v>
      </c>
      <c r="E1132" s="1">
        <v>409726</v>
      </c>
      <c r="F1132" s="1" t="s">
        <v>37</v>
      </c>
      <c r="G1132" s="11">
        <v>45715</v>
      </c>
      <c r="H1132" s="11" t="s">
        <v>88</v>
      </c>
      <c r="I1132" s="2" t="s">
        <v>144</v>
      </c>
      <c r="J1132" s="2" t="s">
        <v>144</v>
      </c>
      <c r="K1132" s="12">
        <v>0.03472222222262644</v>
      </c>
      <c r="L1132" s="12">
        <v>0.055555555554747116</v>
      </c>
      <c r="M1132" s="13">
        <v>0.09027777777737356</v>
      </c>
      <c r="O1132" s="1" t="s">
        <v>31</v>
      </c>
      <c r="P1132" s="1" t="s">
        <v>32</v>
      </c>
      <c r="Q1132" s="1" t="s">
        <v>47</v>
      </c>
      <c r="R1132" s="11">
        <v>45715</v>
      </c>
      <c r="S1132" s="1">
        <v>5</v>
      </c>
    </row>
    <row r="1133" ht="45" customHeight="1" spans="1:19" x14ac:dyDescent="0.25">
      <c r="A1133" s="1" t="s">
        <v>3608</v>
      </c>
      <c r="B1133" s="1">
        <v>2025</v>
      </c>
      <c r="C1133" s="2" t="s">
        <v>146</v>
      </c>
      <c r="D1133" s="1" t="s">
        <v>147</v>
      </c>
      <c r="E1133" s="1">
        <v>411308</v>
      </c>
      <c r="F1133" s="1" t="s">
        <v>27</v>
      </c>
      <c r="G1133" s="11">
        <v>45719</v>
      </c>
      <c r="H1133" s="11" t="s">
        <v>88</v>
      </c>
      <c r="I1133" s="2" t="s">
        <v>3609</v>
      </c>
      <c r="J1133" s="2" t="s">
        <v>3610</v>
      </c>
      <c r="K1133" s="12">
        <v>0.03472222222262644</v>
      </c>
      <c r="L1133" s="12">
        <v>0.024305555554747116</v>
      </c>
      <c r="M1133" s="13">
        <v>0.05902777777737356</v>
      </c>
      <c r="O1133" s="1" t="s">
        <v>31</v>
      </c>
      <c r="Q1133" s="1" t="s">
        <v>112</v>
      </c>
      <c r="R1133" s="11">
        <v>45719</v>
      </c>
      <c r="S1133" s="1">
        <v>5</v>
      </c>
    </row>
    <row r="1134" ht="75" customHeight="1" spans="1:19" x14ac:dyDescent="0.25">
      <c r="A1134" s="1" t="s">
        <v>3608</v>
      </c>
      <c r="B1134" s="1">
        <v>2025</v>
      </c>
      <c r="C1134" s="2" t="s">
        <v>65</v>
      </c>
      <c r="D1134" s="1" t="s">
        <v>25</v>
      </c>
      <c r="E1134" s="1">
        <v>411390</v>
      </c>
      <c r="F1134" s="1" t="s">
        <v>37</v>
      </c>
      <c r="G1134" s="11">
        <v>45719</v>
      </c>
      <c r="H1134" s="11" t="s">
        <v>88</v>
      </c>
      <c r="I1134" s="2" t="s">
        <v>3611</v>
      </c>
      <c r="J1134" s="2" t="s">
        <v>3612</v>
      </c>
      <c r="K1134" s="12">
        <v>0.013888888890505768</v>
      </c>
      <c r="L1134" s="12">
        <v>0.020833333332120674</v>
      </c>
      <c r="M1134" s="13">
        <v>0.03472222222262644</v>
      </c>
      <c r="O1134" s="1" t="s">
        <v>31</v>
      </c>
      <c r="P1134" s="1" t="s">
        <v>32</v>
      </c>
      <c r="Q1134" s="1" t="s">
        <v>112</v>
      </c>
      <c r="R1134" s="11">
        <v>45719</v>
      </c>
      <c r="S1134" s="1">
        <v>5</v>
      </c>
    </row>
    <row r="1135" ht="45" customHeight="1" spans="1:19" x14ac:dyDescent="0.25">
      <c r="A1135" s="1" t="s">
        <v>3613</v>
      </c>
      <c r="B1135" s="1">
        <v>2025</v>
      </c>
      <c r="C1135" s="2" t="s">
        <v>35</v>
      </c>
      <c r="D1135" s="1" t="s">
        <v>25</v>
      </c>
      <c r="E1135" s="1">
        <v>410528</v>
      </c>
      <c r="F1135" s="1" t="s">
        <v>27</v>
      </c>
      <c r="G1135" s="11">
        <v>45726</v>
      </c>
      <c r="H1135" s="11" t="s">
        <v>3570</v>
      </c>
      <c r="I1135" s="2" t="s">
        <v>3614</v>
      </c>
      <c r="J1135" s="2" t="s">
        <v>156</v>
      </c>
      <c r="K1135" s="12">
        <v>0.03472222222262644</v>
      </c>
      <c r="L1135" s="12">
        <v>0.052083333332120674</v>
      </c>
      <c r="M1135" s="13">
        <v>0.08680555555474712</v>
      </c>
      <c r="O1135" s="1" t="s">
        <v>32</v>
      </c>
      <c r="P1135" s="1" t="s">
        <v>41</v>
      </c>
      <c r="Q1135" s="1" t="s">
        <v>42</v>
      </c>
      <c r="R1135" s="11">
        <v>45726</v>
      </c>
      <c r="S1135" s="1">
        <v>5</v>
      </c>
    </row>
    <row r="1136" ht="60" customHeight="1" spans="1:19" x14ac:dyDescent="0.25">
      <c r="A1136" s="1" t="s">
        <v>3613</v>
      </c>
      <c r="B1136" s="1">
        <v>2025</v>
      </c>
      <c r="C1136" s="2" t="s">
        <v>24</v>
      </c>
      <c r="D1136" s="1" t="s">
        <v>25</v>
      </c>
      <c r="E1136" s="1">
        <v>407592</v>
      </c>
      <c r="F1136" s="1" t="s">
        <v>27</v>
      </c>
      <c r="G1136" s="11">
        <v>45735</v>
      </c>
      <c r="H1136" s="11" t="s">
        <v>3570</v>
      </c>
      <c r="I1136" s="2" t="s">
        <v>3615</v>
      </c>
      <c r="J1136" s="2" t="s">
        <v>3616</v>
      </c>
      <c r="K1136" s="12">
        <v>0.020833333332120674</v>
      </c>
      <c r="L1136" s="12">
        <v>0.027777777777373558</v>
      </c>
      <c r="M1136" s="13">
        <v>0.04861111110949423</v>
      </c>
      <c r="O1136" s="1" t="s">
        <v>31</v>
      </c>
      <c r="P1136" s="1" t="s">
        <v>41</v>
      </c>
      <c r="Q1136" s="1" t="s">
        <v>112</v>
      </c>
      <c r="R1136" s="11">
        <v>45735</v>
      </c>
      <c r="S1136" s="1">
        <v>5</v>
      </c>
    </row>
    <row r="1137" ht="60" customHeight="1" spans="1:19" x14ac:dyDescent="0.25">
      <c r="A1137" s="1" t="s">
        <v>3613</v>
      </c>
      <c r="B1137" s="1">
        <v>2025</v>
      </c>
      <c r="C1137" s="2" t="s">
        <v>122</v>
      </c>
      <c r="D1137" s="1" t="s">
        <v>123</v>
      </c>
      <c r="E1137" s="1">
        <v>412581</v>
      </c>
      <c r="F1137" s="1" t="s">
        <v>37</v>
      </c>
      <c r="G1137" s="11">
        <v>45736</v>
      </c>
      <c r="H1137" s="11" t="s">
        <v>3570</v>
      </c>
      <c r="I1137" s="2" t="s">
        <v>3617</v>
      </c>
      <c r="J1137" s="2" t="s">
        <v>3618</v>
      </c>
      <c r="K1137" s="12">
        <v>0.041666666667879326</v>
      </c>
      <c r="L1137" s="12">
        <v>0.07291666666787933</v>
      </c>
      <c r="M1137" s="13">
        <v>0.11458333333212067</v>
      </c>
      <c r="O1137" s="1" t="s">
        <v>31</v>
      </c>
      <c r="P1137" s="1" t="s">
        <v>41</v>
      </c>
      <c r="Q1137" s="1" t="s">
        <v>47</v>
      </c>
      <c r="R1137" s="11">
        <v>45736</v>
      </c>
      <c r="S1137" s="1">
        <v>5</v>
      </c>
    </row>
    <row r="1138" ht="75" customHeight="1" spans="1:19" x14ac:dyDescent="0.25">
      <c r="A1138" s="1" t="s">
        <v>3613</v>
      </c>
      <c r="B1138" s="1">
        <v>2025</v>
      </c>
      <c r="C1138" s="2" t="s">
        <v>163</v>
      </c>
      <c r="D1138" s="1" t="s">
        <v>25</v>
      </c>
      <c r="E1138" s="1">
        <v>413183</v>
      </c>
      <c r="F1138" s="1" t="s">
        <v>27</v>
      </c>
      <c r="G1138" s="11">
        <v>45741</v>
      </c>
      <c r="H1138" s="11" t="s">
        <v>3570</v>
      </c>
      <c r="I1138" s="2" t="s">
        <v>3619</v>
      </c>
      <c r="J1138" s="2" t="s">
        <v>3620</v>
      </c>
      <c r="K1138" s="12">
        <v>0.03125</v>
      </c>
      <c r="L1138" s="12">
        <v>0.03472222222262644</v>
      </c>
      <c r="M1138" s="13">
        <v>0.06597222222262644</v>
      </c>
      <c r="O1138" s="1" t="s">
        <v>31</v>
      </c>
      <c r="P1138" s="1" t="s">
        <v>32</v>
      </c>
      <c r="Q1138" s="1" t="s">
        <v>47</v>
      </c>
      <c r="R1138" s="11">
        <v>45741</v>
      </c>
      <c r="S1138" s="1">
        <v>5</v>
      </c>
    </row>
    <row r="1139" spans="1:19" x14ac:dyDescent="0.25">
      <c r="A1139" s="1" t="s">
        <v>3613</v>
      </c>
      <c r="B1139" s="1">
        <v>2025</v>
      </c>
      <c r="C1139" s="2" t="s">
        <v>122</v>
      </c>
      <c r="D1139" s="1" t="s">
        <v>123</v>
      </c>
      <c r="E1139" s="1">
        <v>413857</v>
      </c>
      <c r="F1139" s="1" t="s">
        <v>37</v>
      </c>
      <c r="G1139" s="11">
        <v>45742</v>
      </c>
      <c r="H1139" s="11" t="s">
        <v>3570</v>
      </c>
      <c r="I1139" s="2" t="s">
        <v>168</v>
      </c>
      <c r="J1139" s="2" t="s">
        <v>3621</v>
      </c>
      <c r="K1139" s="12">
        <v>0.013888888890505768</v>
      </c>
      <c r="L1139" s="12">
        <v>0.020833333332120674</v>
      </c>
      <c r="M1139" s="13">
        <v>0.03472222222262644</v>
      </c>
      <c r="O1139" s="1" t="s">
        <v>31</v>
      </c>
      <c r="P1139" s="1" t="s">
        <v>32</v>
      </c>
      <c r="Q1139" s="1" t="s">
        <v>47</v>
      </c>
      <c r="R1139" s="11">
        <v>45742</v>
      </c>
      <c r="S1139" s="1">
        <v>5</v>
      </c>
    </row>
    <row r="1140" spans="1:19" x14ac:dyDescent="0.25">
      <c r="A1140" s="1" t="s">
        <v>3613</v>
      </c>
      <c r="B1140" s="1">
        <v>2025</v>
      </c>
      <c r="C1140" s="2" t="s">
        <v>170</v>
      </c>
      <c r="D1140" s="1" t="s">
        <v>25</v>
      </c>
      <c r="E1140" s="1">
        <v>402287</v>
      </c>
      <c r="F1140" s="1" t="s">
        <v>27</v>
      </c>
      <c r="G1140" s="11">
        <v>45742</v>
      </c>
      <c r="H1140" s="11" t="s">
        <v>74</v>
      </c>
      <c r="I1140" s="2" t="s">
        <v>172</v>
      </c>
      <c r="J1140" s="2" t="s">
        <v>3622</v>
      </c>
      <c r="K1140" s="12">
        <v>0.013888888890505768</v>
      </c>
      <c r="L1140" s="12">
        <v>0.020833333332120674</v>
      </c>
      <c r="M1140" s="13">
        <v>0.03472222222262644</v>
      </c>
      <c r="O1140" s="1" t="s">
        <v>31</v>
      </c>
      <c r="P1140" s="1" t="s">
        <v>32</v>
      </c>
      <c r="Q1140" s="1" t="s">
        <v>42</v>
      </c>
      <c r="R1140" s="11">
        <v>45742</v>
      </c>
      <c r="S1140" s="1">
        <v>5</v>
      </c>
    </row>
    <row r="1141" spans="1:19" x14ac:dyDescent="0.25">
      <c r="A1141" s="1" t="s">
        <v>3613</v>
      </c>
      <c r="B1141" s="1">
        <v>2025</v>
      </c>
      <c r="C1141" s="2" t="s">
        <v>170</v>
      </c>
      <c r="D1141" s="1" t="s">
        <v>25</v>
      </c>
      <c r="E1141" s="1">
        <v>413717</v>
      </c>
      <c r="F1141" s="1" t="s">
        <v>27</v>
      </c>
      <c r="G1141" s="11">
        <v>45743</v>
      </c>
      <c r="H1141" s="11" t="s">
        <v>3570</v>
      </c>
      <c r="I1141" s="2" t="s">
        <v>3623</v>
      </c>
      <c r="J1141" s="2" t="s">
        <v>3623</v>
      </c>
      <c r="K1141" s="12">
        <v>0.0625</v>
      </c>
      <c r="L1141" s="12">
        <v>0.055555555554747116</v>
      </c>
      <c r="M1141" s="13">
        <v>0.11805555555474712</v>
      </c>
      <c r="O1141" s="1" t="s">
        <v>31</v>
      </c>
      <c r="P1141" s="1" t="s">
        <v>32</v>
      </c>
      <c r="Q1141" s="1" t="s">
        <v>42</v>
      </c>
      <c r="R1141" s="11">
        <v>45743</v>
      </c>
      <c r="S1141" s="1">
        <v>5</v>
      </c>
    </row>
    <row r="1142" spans="1:19" x14ac:dyDescent="0.25">
      <c r="A1142" s="1" t="s">
        <v>3613</v>
      </c>
      <c r="B1142" s="1">
        <v>2025</v>
      </c>
      <c r="C1142" s="2" t="s">
        <v>170</v>
      </c>
      <c r="D1142" s="1" t="s">
        <v>25</v>
      </c>
      <c r="E1142" s="1">
        <v>402287</v>
      </c>
      <c r="F1142" s="1" t="s">
        <v>27</v>
      </c>
      <c r="G1142" s="11">
        <v>45747</v>
      </c>
      <c r="H1142" s="11" t="s">
        <v>74</v>
      </c>
      <c r="I1142" s="2" t="s">
        <v>176</v>
      </c>
      <c r="J1142" s="2" t="s">
        <v>177</v>
      </c>
      <c r="K1142" s="12">
        <v>0.013888888890505768</v>
      </c>
      <c r="L1142" s="12">
        <v>0.03472222222262644</v>
      </c>
      <c r="M1142" s="13">
        <v>0.04861111110949423</v>
      </c>
      <c r="O1142" s="1" t="s">
        <v>31</v>
      </c>
      <c r="P1142" s="1" t="s">
        <v>32</v>
      </c>
      <c r="Q1142" s="1" t="s">
        <v>42</v>
      </c>
      <c r="R1142" s="11">
        <v>45747</v>
      </c>
      <c r="S1142" s="1">
        <v>5</v>
      </c>
    </row>
    <row r="1143" spans="1:19" x14ac:dyDescent="0.25">
      <c r="A1143" s="1" t="s">
        <v>3624</v>
      </c>
      <c r="B1143" s="1">
        <v>2025</v>
      </c>
      <c r="C1143" s="2" t="s">
        <v>91</v>
      </c>
      <c r="D1143" s="1" t="s">
        <v>25</v>
      </c>
      <c r="E1143" s="1">
        <v>414117</v>
      </c>
      <c r="F1143" s="1" t="s">
        <v>37</v>
      </c>
      <c r="G1143" s="11">
        <v>45749</v>
      </c>
      <c r="H1143" s="11" t="s">
        <v>28</v>
      </c>
      <c r="I1143" s="2" t="s">
        <v>3625</v>
      </c>
      <c r="J1143" s="2" t="s">
        <v>181</v>
      </c>
      <c r="K1143" s="12">
        <v>0.020833333332120674</v>
      </c>
      <c r="L1143" s="12">
        <v>0.055555555554747116</v>
      </c>
      <c r="M1143" s="13">
        <v>0.07638888889050577</v>
      </c>
      <c r="O1143" s="1" t="s">
        <v>31</v>
      </c>
      <c r="P1143" s="1" t="s">
        <v>32</v>
      </c>
      <c r="Q1143" s="1" t="s">
        <v>47</v>
      </c>
      <c r="R1143" s="11">
        <v>45749</v>
      </c>
      <c r="S1143" s="1">
        <v>5</v>
      </c>
    </row>
    <row r="1144" ht="75" customHeight="1" spans="1:19" x14ac:dyDescent="0.25">
      <c r="A1144" s="1" t="s">
        <v>3624</v>
      </c>
      <c r="B1144" s="1">
        <v>2025</v>
      </c>
      <c r="C1144" s="2" t="s">
        <v>113</v>
      </c>
      <c r="D1144" s="1" t="s">
        <v>25</v>
      </c>
      <c r="E1144" s="1">
        <v>414300</v>
      </c>
      <c r="F1144" s="1" t="s">
        <v>37</v>
      </c>
      <c r="G1144" s="11">
        <v>45749</v>
      </c>
      <c r="H1144" s="11" t="s">
        <v>28</v>
      </c>
      <c r="I1144" s="2" t="s">
        <v>3626</v>
      </c>
      <c r="J1144" s="2" t="s">
        <v>3627</v>
      </c>
      <c r="K1144" s="12">
        <v>0.03125</v>
      </c>
      <c r="L1144" s="12">
        <v>0.038194444445252884</v>
      </c>
      <c r="M1144" s="13">
        <v>0.06944444444525288</v>
      </c>
      <c r="O1144" s="1" t="s">
        <v>31</v>
      </c>
      <c r="P1144" s="1" t="s">
        <v>32</v>
      </c>
      <c r="Q1144" s="1" t="s">
        <v>47</v>
      </c>
      <c r="R1144" s="11">
        <v>45749</v>
      </c>
      <c r="S1144" s="1">
        <v>5</v>
      </c>
    </row>
    <row r="1145" ht="45" customHeight="1" spans="1:19" x14ac:dyDescent="0.25">
      <c r="A1145" s="1" t="s">
        <v>3624</v>
      </c>
      <c r="B1145" s="1">
        <v>2025</v>
      </c>
      <c r="C1145" s="2" t="s">
        <v>185</v>
      </c>
      <c r="D1145" s="1" t="s">
        <v>186</v>
      </c>
      <c r="E1145" s="1">
        <v>414293</v>
      </c>
      <c r="F1145" s="1" t="s">
        <v>27</v>
      </c>
      <c r="G1145" s="11">
        <v>45750</v>
      </c>
      <c r="H1145" s="11" t="s">
        <v>74</v>
      </c>
      <c r="I1145" s="2" t="s">
        <v>3628</v>
      </c>
      <c r="J1145" s="2" t="s">
        <v>3629</v>
      </c>
      <c r="K1145" s="12">
        <v>0.020833333332120674</v>
      </c>
      <c r="L1145" s="12">
        <v>0.03472222222262644</v>
      </c>
      <c r="M1145" s="13">
        <v>0.055555555554747116</v>
      </c>
      <c r="O1145" s="1" t="s">
        <v>31</v>
      </c>
      <c r="P1145" s="1" t="s">
        <v>32</v>
      </c>
      <c r="Q1145" s="1" t="s">
        <v>47</v>
      </c>
      <c r="R1145" s="11">
        <v>45750</v>
      </c>
      <c r="S1145" s="1">
        <v>5</v>
      </c>
    </row>
    <row r="1146" spans="1:19" x14ac:dyDescent="0.25">
      <c r="A1146" s="1" t="s">
        <v>3624</v>
      </c>
      <c r="B1146" s="1">
        <v>2025</v>
      </c>
      <c r="C1146" s="2" t="s">
        <v>65</v>
      </c>
      <c r="D1146" s="1" t="s">
        <v>25</v>
      </c>
      <c r="E1146" s="1">
        <v>414679</v>
      </c>
      <c r="F1146" s="1" t="s">
        <v>27</v>
      </c>
      <c r="G1146" s="11">
        <v>45754</v>
      </c>
      <c r="H1146" s="11" t="s">
        <v>28</v>
      </c>
      <c r="I1146" s="2" t="s">
        <v>3630</v>
      </c>
      <c r="J1146" s="2" t="s">
        <v>192</v>
      </c>
      <c r="K1146" s="12">
        <v>0.020833333332120674</v>
      </c>
      <c r="L1146" s="12">
        <v>0.027777777777373558</v>
      </c>
      <c r="M1146" s="13">
        <v>0.04861111110949423</v>
      </c>
      <c r="O1146" s="1" t="s">
        <v>53</v>
      </c>
      <c r="P1146" s="1" t="s">
        <v>32</v>
      </c>
      <c r="Q1146" s="1" t="s">
        <v>47</v>
      </c>
      <c r="R1146" s="11">
        <v>45754</v>
      </c>
      <c r="S1146" s="1">
        <v>5</v>
      </c>
    </row>
    <row r="1147" ht="90" customHeight="1" spans="1:19" x14ac:dyDescent="0.25">
      <c r="A1147" s="1" t="s">
        <v>3624</v>
      </c>
      <c r="B1147" s="1">
        <v>2025</v>
      </c>
      <c r="C1147" s="2" t="s">
        <v>108</v>
      </c>
      <c r="D1147" s="1" t="s">
        <v>78</v>
      </c>
      <c r="E1147" s="1">
        <v>415110</v>
      </c>
      <c r="F1147" s="1" t="s">
        <v>37</v>
      </c>
      <c r="G1147" s="11">
        <v>45756</v>
      </c>
      <c r="H1147" s="11" t="s">
        <v>28</v>
      </c>
      <c r="I1147" s="2" t="s">
        <v>194</v>
      </c>
      <c r="J1147" s="2" t="s">
        <v>3631</v>
      </c>
      <c r="K1147" s="12">
        <v>0.020833333332120674</v>
      </c>
      <c r="L1147" s="12">
        <v>0.03472222222262644</v>
      </c>
      <c r="M1147" s="13">
        <v>0.055555555554747116</v>
      </c>
      <c r="O1147" s="1" t="s">
        <v>53</v>
      </c>
      <c r="P1147" s="1" t="s">
        <v>32</v>
      </c>
      <c r="Q1147" s="1" t="s">
        <v>42</v>
      </c>
      <c r="R1147" s="11">
        <v>45756</v>
      </c>
      <c r="S1147" s="1">
        <v>5</v>
      </c>
    </row>
    <row r="1148" ht="135" customHeight="1" spans="1:19" x14ac:dyDescent="0.25">
      <c r="A1148" s="1" t="s">
        <v>3624</v>
      </c>
      <c r="B1148" s="1">
        <v>2025</v>
      </c>
      <c r="C1148" s="2" t="s">
        <v>60</v>
      </c>
      <c r="D1148" s="1" t="s">
        <v>61</v>
      </c>
      <c r="E1148" s="1">
        <v>414696</v>
      </c>
      <c r="F1148" s="1" t="s">
        <v>37</v>
      </c>
      <c r="G1148" s="11">
        <v>45757</v>
      </c>
      <c r="H1148" s="11" t="s">
        <v>3570</v>
      </c>
      <c r="I1148" s="2" t="s">
        <v>3632</v>
      </c>
      <c r="J1148" s="2" t="s">
        <v>3633</v>
      </c>
      <c r="K1148" s="12">
        <v>0.020833333332120674</v>
      </c>
      <c r="L1148" s="12">
        <v>0.027777777777373558</v>
      </c>
      <c r="M1148" s="13">
        <v>0.04861111110949423</v>
      </c>
      <c r="O1148" s="1" t="s">
        <v>53</v>
      </c>
      <c r="P1148" s="1" t="s">
        <v>32</v>
      </c>
      <c r="Q1148" s="1" t="s">
        <v>47</v>
      </c>
      <c r="R1148" s="11">
        <v>45757</v>
      </c>
      <c r="S1148" s="1">
        <v>5</v>
      </c>
    </row>
    <row r="1149" ht="150" customHeight="1" spans="1:19" x14ac:dyDescent="0.25">
      <c r="A1149" s="1" t="s">
        <v>3624</v>
      </c>
      <c r="B1149" s="1">
        <v>2025</v>
      </c>
      <c r="C1149" s="2" t="s">
        <v>199</v>
      </c>
      <c r="D1149" s="1" t="s">
        <v>200</v>
      </c>
      <c r="E1149" s="1">
        <v>415107</v>
      </c>
      <c r="F1149" s="1" t="s">
        <v>37</v>
      </c>
      <c r="G1149" s="11">
        <v>45757</v>
      </c>
      <c r="H1149" s="11" t="s">
        <v>3570</v>
      </c>
      <c r="I1149" s="2" t="s">
        <v>3634</v>
      </c>
      <c r="J1149" s="2" t="s">
        <v>3635</v>
      </c>
      <c r="K1149" s="12">
        <v>0.020833333332120674</v>
      </c>
      <c r="L1149" s="12">
        <v>0.027777777777373558</v>
      </c>
      <c r="M1149" s="13">
        <v>0.04861111110949423</v>
      </c>
      <c r="O1149" s="1" t="s">
        <v>53</v>
      </c>
      <c r="P1149" s="1" t="s">
        <v>32</v>
      </c>
      <c r="Q1149" s="1" t="s">
        <v>42</v>
      </c>
      <c r="R1149" s="11">
        <v>45757</v>
      </c>
      <c r="S1149" s="1">
        <v>4</v>
      </c>
    </row>
    <row r="1150" ht="45" customHeight="1" spans="1:19" x14ac:dyDescent="0.25">
      <c r="A1150" s="1" t="s">
        <v>3624</v>
      </c>
      <c r="B1150" s="1">
        <v>2025</v>
      </c>
      <c r="C1150" s="2" t="s">
        <v>113</v>
      </c>
      <c r="D1150" s="1" t="s">
        <v>25</v>
      </c>
      <c r="E1150" s="1">
        <v>410320</v>
      </c>
      <c r="F1150" s="1" t="s">
        <v>37</v>
      </c>
      <c r="G1150" s="11">
        <v>45758</v>
      </c>
      <c r="H1150" s="11" t="s">
        <v>28</v>
      </c>
      <c r="I1150" s="2" t="s">
        <v>205</v>
      </c>
      <c r="J1150" s="2" t="s">
        <v>206</v>
      </c>
      <c r="K1150" s="12">
        <v>0.013888888890505768</v>
      </c>
      <c r="L1150" s="12">
        <v>0.010416666667879326</v>
      </c>
      <c r="M1150" s="13">
        <v>0.024305555554747116</v>
      </c>
      <c r="O1150" s="1" t="s">
        <v>53</v>
      </c>
      <c r="P1150" s="1" t="s">
        <v>32</v>
      </c>
      <c r="Q1150" s="1" t="s">
        <v>47</v>
      </c>
      <c r="R1150" s="11">
        <v>45758</v>
      </c>
      <c r="S1150" s="1">
        <v>4</v>
      </c>
    </row>
    <row r="1151" ht="90" customHeight="1" spans="1:19" x14ac:dyDescent="0.25">
      <c r="A1151" s="1" t="s">
        <v>3624</v>
      </c>
      <c r="B1151" s="1">
        <v>2025</v>
      </c>
      <c r="C1151" s="2" t="s">
        <v>108</v>
      </c>
      <c r="D1151" s="1" t="s">
        <v>78</v>
      </c>
      <c r="E1151" s="1">
        <v>415887</v>
      </c>
      <c r="F1151" s="1" t="s">
        <v>37</v>
      </c>
      <c r="G1151" s="11">
        <v>45764</v>
      </c>
      <c r="H1151" s="11" t="s">
        <v>28</v>
      </c>
      <c r="I1151" s="2" t="s">
        <v>3636</v>
      </c>
      <c r="J1151" s="2" t="s">
        <v>209</v>
      </c>
      <c r="K1151" s="12">
        <v>0.013888888890505768</v>
      </c>
      <c r="L1151" s="12">
        <v>0.0625</v>
      </c>
      <c r="M1151" s="13">
        <v>0.07638888889050577</v>
      </c>
      <c r="O1151" s="1" t="s">
        <v>31</v>
      </c>
      <c r="P1151" s="1" t="s">
        <v>210</v>
      </c>
      <c r="Q1151" s="1" t="s">
        <v>42</v>
      </c>
      <c r="R1151" s="11">
        <v>45764</v>
      </c>
      <c r="S1151" s="1">
        <v>4</v>
      </c>
    </row>
    <row r="1152" spans="1:19" x14ac:dyDescent="0.25">
      <c r="A1152" s="1" t="s">
        <v>3624</v>
      </c>
      <c r="B1152" s="1">
        <v>2025</v>
      </c>
      <c r="C1152" s="2" t="s">
        <v>199</v>
      </c>
      <c r="D1152" s="1" t="s">
        <v>200</v>
      </c>
      <c r="E1152" s="1">
        <v>415973</v>
      </c>
      <c r="F1152" s="1" t="s">
        <v>37</v>
      </c>
      <c r="G1152" s="11">
        <v>45764</v>
      </c>
      <c r="H1152" s="11" t="s">
        <v>28</v>
      </c>
      <c r="I1152" s="2" t="s">
        <v>3637</v>
      </c>
      <c r="J1152" s="2" t="s">
        <v>3638</v>
      </c>
      <c r="K1152" s="12">
        <v>0.013888888890505768</v>
      </c>
      <c r="L1152" s="12">
        <v>0.041666666667879326</v>
      </c>
      <c r="M1152" s="13">
        <v>0.055555555554747116</v>
      </c>
      <c r="O1152" s="1" t="s">
        <v>31</v>
      </c>
      <c r="P1152" s="1" t="s">
        <v>210</v>
      </c>
      <c r="Q1152" s="1" t="s">
        <v>42</v>
      </c>
      <c r="R1152" s="11">
        <v>45764</v>
      </c>
      <c r="S1152" s="1">
        <v>4</v>
      </c>
    </row>
    <row r="1153" ht="30" customHeight="1" spans="1:19" x14ac:dyDescent="0.25">
      <c r="A1153" s="1" t="s">
        <v>3624</v>
      </c>
      <c r="B1153" s="1">
        <v>2025</v>
      </c>
      <c r="C1153" s="2" t="s">
        <v>199</v>
      </c>
      <c r="D1153" s="1" t="s">
        <v>200</v>
      </c>
      <c r="E1153" s="1">
        <v>415973</v>
      </c>
      <c r="F1153" s="1" t="s">
        <v>37</v>
      </c>
      <c r="G1153" s="11">
        <v>45768</v>
      </c>
      <c r="H1153" s="11" t="s">
        <v>3570</v>
      </c>
      <c r="I1153" s="2" t="s">
        <v>214</v>
      </c>
      <c r="J1153" s="2" t="s">
        <v>3639</v>
      </c>
      <c r="K1153" s="12">
        <v>0.013888888890505768</v>
      </c>
      <c r="L1153" s="12"/>
      <c r="M1153" s="13">
        <v>0.013888888890505768</v>
      </c>
      <c r="O1153" s="1" t="s">
        <v>31</v>
      </c>
      <c r="Q1153" s="1" t="s">
        <v>42</v>
      </c>
      <c r="R1153" s="11">
        <v>45768</v>
      </c>
      <c r="S1153" s="1">
        <v>4</v>
      </c>
    </row>
    <row r="1154" ht="105" customHeight="1" spans="1:19" x14ac:dyDescent="0.25">
      <c r="A1154" s="1" t="s">
        <v>3624</v>
      </c>
      <c r="B1154" s="1">
        <v>2025</v>
      </c>
      <c r="C1154" s="2" t="s">
        <v>122</v>
      </c>
      <c r="D1154" s="1" t="s">
        <v>123</v>
      </c>
      <c r="E1154" s="1">
        <v>415841</v>
      </c>
      <c r="F1154" s="1" t="s">
        <v>27</v>
      </c>
      <c r="G1154" s="11">
        <v>45770</v>
      </c>
      <c r="H1154" s="11" t="s">
        <v>3570</v>
      </c>
      <c r="I1154" s="2" t="s">
        <v>3640</v>
      </c>
      <c r="J1154" s="2" t="s">
        <v>3641</v>
      </c>
      <c r="K1154" s="12">
        <v>0.03125</v>
      </c>
      <c r="L1154" s="12">
        <v>0.020833333332120674</v>
      </c>
      <c r="M1154" s="13">
        <v>0.052083333332120674</v>
      </c>
      <c r="O1154" s="1" t="s">
        <v>31</v>
      </c>
      <c r="P1154" s="1" t="s">
        <v>32</v>
      </c>
      <c r="Q1154" s="1" t="s">
        <v>47</v>
      </c>
      <c r="R1154" s="11">
        <v>45770</v>
      </c>
      <c r="S1154" s="1">
        <v>5</v>
      </c>
    </row>
    <row r="1155" ht="60" customHeight="1" spans="1:19" x14ac:dyDescent="0.25">
      <c r="A1155" s="1" t="s">
        <v>3624</v>
      </c>
      <c r="B1155" s="1">
        <v>2025</v>
      </c>
      <c r="C1155" s="2" t="s">
        <v>219</v>
      </c>
      <c r="D1155" s="1" t="s">
        <v>147</v>
      </c>
      <c r="E1155" s="1">
        <v>416778</v>
      </c>
      <c r="F1155" s="1" t="s">
        <v>27</v>
      </c>
      <c r="G1155" s="11">
        <v>45771</v>
      </c>
      <c r="H1155" s="11" t="s">
        <v>3570</v>
      </c>
      <c r="I1155" s="2" t="s">
        <v>3642</v>
      </c>
      <c r="J1155" s="2" t="s">
        <v>3643</v>
      </c>
      <c r="K1155" s="12">
        <v>0.01736111110949423</v>
      </c>
      <c r="L1155" s="12">
        <v>0.020833333332120674</v>
      </c>
      <c r="M1155" s="13">
        <v>0.038194444445252884</v>
      </c>
      <c r="O1155" s="1" t="s">
        <v>32</v>
      </c>
      <c r="P1155" s="1" t="s">
        <v>210</v>
      </c>
      <c r="Q1155" s="1" t="s">
        <v>47</v>
      </c>
      <c r="R1155" s="11">
        <v>45771</v>
      </c>
      <c r="S1155" s="1">
        <v>5</v>
      </c>
    </row>
    <row r="1156" ht="180" customHeight="1" spans="1:18" x14ac:dyDescent="0.25">
      <c r="A1156" s="1" t="s">
        <v>3624</v>
      </c>
      <c r="B1156" s="1">
        <v>2025</v>
      </c>
      <c r="C1156" s="2" t="s">
        <v>223</v>
      </c>
      <c r="D1156" s="1" t="s">
        <v>147</v>
      </c>
      <c r="E1156" s="1">
        <v>415272</v>
      </c>
      <c r="F1156" s="1" t="s">
        <v>27</v>
      </c>
      <c r="G1156" s="11">
        <v>45777</v>
      </c>
      <c r="H1156" s="11" t="s">
        <v>3570</v>
      </c>
      <c r="I1156" s="2" t="s">
        <v>3644</v>
      </c>
      <c r="J1156" s="18" t="s">
        <v>3645</v>
      </c>
      <c r="K1156" s="12">
        <v>0.041666666667879326</v>
      </c>
      <c r="L1156" s="12">
        <v>0.03472222222262644</v>
      </c>
      <c r="M1156" s="13">
        <v>0.07638888889050577</v>
      </c>
      <c r="O1156" s="1" t="s">
        <v>31</v>
      </c>
      <c r="P1156" s="1" t="s">
        <v>32</v>
      </c>
      <c r="Q1156" s="1" t="s">
        <v>42</v>
      </c>
      <c r="R1156" s="11">
        <v>45777</v>
      </c>
    </row>
    <row r="1157" ht="90" customHeight="1" spans="1:19" x14ac:dyDescent="0.25">
      <c r="A1157" s="1" t="s">
        <v>3646</v>
      </c>
      <c r="B1157" s="1">
        <v>2025</v>
      </c>
      <c r="C1157" s="2" t="s">
        <v>228</v>
      </c>
      <c r="D1157" s="1" t="s">
        <v>229</v>
      </c>
      <c r="E1157" s="1">
        <v>417825</v>
      </c>
      <c r="F1157" s="1" t="s">
        <v>27</v>
      </c>
      <c r="G1157" s="11">
        <v>45782</v>
      </c>
      <c r="H1157" s="11" t="s">
        <v>3570</v>
      </c>
      <c r="I1157" s="2" t="s">
        <v>3647</v>
      </c>
      <c r="J1157" s="2" t="s">
        <v>3648</v>
      </c>
      <c r="K1157" s="12">
        <v>0.020833333332120674</v>
      </c>
      <c r="L1157" s="12">
        <v>0.03472222222262644</v>
      </c>
      <c r="M1157" s="13">
        <v>0.055555555554747116</v>
      </c>
      <c r="O1157" s="1" t="s">
        <v>53</v>
      </c>
      <c r="P1157" s="1" t="s">
        <v>32</v>
      </c>
      <c r="Q1157" s="1" t="s">
        <v>42</v>
      </c>
      <c r="R1157" s="11">
        <v>45782</v>
      </c>
      <c r="S1157" s="1">
        <v>5</v>
      </c>
    </row>
    <row r="1158" ht="75" customHeight="1" spans="1:19" x14ac:dyDescent="0.25">
      <c r="A1158" s="1" t="s">
        <v>3646</v>
      </c>
      <c r="B1158" s="1">
        <v>2025</v>
      </c>
      <c r="C1158" s="2" t="s">
        <v>142</v>
      </c>
      <c r="D1158" s="1" t="s">
        <v>25</v>
      </c>
      <c r="E1158" s="1">
        <v>415271</v>
      </c>
      <c r="F1158" s="1" t="s">
        <v>27</v>
      </c>
      <c r="G1158" s="11">
        <v>45789</v>
      </c>
      <c r="H1158" s="11" t="s">
        <v>3570</v>
      </c>
      <c r="I1158" s="2" t="s">
        <v>3649</v>
      </c>
      <c r="J1158" s="2" t="s">
        <v>3650</v>
      </c>
      <c r="K1158" s="12">
        <v>0.020833333332120674</v>
      </c>
      <c r="L1158" s="12">
        <v>0.055555555554747116</v>
      </c>
      <c r="M1158" s="13">
        <v>0.07638888889050577</v>
      </c>
      <c r="O1158" s="1" t="s">
        <v>53</v>
      </c>
      <c r="P1158" s="1" t="s">
        <v>32</v>
      </c>
      <c r="Q1158" s="1" t="s">
        <v>47</v>
      </c>
      <c r="R1158" s="11">
        <v>45789</v>
      </c>
      <c r="S1158" s="1">
        <v>4</v>
      </c>
    </row>
    <row r="1159" ht="210" customHeight="1" spans="1:19" x14ac:dyDescent="0.25">
      <c r="A1159" s="1" t="s">
        <v>3646</v>
      </c>
      <c r="B1159" s="1">
        <v>2025</v>
      </c>
      <c r="C1159" s="2" t="s">
        <v>43</v>
      </c>
      <c r="D1159" s="1" t="s">
        <v>236</v>
      </c>
      <c r="E1159" s="1">
        <v>418141</v>
      </c>
      <c r="F1159" s="1" t="s">
        <v>37</v>
      </c>
      <c r="G1159" s="11">
        <v>45790</v>
      </c>
      <c r="H1159" s="11" t="s">
        <v>3570</v>
      </c>
      <c r="I1159" s="2" t="s">
        <v>3651</v>
      </c>
      <c r="J1159" s="2" t="s">
        <v>3652</v>
      </c>
      <c r="K1159" s="12">
        <v>0.041666666667879326</v>
      </c>
      <c r="L1159" s="12">
        <v>0.09722222222262644</v>
      </c>
      <c r="M1159" s="13">
        <v>0.13888888889050577</v>
      </c>
      <c r="O1159" s="1" t="s">
        <v>31</v>
      </c>
      <c r="P1159" s="1" t="s">
        <v>240</v>
      </c>
      <c r="Q1159" s="1" t="s">
        <v>47</v>
      </c>
      <c r="R1159" s="11">
        <v>45791</v>
      </c>
      <c r="S1159" s="1">
        <v>5</v>
      </c>
    </row>
    <row r="1160" ht="75" customHeight="1" spans="1:19" x14ac:dyDescent="0.25">
      <c r="A1160" s="1" t="s">
        <v>3646</v>
      </c>
      <c r="B1160" s="1">
        <v>2025</v>
      </c>
      <c r="C1160" s="2" t="s">
        <v>24</v>
      </c>
      <c r="D1160" s="1" t="s">
        <v>25</v>
      </c>
      <c r="E1160" s="1">
        <v>420317</v>
      </c>
      <c r="F1160" s="1" t="s">
        <v>27</v>
      </c>
      <c r="G1160" s="11">
        <v>45798</v>
      </c>
      <c r="H1160" s="11" t="s">
        <v>28</v>
      </c>
      <c r="I1160" s="2" t="s">
        <v>3653</v>
      </c>
      <c r="J1160" s="2" t="s">
        <v>3654</v>
      </c>
      <c r="K1160" s="12">
        <v>0.08333333333212067</v>
      </c>
      <c r="L1160" s="12">
        <v>0.03472222222262644</v>
      </c>
      <c r="M1160" s="13">
        <v>0.11805555555474712</v>
      </c>
      <c r="O1160" s="1" t="s">
        <v>240</v>
      </c>
      <c r="P1160" s="1" t="s">
        <v>210</v>
      </c>
      <c r="Q1160" s="1" t="s">
        <v>244</v>
      </c>
      <c r="R1160" s="11">
        <v>45798</v>
      </c>
      <c r="S1160" s="1">
        <v>5</v>
      </c>
    </row>
    <row r="1161" ht="150" customHeight="1" spans="1:19" x14ac:dyDescent="0.25">
      <c r="A1161" s="1" t="s">
        <v>3646</v>
      </c>
      <c r="B1161" s="1">
        <v>2025</v>
      </c>
      <c r="C1161" s="2" t="s">
        <v>113</v>
      </c>
      <c r="D1161" s="1" t="s">
        <v>25</v>
      </c>
      <c r="E1161" s="1">
        <v>410320</v>
      </c>
      <c r="F1161" s="1" t="s">
        <v>37</v>
      </c>
      <c r="G1161" s="11">
        <v>45799</v>
      </c>
      <c r="H1161" s="11" t="s">
        <v>28</v>
      </c>
      <c r="I1161" s="2" t="s">
        <v>3655</v>
      </c>
      <c r="J1161" s="17" t="s">
        <v>3656</v>
      </c>
      <c r="K1161" s="12">
        <v>0.041666666667879326</v>
      </c>
      <c r="L1161" s="12">
        <v>0.055555555554747116</v>
      </c>
      <c r="M1161" s="13">
        <v>0.09722222222262644</v>
      </c>
      <c r="O1161" s="1" t="s">
        <v>31</v>
      </c>
      <c r="P1161" s="1" t="s">
        <v>32</v>
      </c>
      <c r="Q1161" s="1" t="s">
        <v>117</v>
      </c>
      <c r="R1161" s="11">
        <v>45799</v>
      </c>
      <c r="S1161" s="1">
        <v>5</v>
      </c>
    </row>
    <row r="1162" ht="75" customHeight="1" spans="1:19" x14ac:dyDescent="0.25">
      <c r="A1162" s="1" t="s">
        <v>3646</v>
      </c>
      <c r="B1162" s="1">
        <v>2025</v>
      </c>
      <c r="C1162" s="2" t="s">
        <v>247</v>
      </c>
      <c r="D1162" s="1" t="s">
        <v>25</v>
      </c>
      <c r="E1162" s="1">
        <v>416332</v>
      </c>
      <c r="F1162" s="1" t="s">
        <v>37</v>
      </c>
      <c r="G1162" s="11">
        <v>45800</v>
      </c>
      <c r="H1162" s="11" t="s">
        <v>74</v>
      </c>
      <c r="I1162" s="2" t="s">
        <v>3657</v>
      </c>
      <c r="J1162" s="2" t="s">
        <v>3658</v>
      </c>
      <c r="K1162" s="12">
        <v>0.041666666667879326</v>
      </c>
      <c r="L1162" s="12">
        <v>0.04861111110949423</v>
      </c>
      <c r="M1162" s="13">
        <v>0.09027777777737356</v>
      </c>
      <c r="O1162" s="1" t="s">
        <v>31</v>
      </c>
      <c r="P1162" s="1" t="s">
        <v>240</v>
      </c>
      <c r="Q1162" s="1" t="s">
        <v>47</v>
      </c>
      <c r="R1162" s="11">
        <v>45800</v>
      </c>
      <c r="S1162" s="1">
        <v>4</v>
      </c>
    </row>
    <row r="1163" spans="1:19" x14ac:dyDescent="0.25">
      <c r="A1163" s="1" t="s">
        <v>3646</v>
      </c>
      <c r="B1163" s="1">
        <v>2025</v>
      </c>
      <c r="C1163" s="2" t="s">
        <v>108</v>
      </c>
      <c r="D1163" s="1" t="s">
        <v>78</v>
      </c>
      <c r="E1163" s="1">
        <v>415130</v>
      </c>
      <c r="F1163" s="1" t="s">
        <v>37</v>
      </c>
      <c r="G1163" s="11">
        <v>45800</v>
      </c>
      <c r="H1163" s="11" t="s">
        <v>3570</v>
      </c>
      <c r="I1163" s="2" t="s">
        <v>252</v>
      </c>
      <c r="J1163" s="2" t="s">
        <v>253</v>
      </c>
      <c r="K1163" s="12">
        <v>0.020833333332120674</v>
      </c>
      <c r="L1163" s="12">
        <v>0.041666666667879326</v>
      </c>
      <c r="M1163" s="13">
        <v>0.0625</v>
      </c>
      <c r="O1163" s="1" t="s">
        <v>53</v>
      </c>
      <c r="P1163" s="1" t="s">
        <v>240</v>
      </c>
      <c r="Q1163" s="1" t="s">
        <v>42</v>
      </c>
      <c r="R1163" s="11">
        <v>45800</v>
      </c>
      <c r="S1163" s="1">
        <v>5</v>
      </c>
    </row>
    <row r="1164" spans="1:19" x14ac:dyDescent="0.25">
      <c r="A1164" s="1" t="s">
        <v>3646</v>
      </c>
      <c r="B1164" s="1">
        <v>2025</v>
      </c>
      <c r="C1164" s="2" t="s">
        <v>199</v>
      </c>
      <c r="D1164" s="1" t="s">
        <v>200</v>
      </c>
      <c r="E1164" s="1">
        <v>420868</v>
      </c>
      <c r="F1164" s="1" t="s">
        <v>27</v>
      </c>
      <c r="G1164" s="11">
        <v>45800</v>
      </c>
      <c r="H1164" s="11" t="s">
        <v>255</v>
      </c>
      <c r="I1164" s="2" t="s">
        <v>256</v>
      </c>
      <c r="J1164" s="2" t="s">
        <v>257</v>
      </c>
      <c r="K1164" s="12">
        <v>0.020833333332120674</v>
      </c>
      <c r="L1164" s="12">
        <v>0.006944444445252884</v>
      </c>
      <c r="M1164" s="13">
        <v>0.027777777777373558</v>
      </c>
      <c r="O1164" s="1" t="s">
        <v>53</v>
      </c>
      <c r="P1164" s="1" t="s">
        <v>32</v>
      </c>
      <c r="Q1164" s="1" t="s">
        <v>42</v>
      </c>
      <c r="R1164" s="11">
        <v>45800</v>
      </c>
      <c r="S1164" s="1">
        <v>5</v>
      </c>
    </row>
    <row r="1165" spans="1:19" x14ac:dyDescent="0.25">
      <c r="A1165" s="1" t="s">
        <v>3646</v>
      </c>
      <c r="B1165" s="1">
        <v>2025</v>
      </c>
      <c r="C1165" s="2" t="s">
        <v>258</v>
      </c>
      <c r="D1165" s="1" t="s">
        <v>25</v>
      </c>
      <c r="E1165" s="1">
        <v>420868</v>
      </c>
      <c r="F1165" s="1" t="s">
        <v>27</v>
      </c>
      <c r="G1165" s="11">
        <v>45800</v>
      </c>
      <c r="H1165" s="11" t="s">
        <v>255</v>
      </c>
      <c r="I1165" s="2" t="s">
        <v>256</v>
      </c>
      <c r="J1165" s="2" t="s">
        <v>257</v>
      </c>
      <c r="K1165" s="12">
        <v>0.020833333332120674</v>
      </c>
      <c r="L1165" s="12">
        <v>0.006944444445252884</v>
      </c>
      <c r="M1165" s="13">
        <v>0.027777777777373558</v>
      </c>
      <c r="O1165" s="1" t="s">
        <v>53</v>
      </c>
      <c r="P1165" s="1" t="s">
        <v>32</v>
      </c>
      <c r="Q1165" s="1" t="s">
        <v>42</v>
      </c>
      <c r="R1165" s="11">
        <v>45800</v>
      </c>
      <c r="S1165" s="1">
        <v>5</v>
      </c>
    </row>
    <row r="1166" spans="1:19" x14ac:dyDescent="0.25">
      <c r="A1166" s="1" t="s">
        <v>3646</v>
      </c>
      <c r="B1166" s="1">
        <v>2025</v>
      </c>
      <c r="C1166" s="2" t="s">
        <v>259</v>
      </c>
      <c r="D1166" s="1" t="s">
        <v>25</v>
      </c>
      <c r="E1166" s="1">
        <v>420868</v>
      </c>
      <c r="F1166" s="1" t="s">
        <v>27</v>
      </c>
      <c r="G1166" s="11">
        <v>45800</v>
      </c>
      <c r="H1166" s="11" t="s">
        <v>255</v>
      </c>
      <c r="I1166" s="2" t="s">
        <v>256</v>
      </c>
      <c r="J1166" s="2" t="s">
        <v>257</v>
      </c>
      <c r="K1166" s="12">
        <v>0.020833333332120674</v>
      </c>
      <c r="L1166" s="12">
        <v>0.006944444445252884</v>
      </c>
      <c r="M1166" s="13">
        <v>0.027777777777373558</v>
      </c>
      <c r="O1166" s="1" t="s">
        <v>53</v>
      </c>
      <c r="P1166" s="1" t="s">
        <v>32</v>
      </c>
      <c r="Q1166" s="1" t="s">
        <v>42</v>
      </c>
      <c r="R1166" s="11">
        <v>45800</v>
      </c>
      <c r="S1166" s="1">
        <v>5</v>
      </c>
    </row>
    <row r="1167" spans="1:19" x14ac:dyDescent="0.25">
      <c r="A1167" s="1" t="s">
        <v>3646</v>
      </c>
      <c r="B1167" s="1">
        <v>2025</v>
      </c>
      <c r="C1167" s="2" t="s">
        <v>260</v>
      </c>
      <c r="D1167" s="1" t="s">
        <v>261</v>
      </c>
      <c r="E1167" s="1">
        <v>420868</v>
      </c>
      <c r="F1167" s="1" t="s">
        <v>27</v>
      </c>
      <c r="G1167" s="11">
        <v>45800</v>
      </c>
      <c r="H1167" s="11" t="s">
        <v>255</v>
      </c>
      <c r="I1167" s="2" t="s">
        <v>256</v>
      </c>
      <c r="J1167" s="2" t="s">
        <v>257</v>
      </c>
      <c r="K1167" s="12">
        <v>0.020833333332120674</v>
      </c>
      <c r="L1167" s="12">
        <v>0.006944444445252884</v>
      </c>
      <c r="M1167" s="13">
        <v>0.027777777777373558</v>
      </c>
      <c r="O1167" s="1" t="s">
        <v>53</v>
      </c>
      <c r="P1167" s="1" t="s">
        <v>32</v>
      </c>
      <c r="Q1167" s="1" t="s">
        <v>42</v>
      </c>
      <c r="R1167" s="11">
        <v>45800</v>
      </c>
      <c r="S1167" s="1">
        <v>5</v>
      </c>
    </row>
    <row r="1168" ht="30" customHeight="1" spans="1:19" x14ac:dyDescent="0.25">
      <c r="A1168" s="1" t="s">
        <v>3646</v>
      </c>
      <c r="B1168" s="1">
        <v>2025</v>
      </c>
      <c r="C1168" s="2" t="s">
        <v>262</v>
      </c>
      <c r="D1168" s="1" t="s">
        <v>25</v>
      </c>
      <c r="E1168" s="1">
        <v>420868</v>
      </c>
      <c r="F1168" s="1" t="s">
        <v>27</v>
      </c>
      <c r="G1168" s="11">
        <v>45800</v>
      </c>
      <c r="H1168" s="11" t="s">
        <v>255</v>
      </c>
      <c r="I1168" s="2" t="s">
        <v>256</v>
      </c>
      <c r="J1168" s="2" t="s">
        <v>257</v>
      </c>
      <c r="K1168" s="12">
        <v>0.020833333332120674</v>
      </c>
      <c r="L1168" s="12">
        <v>0.006944444445252884</v>
      </c>
      <c r="M1168" s="13">
        <v>0.027777777777373558</v>
      </c>
      <c r="O1168" s="1" t="s">
        <v>53</v>
      </c>
      <c r="P1168" s="1" t="s">
        <v>32</v>
      </c>
      <c r="Q1168" s="1" t="s">
        <v>42</v>
      </c>
      <c r="R1168" s="11">
        <v>45800</v>
      </c>
      <c r="S1168" s="1">
        <v>5</v>
      </c>
    </row>
    <row r="1169" spans="1:19" x14ac:dyDescent="0.25">
      <c r="A1169" s="1" t="s">
        <v>3646</v>
      </c>
      <c r="B1169" s="1">
        <v>2025</v>
      </c>
      <c r="C1169" s="2" t="s">
        <v>77</v>
      </c>
      <c r="D1169" s="1" t="s">
        <v>78</v>
      </c>
      <c r="E1169" s="1">
        <v>420868</v>
      </c>
      <c r="F1169" s="1" t="s">
        <v>27</v>
      </c>
      <c r="G1169" s="11">
        <v>45800</v>
      </c>
      <c r="H1169" s="11" t="s">
        <v>255</v>
      </c>
      <c r="I1169" s="2" t="s">
        <v>256</v>
      </c>
      <c r="J1169" s="2" t="s">
        <v>257</v>
      </c>
      <c r="K1169" s="12">
        <v>0.020833333332120674</v>
      </c>
      <c r="L1169" s="12">
        <v>0.006944444445252884</v>
      </c>
      <c r="M1169" s="13">
        <v>0.027777777777373558</v>
      </c>
      <c r="O1169" s="1" t="s">
        <v>53</v>
      </c>
      <c r="P1169" s="1" t="s">
        <v>32</v>
      </c>
      <c r="Q1169" s="1" t="s">
        <v>42</v>
      </c>
      <c r="R1169" s="11">
        <v>45800</v>
      </c>
      <c r="S1169" s="1">
        <v>5</v>
      </c>
    </row>
    <row r="1170" ht="30" customHeight="1" spans="1:19" x14ac:dyDescent="0.25">
      <c r="A1170" s="1" t="s">
        <v>3646</v>
      </c>
      <c r="B1170" s="1">
        <v>2025</v>
      </c>
      <c r="C1170" s="2" t="s">
        <v>263</v>
      </c>
      <c r="D1170" s="1" t="s">
        <v>229</v>
      </c>
      <c r="E1170" s="1">
        <v>420868</v>
      </c>
      <c r="F1170" s="1" t="s">
        <v>27</v>
      </c>
      <c r="G1170" s="11">
        <v>45800</v>
      </c>
      <c r="H1170" s="11" t="s">
        <v>255</v>
      </c>
      <c r="I1170" s="2" t="s">
        <v>256</v>
      </c>
      <c r="J1170" s="2" t="s">
        <v>257</v>
      </c>
      <c r="K1170" s="12">
        <v>0.020833333332120674</v>
      </c>
      <c r="L1170" s="12">
        <v>0.006944444445252884</v>
      </c>
      <c r="M1170" s="13">
        <v>0.027777777777373558</v>
      </c>
      <c r="O1170" s="1" t="s">
        <v>53</v>
      </c>
      <c r="P1170" s="1" t="s">
        <v>32</v>
      </c>
      <c r="Q1170" s="1" t="s">
        <v>42</v>
      </c>
      <c r="R1170" s="11">
        <v>45800</v>
      </c>
      <c r="S1170" s="1">
        <v>5</v>
      </c>
    </row>
    <row r="1171" ht="60" customHeight="1" spans="1:19" x14ac:dyDescent="0.25">
      <c r="A1171" s="1" t="s">
        <v>3646</v>
      </c>
      <c r="B1171" s="1">
        <v>2025</v>
      </c>
      <c r="C1171" s="2" t="s">
        <v>163</v>
      </c>
      <c r="D1171" s="1" t="s">
        <v>25</v>
      </c>
      <c r="E1171" s="1">
        <v>420648</v>
      </c>
      <c r="F1171" s="1" t="s">
        <v>37</v>
      </c>
      <c r="G1171" s="11">
        <v>45805</v>
      </c>
      <c r="H1171" s="11" t="s">
        <v>255</v>
      </c>
      <c r="I1171" s="2" t="s">
        <v>3659</v>
      </c>
      <c r="J1171" s="2" t="s">
        <v>3660</v>
      </c>
      <c r="K1171" s="12">
        <v>0.020833333332120674</v>
      </c>
      <c r="L1171" s="12">
        <v>0.055555555554747116</v>
      </c>
      <c r="M1171" s="13">
        <v>0.07638888889050577</v>
      </c>
      <c r="O1171" s="1" t="s">
        <v>31</v>
      </c>
      <c r="P1171" s="1" t="s">
        <v>32</v>
      </c>
      <c r="Q1171" s="1" t="s">
        <v>47</v>
      </c>
      <c r="R1171" s="11">
        <v>45805</v>
      </c>
      <c r="S1171" s="1">
        <v>4</v>
      </c>
    </row>
    <row r="1172" ht="120" customHeight="1" spans="1:19" x14ac:dyDescent="0.25">
      <c r="A1172" s="1" t="s">
        <v>3646</v>
      </c>
      <c r="B1172" s="1">
        <v>2025</v>
      </c>
      <c r="C1172" s="2" t="s">
        <v>65</v>
      </c>
      <c r="D1172" s="1" t="s">
        <v>25</v>
      </c>
      <c r="E1172" s="1">
        <v>421556</v>
      </c>
      <c r="F1172" s="1" t="s">
        <v>27</v>
      </c>
      <c r="G1172" s="11">
        <v>45805</v>
      </c>
      <c r="H1172" s="11" t="s">
        <v>28</v>
      </c>
      <c r="I1172" s="2" t="s">
        <v>3661</v>
      </c>
      <c r="J1172" s="2" t="s">
        <v>3662</v>
      </c>
      <c r="K1172" s="12">
        <v>0.03125</v>
      </c>
      <c r="L1172" s="12">
        <v>0.041666666667879326</v>
      </c>
      <c r="M1172" s="13">
        <v>0.07291666666787933</v>
      </c>
      <c r="O1172" s="1" t="s">
        <v>240</v>
      </c>
      <c r="P1172" s="1" t="s">
        <v>32</v>
      </c>
      <c r="Q1172" s="1" t="s">
        <v>47</v>
      </c>
      <c r="R1172" s="11">
        <v>45805</v>
      </c>
      <c r="S1172" s="1">
        <v>5</v>
      </c>
    </row>
    <row r="1173" spans="1:19" x14ac:dyDescent="0.25">
      <c r="A1173" s="1" t="s">
        <v>3663</v>
      </c>
      <c r="B1173" s="1">
        <v>2025</v>
      </c>
      <c r="C1173" s="2" t="s">
        <v>108</v>
      </c>
      <c r="D1173" s="1" t="s">
        <v>78</v>
      </c>
      <c r="E1173" s="1">
        <v>422345</v>
      </c>
      <c r="F1173" s="1" t="s">
        <v>27</v>
      </c>
      <c r="G1173" s="11">
        <v>45813</v>
      </c>
      <c r="H1173" s="11" t="s">
        <v>3570</v>
      </c>
      <c r="I1173" s="2" t="s">
        <v>3664</v>
      </c>
      <c r="J1173" s="2" t="s">
        <v>273</v>
      </c>
      <c r="K1173" s="12">
        <v>0.041666666667879326</v>
      </c>
      <c r="L1173" s="12">
        <v>0.03958333333503106</v>
      </c>
      <c r="M1173" s="13">
        <v>0.0812499999992724</v>
      </c>
      <c r="O1173" s="1" t="s">
        <v>31</v>
      </c>
      <c r="P1173" s="1" t="s">
        <v>240</v>
      </c>
      <c r="Q1173" s="1" t="s">
        <v>42</v>
      </c>
      <c r="R1173" s="11">
        <v>45813</v>
      </c>
      <c r="S1173" s="1">
        <v>5</v>
      </c>
    </row>
    <row r="1174" ht="165" customHeight="1" spans="1:19" x14ac:dyDescent="0.25">
      <c r="A1174" s="1" t="s">
        <v>3663</v>
      </c>
      <c r="B1174" s="1">
        <v>2025</v>
      </c>
      <c r="C1174" s="2" t="s">
        <v>77</v>
      </c>
      <c r="D1174" s="1" t="s">
        <v>78</v>
      </c>
      <c r="E1174" s="1">
        <v>421855</v>
      </c>
      <c r="F1174" s="1" t="s">
        <v>37</v>
      </c>
      <c r="G1174" s="11">
        <v>45817</v>
      </c>
      <c r="H1174" s="11" t="s">
        <v>3570</v>
      </c>
      <c r="I1174" s="2" t="s">
        <v>3665</v>
      </c>
      <c r="J1174" s="2" t="s">
        <v>3666</v>
      </c>
      <c r="K1174" s="12">
        <v>0.024305555554747116</v>
      </c>
      <c r="L1174" s="12">
        <v>0.055555555554747116</v>
      </c>
      <c r="M1174" s="13">
        <v>0.07986111110949423</v>
      </c>
      <c r="O1174" s="1" t="s">
        <v>31</v>
      </c>
      <c r="P1174" s="1" t="s">
        <v>240</v>
      </c>
      <c r="Q1174" s="1" t="s">
        <v>42</v>
      </c>
      <c r="R1174" s="11">
        <v>45817</v>
      </c>
      <c r="S1174" s="1">
        <v>5</v>
      </c>
    </row>
    <row r="1175" spans="1:19" x14ac:dyDescent="0.25">
      <c r="A1175" s="1" t="s">
        <v>3663</v>
      </c>
      <c r="B1175" s="1">
        <v>2025</v>
      </c>
      <c r="C1175" s="2" t="s">
        <v>219</v>
      </c>
      <c r="D1175" s="1" t="s">
        <v>147</v>
      </c>
      <c r="E1175" s="1">
        <v>419069</v>
      </c>
      <c r="F1175" s="1" t="s">
        <v>27</v>
      </c>
      <c r="G1175" s="11">
        <v>45819</v>
      </c>
      <c r="H1175" s="11" t="s">
        <v>3570</v>
      </c>
      <c r="I1175" s="19" t="s">
        <v>278</v>
      </c>
      <c r="J1175" s="2" t="s">
        <v>3667</v>
      </c>
      <c r="K1175" s="12">
        <v>0.006944444445252884</v>
      </c>
      <c r="L1175" s="12">
        <v>0.013888888890505768</v>
      </c>
      <c r="M1175" s="13">
        <v>0.020833333332120674</v>
      </c>
      <c r="O1175" s="1" t="s">
        <v>240</v>
      </c>
      <c r="P1175" s="1" t="s">
        <v>32</v>
      </c>
      <c r="Q1175" s="1" t="s">
        <v>47</v>
      </c>
      <c r="R1175" s="11">
        <v>45819</v>
      </c>
      <c r="S1175" s="1">
        <v>5</v>
      </c>
    </row>
    <row r="1176" spans="1:19" x14ac:dyDescent="0.25">
      <c r="A1176" s="1" t="s">
        <v>3663</v>
      </c>
      <c r="B1176" s="1">
        <v>2025</v>
      </c>
      <c r="C1176" s="2" t="s">
        <v>99</v>
      </c>
      <c r="D1176" s="20" t="s">
        <v>25</v>
      </c>
      <c r="E1176" s="1">
        <v>419069</v>
      </c>
      <c r="F1176" s="1" t="s">
        <v>27</v>
      </c>
      <c r="G1176" s="11">
        <v>45819</v>
      </c>
      <c r="H1176" s="11" t="s">
        <v>3570</v>
      </c>
      <c r="I1176" s="19" t="s">
        <v>278</v>
      </c>
      <c r="J1176" s="2" t="s">
        <v>3667</v>
      </c>
      <c r="K1176" s="12">
        <v>0.006944444445252884</v>
      </c>
      <c r="L1176" s="12">
        <v>0.013888888890505768</v>
      </c>
      <c r="M1176" s="13">
        <v>0.020833333332120674</v>
      </c>
      <c r="O1176" s="1" t="s">
        <v>240</v>
      </c>
      <c r="P1176" s="1" t="s">
        <v>32</v>
      </c>
      <c r="Q1176" s="1" t="s">
        <v>47</v>
      </c>
      <c r="R1176" s="11">
        <v>45819</v>
      </c>
      <c r="S1176" s="1">
        <v>5</v>
      </c>
    </row>
    <row r="1177" spans="1:21" x14ac:dyDescent="0.25">
      <c r="A1177" s="21" t="s">
        <v>3663</v>
      </c>
      <c r="B1177" s="1">
        <v>2025</v>
      </c>
      <c r="C1177" s="22" t="s">
        <v>199</v>
      </c>
      <c r="D1177" s="23" t="s">
        <v>200</v>
      </c>
      <c r="E1177" s="23">
        <v>419069</v>
      </c>
      <c r="F1177" s="23" t="s">
        <v>27</v>
      </c>
      <c r="G1177" s="24">
        <v>45819</v>
      </c>
      <c r="H1177" s="24" t="s">
        <v>3570</v>
      </c>
      <c r="I1177" s="22" t="s">
        <v>278</v>
      </c>
      <c r="J1177" s="22" t="s">
        <v>3667</v>
      </c>
      <c r="K1177" s="12">
        <v>0.006944444445252884</v>
      </c>
      <c r="L1177" s="12">
        <v>0.013888888890505768</v>
      </c>
      <c r="M1177" s="13">
        <v>0.020833333332120674</v>
      </c>
      <c r="N1177" s="23"/>
      <c r="O1177" s="23" t="s">
        <v>240</v>
      </c>
      <c r="P1177" s="1" t="s">
        <v>32</v>
      </c>
      <c r="Q1177" s="23" t="s">
        <v>280</v>
      </c>
      <c r="R1177" s="24">
        <v>45819</v>
      </c>
      <c r="S1177" s="1">
        <v>5</v>
      </c>
      <c r="T1177" s="23"/>
      <c r="U1177" s="25"/>
    </row>
    <row r="1178" spans="1:21" x14ac:dyDescent="0.25">
      <c r="A1178" s="26" t="s">
        <v>3663</v>
      </c>
      <c r="B1178" s="1">
        <v>2025</v>
      </c>
      <c r="C1178" s="27" t="s">
        <v>258</v>
      </c>
      <c r="D1178" s="28" t="s">
        <v>25</v>
      </c>
      <c r="E1178" s="28">
        <v>419069</v>
      </c>
      <c r="F1178" s="28" t="s">
        <v>27</v>
      </c>
      <c r="G1178" s="29">
        <v>45819</v>
      </c>
      <c r="H1178" s="29" t="s">
        <v>3570</v>
      </c>
      <c r="I1178" s="27" t="s">
        <v>278</v>
      </c>
      <c r="J1178" s="27" t="s">
        <v>3667</v>
      </c>
      <c r="K1178" s="12">
        <v>0.006944444445252884</v>
      </c>
      <c r="L1178" s="12">
        <v>0.013888888890505768</v>
      </c>
      <c r="M1178" s="13">
        <v>0.020833333332120674</v>
      </c>
      <c r="N1178" s="28"/>
      <c r="O1178" s="28" t="s">
        <v>240</v>
      </c>
      <c r="P1178" s="1" t="s">
        <v>32</v>
      </c>
      <c r="Q1178" s="28" t="s">
        <v>280</v>
      </c>
      <c r="R1178" s="29">
        <v>45819</v>
      </c>
      <c r="S1178" s="1">
        <v>5</v>
      </c>
      <c r="T1178" s="28"/>
      <c r="U1178" s="30"/>
    </row>
    <row r="1179" spans="1:21" x14ac:dyDescent="0.25">
      <c r="A1179" s="21" t="s">
        <v>3663</v>
      </c>
      <c r="B1179" s="1">
        <v>2025</v>
      </c>
      <c r="C1179" s="22" t="s">
        <v>91</v>
      </c>
      <c r="D1179" s="23" t="s">
        <v>25</v>
      </c>
      <c r="E1179" s="23">
        <v>419069</v>
      </c>
      <c r="F1179" s="23" t="s">
        <v>27</v>
      </c>
      <c r="G1179" s="24">
        <v>45819</v>
      </c>
      <c r="H1179" s="24" t="s">
        <v>3570</v>
      </c>
      <c r="I1179" s="22" t="s">
        <v>278</v>
      </c>
      <c r="J1179" s="22" t="s">
        <v>3667</v>
      </c>
      <c r="K1179" s="12">
        <v>0.006944444445252884</v>
      </c>
      <c r="L1179" s="12">
        <v>0.013888888890505768</v>
      </c>
      <c r="M1179" s="13">
        <v>0.020833333332120674</v>
      </c>
      <c r="N1179" s="23"/>
      <c r="O1179" s="23" t="s">
        <v>240</v>
      </c>
      <c r="P1179" s="1" t="s">
        <v>32</v>
      </c>
      <c r="Q1179" s="23" t="s">
        <v>47</v>
      </c>
      <c r="R1179" s="24">
        <v>45819</v>
      </c>
      <c r="S1179" s="1">
        <v>5</v>
      </c>
      <c r="T1179" s="23"/>
      <c r="U1179" s="25"/>
    </row>
    <row r="1180" spans="1:21" x14ac:dyDescent="0.25">
      <c r="A1180" s="26" t="s">
        <v>3663</v>
      </c>
      <c r="B1180" s="1">
        <v>2025</v>
      </c>
      <c r="C1180" s="27" t="s">
        <v>122</v>
      </c>
      <c r="D1180" s="28" t="s">
        <v>123</v>
      </c>
      <c r="E1180" s="28">
        <v>419069</v>
      </c>
      <c r="F1180" s="28" t="s">
        <v>27</v>
      </c>
      <c r="G1180" s="29">
        <v>45819</v>
      </c>
      <c r="H1180" s="29" t="s">
        <v>3570</v>
      </c>
      <c r="I1180" s="27" t="s">
        <v>278</v>
      </c>
      <c r="J1180" s="27" t="s">
        <v>3667</v>
      </c>
      <c r="K1180" s="12">
        <v>0.006944444445252884</v>
      </c>
      <c r="L1180" s="12">
        <v>0.013888888890505768</v>
      </c>
      <c r="M1180" s="13">
        <v>0.020833333332120674</v>
      </c>
      <c r="N1180" s="28"/>
      <c r="O1180" s="28" t="s">
        <v>240</v>
      </c>
      <c r="P1180" s="1" t="s">
        <v>32</v>
      </c>
      <c r="Q1180" s="28" t="s">
        <v>47</v>
      </c>
      <c r="R1180" s="29">
        <v>45819</v>
      </c>
      <c r="S1180" s="1">
        <v>5</v>
      </c>
      <c r="T1180" s="28"/>
      <c r="U1180" s="30"/>
    </row>
    <row r="1181" spans="1:21" x14ac:dyDescent="0.25">
      <c r="A1181" s="21" t="s">
        <v>3663</v>
      </c>
      <c r="B1181" s="1">
        <v>2025</v>
      </c>
      <c r="C1181" s="22" t="s">
        <v>170</v>
      </c>
      <c r="D1181" s="23" t="s">
        <v>25</v>
      </c>
      <c r="E1181" s="23">
        <v>419069</v>
      </c>
      <c r="F1181" s="23" t="s">
        <v>27</v>
      </c>
      <c r="G1181" s="24">
        <v>45819</v>
      </c>
      <c r="H1181" s="24" t="s">
        <v>3570</v>
      </c>
      <c r="I1181" s="22" t="s">
        <v>278</v>
      </c>
      <c r="J1181" s="22" t="s">
        <v>3667</v>
      </c>
      <c r="K1181" s="12">
        <v>0.006944444445252884</v>
      </c>
      <c r="L1181" s="12">
        <v>0.013888888890505768</v>
      </c>
      <c r="M1181" s="13">
        <v>0.020833333332120674</v>
      </c>
      <c r="N1181" s="23"/>
      <c r="O1181" s="23" t="s">
        <v>240</v>
      </c>
      <c r="P1181" s="1" t="s">
        <v>32</v>
      </c>
      <c r="Q1181" s="23" t="s">
        <v>280</v>
      </c>
      <c r="R1181" s="24">
        <v>45819</v>
      </c>
      <c r="S1181" s="1">
        <v>5</v>
      </c>
      <c r="T1181" s="23"/>
      <c r="U1181" s="25"/>
    </row>
    <row r="1182" spans="1:21" x14ac:dyDescent="0.25">
      <c r="A1182" s="26" t="s">
        <v>3663</v>
      </c>
      <c r="B1182" s="1">
        <v>2025</v>
      </c>
      <c r="C1182" s="27" t="s">
        <v>43</v>
      </c>
      <c r="D1182" s="28" t="s">
        <v>236</v>
      </c>
      <c r="E1182" s="28">
        <v>419069</v>
      </c>
      <c r="F1182" s="28" t="s">
        <v>27</v>
      </c>
      <c r="G1182" s="29">
        <v>45819</v>
      </c>
      <c r="H1182" s="29" t="s">
        <v>3570</v>
      </c>
      <c r="I1182" s="27" t="s">
        <v>278</v>
      </c>
      <c r="J1182" s="27" t="s">
        <v>3667</v>
      </c>
      <c r="K1182" s="12">
        <v>0.006944444445252884</v>
      </c>
      <c r="L1182" s="12">
        <v>0.013888888890505768</v>
      </c>
      <c r="M1182" s="13">
        <v>0.020833333332120674</v>
      </c>
      <c r="N1182" s="28"/>
      <c r="O1182" s="28" t="s">
        <v>240</v>
      </c>
      <c r="P1182" s="1" t="s">
        <v>32</v>
      </c>
      <c r="Q1182" s="28" t="s">
        <v>47</v>
      </c>
      <c r="R1182" s="29">
        <v>45819</v>
      </c>
      <c r="S1182" s="1">
        <v>5</v>
      </c>
      <c r="T1182" s="28"/>
      <c r="U1182" s="30"/>
    </row>
    <row r="1183" spans="1:21" x14ac:dyDescent="0.25">
      <c r="A1183" s="21" t="s">
        <v>3663</v>
      </c>
      <c r="B1183" s="1">
        <v>2025</v>
      </c>
      <c r="C1183" s="2" t="s">
        <v>260</v>
      </c>
      <c r="D1183" s="23" t="s">
        <v>261</v>
      </c>
      <c r="E1183" s="23">
        <v>419069</v>
      </c>
      <c r="F1183" s="23" t="s">
        <v>27</v>
      </c>
      <c r="G1183" s="24">
        <v>45819</v>
      </c>
      <c r="H1183" s="24" t="s">
        <v>3570</v>
      </c>
      <c r="I1183" s="22" t="s">
        <v>278</v>
      </c>
      <c r="J1183" s="22" t="s">
        <v>3667</v>
      </c>
      <c r="K1183" s="12">
        <v>0.006944444445252884</v>
      </c>
      <c r="L1183" s="12">
        <v>0.013888888890505768</v>
      </c>
      <c r="M1183" s="13">
        <v>0.020833333332120674</v>
      </c>
      <c r="N1183" s="23"/>
      <c r="O1183" s="23" t="s">
        <v>240</v>
      </c>
      <c r="P1183" s="1" t="s">
        <v>32</v>
      </c>
      <c r="Q1183" s="23" t="s">
        <v>280</v>
      </c>
      <c r="R1183" s="24">
        <v>45819</v>
      </c>
      <c r="S1183" s="1">
        <v>5</v>
      </c>
      <c r="T1183" s="23"/>
      <c r="U1183" s="25"/>
    </row>
    <row r="1184" ht="30" customHeight="1" spans="1:21" x14ac:dyDescent="0.25">
      <c r="A1184" s="26" t="s">
        <v>3663</v>
      </c>
      <c r="B1184" s="1">
        <v>2025</v>
      </c>
      <c r="C1184" s="27" t="s">
        <v>281</v>
      </c>
      <c r="D1184" s="28" t="s">
        <v>282</v>
      </c>
      <c r="E1184" s="28">
        <v>419069</v>
      </c>
      <c r="F1184" s="28" t="s">
        <v>27</v>
      </c>
      <c r="G1184" s="29">
        <v>45819</v>
      </c>
      <c r="H1184" s="29" t="s">
        <v>3570</v>
      </c>
      <c r="I1184" s="27" t="s">
        <v>278</v>
      </c>
      <c r="J1184" s="27" t="s">
        <v>3667</v>
      </c>
      <c r="K1184" s="12">
        <v>0.006944444445252884</v>
      </c>
      <c r="L1184" s="12">
        <v>0.013888888890505768</v>
      </c>
      <c r="M1184" s="13">
        <v>0.020833333332120674</v>
      </c>
      <c r="N1184" s="28"/>
      <c r="O1184" s="28" t="s">
        <v>240</v>
      </c>
      <c r="P1184" s="1" t="s">
        <v>32</v>
      </c>
      <c r="Q1184" s="28" t="s">
        <v>244</v>
      </c>
      <c r="R1184" s="29">
        <v>45819</v>
      </c>
      <c r="S1184" s="1">
        <v>5</v>
      </c>
      <c r="T1184" s="28"/>
      <c r="U1184" s="30"/>
    </row>
    <row r="1185" spans="1:21" x14ac:dyDescent="0.25">
      <c r="A1185" s="21" t="s">
        <v>3663</v>
      </c>
      <c r="B1185" s="1">
        <v>2025</v>
      </c>
      <c r="C1185" s="22" t="s">
        <v>283</v>
      </c>
      <c r="D1185" s="23" t="s">
        <v>25</v>
      </c>
      <c r="E1185" s="23">
        <v>419069</v>
      </c>
      <c r="F1185" s="23" t="s">
        <v>27</v>
      </c>
      <c r="G1185" s="24">
        <v>45819</v>
      </c>
      <c r="H1185" s="24" t="s">
        <v>3570</v>
      </c>
      <c r="I1185" s="22" t="s">
        <v>278</v>
      </c>
      <c r="J1185" s="22" t="s">
        <v>3667</v>
      </c>
      <c r="K1185" s="12">
        <v>0.006944444445252884</v>
      </c>
      <c r="L1185" s="12">
        <v>0.013888888890505768</v>
      </c>
      <c r="M1185" s="13">
        <v>0.020833333332120674</v>
      </c>
      <c r="N1185" s="23"/>
      <c r="O1185" s="23" t="s">
        <v>240</v>
      </c>
      <c r="P1185" s="1" t="s">
        <v>32</v>
      </c>
      <c r="Q1185" s="23" t="s">
        <v>244</v>
      </c>
      <c r="R1185" s="24">
        <v>45819</v>
      </c>
      <c r="S1185" s="1">
        <v>5</v>
      </c>
      <c r="T1185" s="23"/>
      <c r="U1185" s="25"/>
    </row>
    <row r="1186" spans="1:21" x14ac:dyDescent="0.25">
      <c r="A1186" s="26" t="s">
        <v>3663</v>
      </c>
      <c r="B1186" s="1">
        <v>2025</v>
      </c>
      <c r="C1186" s="27" t="s">
        <v>284</v>
      </c>
      <c r="D1186" s="28" t="s">
        <v>285</v>
      </c>
      <c r="E1186" s="28">
        <v>419069</v>
      </c>
      <c r="F1186" s="28" t="s">
        <v>27</v>
      </c>
      <c r="G1186" s="29">
        <v>45819</v>
      </c>
      <c r="H1186" s="29" t="s">
        <v>3570</v>
      </c>
      <c r="I1186" s="27" t="s">
        <v>278</v>
      </c>
      <c r="J1186" s="27" t="s">
        <v>3667</v>
      </c>
      <c r="K1186" s="12">
        <v>0.006944444445252884</v>
      </c>
      <c r="L1186" s="12">
        <v>0.013888888890505768</v>
      </c>
      <c r="M1186" s="13">
        <v>0.020833333332120674</v>
      </c>
      <c r="N1186" s="28"/>
      <c r="O1186" s="28" t="s">
        <v>240</v>
      </c>
      <c r="P1186" s="1" t="s">
        <v>32</v>
      </c>
      <c r="Q1186" s="28" t="s">
        <v>47</v>
      </c>
      <c r="R1186" s="29">
        <v>45819</v>
      </c>
      <c r="S1186" s="1">
        <v>5</v>
      </c>
      <c r="T1186" s="28"/>
      <c r="U1186" s="30"/>
    </row>
    <row r="1187" spans="1:21" x14ac:dyDescent="0.25">
      <c r="A1187" s="21" t="s">
        <v>3663</v>
      </c>
      <c r="B1187" s="1">
        <v>2025</v>
      </c>
      <c r="C1187" s="22" t="s">
        <v>286</v>
      </c>
      <c r="D1187" s="23" t="s">
        <v>287</v>
      </c>
      <c r="E1187" s="23">
        <v>419069</v>
      </c>
      <c r="F1187" s="23" t="s">
        <v>27</v>
      </c>
      <c r="G1187" s="24">
        <v>45819</v>
      </c>
      <c r="H1187" s="24" t="s">
        <v>3570</v>
      </c>
      <c r="I1187" s="22" t="s">
        <v>278</v>
      </c>
      <c r="J1187" s="22" t="s">
        <v>3667</v>
      </c>
      <c r="K1187" s="12">
        <v>0.006944444445252884</v>
      </c>
      <c r="L1187" s="12">
        <v>0.013888888890505768</v>
      </c>
      <c r="M1187" s="13">
        <v>0.020833333332120674</v>
      </c>
      <c r="N1187" s="23"/>
      <c r="O1187" s="23" t="s">
        <v>240</v>
      </c>
      <c r="P1187" s="1" t="s">
        <v>32</v>
      </c>
      <c r="Q1187" s="23" t="s">
        <v>47</v>
      </c>
      <c r="R1187" s="24">
        <v>45819</v>
      </c>
      <c r="S1187" s="1">
        <v>5</v>
      </c>
      <c r="T1187" s="23"/>
      <c r="U1187" s="25"/>
    </row>
    <row r="1188" ht="30" customHeight="1" spans="1:21" x14ac:dyDescent="0.25">
      <c r="A1188" s="26" t="s">
        <v>3663</v>
      </c>
      <c r="B1188" s="1">
        <v>2025</v>
      </c>
      <c r="C1188" s="27" t="s">
        <v>262</v>
      </c>
      <c r="D1188" s="28" t="s">
        <v>25</v>
      </c>
      <c r="E1188" s="28">
        <v>419069</v>
      </c>
      <c r="F1188" s="28" t="s">
        <v>27</v>
      </c>
      <c r="G1188" s="29">
        <v>45819</v>
      </c>
      <c r="H1188" s="29" t="s">
        <v>3570</v>
      </c>
      <c r="I1188" s="27" t="s">
        <v>278</v>
      </c>
      <c r="J1188" s="27" t="s">
        <v>3667</v>
      </c>
      <c r="K1188" s="12">
        <v>0.006944444445252884</v>
      </c>
      <c r="L1188" s="12">
        <v>0.013888888890505768</v>
      </c>
      <c r="M1188" s="13">
        <v>0.020833333332120674</v>
      </c>
      <c r="N1188" s="28"/>
      <c r="O1188" s="28" t="s">
        <v>240</v>
      </c>
      <c r="P1188" s="1" t="s">
        <v>32</v>
      </c>
      <c r="Q1188" s="28" t="s">
        <v>280</v>
      </c>
      <c r="R1188" s="29">
        <v>45819</v>
      </c>
      <c r="S1188" s="1">
        <v>5</v>
      </c>
      <c r="T1188" s="28"/>
      <c r="U1188" s="30"/>
    </row>
    <row r="1189" ht="30" customHeight="1" spans="1:21" x14ac:dyDescent="0.25">
      <c r="A1189" s="21" t="s">
        <v>3663</v>
      </c>
      <c r="B1189" s="1">
        <v>2025</v>
      </c>
      <c r="C1189" s="22" t="s">
        <v>288</v>
      </c>
      <c r="D1189" s="23" t="s">
        <v>289</v>
      </c>
      <c r="E1189" s="23">
        <v>419069</v>
      </c>
      <c r="F1189" s="23" t="s">
        <v>27</v>
      </c>
      <c r="G1189" s="24">
        <v>45819</v>
      </c>
      <c r="H1189" s="24" t="s">
        <v>3570</v>
      </c>
      <c r="I1189" s="22" t="s">
        <v>278</v>
      </c>
      <c r="J1189" s="22" t="s">
        <v>3667</v>
      </c>
      <c r="K1189" s="12">
        <v>0.006944444445252884</v>
      </c>
      <c r="L1189" s="12">
        <v>0.013888888890505768</v>
      </c>
      <c r="M1189" s="13">
        <v>0.020833333332120674</v>
      </c>
      <c r="N1189" s="23"/>
      <c r="O1189" s="23" t="s">
        <v>240</v>
      </c>
      <c r="P1189" s="1" t="s">
        <v>32</v>
      </c>
      <c r="Q1189" s="23" t="s">
        <v>244</v>
      </c>
      <c r="R1189" s="24">
        <v>45819</v>
      </c>
      <c r="S1189" s="1">
        <v>5</v>
      </c>
      <c r="T1189" s="23"/>
      <c r="U1189" s="25"/>
    </row>
    <row r="1190" spans="1:21" x14ac:dyDescent="0.25">
      <c r="A1190" s="26" t="s">
        <v>3663</v>
      </c>
      <c r="B1190" s="1">
        <v>2025</v>
      </c>
      <c r="C1190" s="27" t="s">
        <v>163</v>
      </c>
      <c r="D1190" s="28" t="s">
        <v>25</v>
      </c>
      <c r="E1190" s="28">
        <v>419069</v>
      </c>
      <c r="F1190" s="28" t="s">
        <v>27</v>
      </c>
      <c r="G1190" s="29">
        <v>45819</v>
      </c>
      <c r="H1190" s="29" t="s">
        <v>3570</v>
      </c>
      <c r="I1190" s="27" t="s">
        <v>278</v>
      </c>
      <c r="J1190" s="27" t="s">
        <v>3667</v>
      </c>
      <c r="K1190" s="12">
        <v>0.006944444445252884</v>
      </c>
      <c r="L1190" s="12">
        <v>0.013888888890505768</v>
      </c>
      <c r="M1190" s="13">
        <v>0.020833333332120674</v>
      </c>
      <c r="N1190" s="28"/>
      <c r="O1190" s="28" t="s">
        <v>240</v>
      </c>
      <c r="P1190" s="1" t="s">
        <v>32</v>
      </c>
      <c r="Q1190" s="28" t="s">
        <v>47</v>
      </c>
      <c r="R1190" s="29">
        <v>45819</v>
      </c>
      <c r="S1190" s="1">
        <v>5</v>
      </c>
      <c r="T1190" s="28"/>
      <c r="U1190" s="30"/>
    </row>
    <row r="1191" spans="1:21" x14ac:dyDescent="0.25">
      <c r="A1191" s="21" t="s">
        <v>3663</v>
      </c>
      <c r="B1191" s="1">
        <v>2025</v>
      </c>
      <c r="C1191" s="22" t="s">
        <v>247</v>
      </c>
      <c r="D1191" s="23" t="s">
        <v>25</v>
      </c>
      <c r="E1191" s="23">
        <v>419069</v>
      </c>
      <c r="F1191" s="23" t="s">
        <v>27</v>
      </c>
      <c r="G1191" s="24">
        <v>45819</v>
      </c>
      <c r="H1191" s="24" t="s">
        <v>3570</v>
      </c>
      <c r="I1191" s="22" t="s">
        <v>278</v>
      </c>
      <c r="J1191" s="22" t="s">
        <v>3667</v>
      </c>
      <c r="K1191" s="12">
        <v>0.006944444445252884</v>
      </c>
      <c r="L1191" s="12">
        <v>0.013888888890505768</v>
      </c>
      <c r="M1191" s="13">
        <v>0.020833333332120674</v>
      </c>
      <c r="N1191" s="23"/>
      <c r="O1191" s="23" t="s">
        <v>240</v>
      </c>
      <c r="P1191" s="1" t="s">
        <v>32</v>
      </c>
      <c r="Q1191" s="23" t="s">
        <v>47</v>
      </c>
      <c r="R1191" s="24">
        <v>45819</v>
      </c>
      <c r="S1191" s="1">
        <v>5</v>
      </c>
      <c r="T1191" s="23"/>
      <c r="U1191" s="25"/>
    </row>
    <row r="1192" ht="30" customHeight="1" spans="1:21" x14ac:dyDescent="0.25">
      <c r="A1192" s="26" t="s">
        <v>3663</v>
      </c>
      <c r="B1192" s="1">
        <v>2025</v>
      </c>
      <c r="C1192" s="27" t="s">
        <v>113</v>
      </c>
      <c r="D1192" s="28" t="s">
        <v>25</v>
      </c>
      <c r="E1192" s="28">
        <v>419069</v>
      </c>
      <c r="F1192" s="28" t="s">
        <v>27</v>
      </c>
      <c r="G1192" s="29">
        <v>45819</v>
      </c>
      <c r="H1192" s="29" t="s">
        <v>3570</v>
      </c>
      <c r="I1192" s="27" t="s">
        <v>278</v>
      </c>
      <c r="J1192" s="27" t="s">
        <v>3667</v>
      </c>
      <c r="K1192" s="12">
        <v>0.006944444445252884</v>
      </c>
      <c r="L1192" s="12">
        <v>0.013888888890505768</v>
      </c>
      <c r="M1192" s="13">
        <v>0.020833333332120674</v>
      </c>
      <c r="N1192" s="28"/>
      <c r="O1192" s="28" t="s">
        <v>240</v>
      </c>
      <c r="P1192" s="1" t="s">
        <v>32</v>
      </c>
      <c r="Q1192" s="28" t="s">
        <v>47</v>
      </c>
      <c r="R1192" s="29">
        <v>45819</v>
      </c>
      <c r="S1192" s="1">
        <v>5</v>
      </c>
      <c r="T1192" s="28"/>
      <c r="U1192" s="30"/>
    </row>
    <row r="1193" spans="1:21" x14ac:dyDescent="0.25">
      <c r="A1193" s="21" t="s">
        <v>3663</v>
      </c>
      <c r="B1193" s="1">
        <v>2025</v>
      </c>
      <c r="C1193" s="22" t="s">
        <v>142</v>
      </c>
      <c r="D1193" s="23" t="s">
        <v>25</v>
      </c>
      <c r="E1193" s="23">
        <v>419069</v>
      </c>
      <c r="F1193" s="23" t="s">
        <v>27</v>
      </c>
      <c r="G1193" s="24">
        <v>45819</v>
      </c>
      <c r="H1193" s="24" t="s">
        <v>3570</v>
      </c>
      <c r="I1193" s="22" t="s">
        <v>278</v>
      </c>
      <c r="J1193" s="22" t="s">
        <v>3667</v>
      </c>
      <c r="K1193" s="12">
        <v>0.006944444445252884</v>
      </c>
      <c r="L1193" s="12">
        <v>0.013888888890505768</v>
      </c>
      <c r="M1193" s="13">
        <v>0.020833333332120674</v>
      </c>
      <c r="N1193" s="23"/>
      <c r="O1193" s="23" t="s">
        <v>240</v>
      </c>
      <c r="P1193" s="1" t="s">
        <v>32</v>
      </c>
      <c r="Q1193" s="23" t="s">
        <v>47</v>
      </c>
      <c r="R1193" s="24">
        <v>45819</v>
      </c>
      <c r="S1193" s="1">
        <v>5</v>
      </c>
      <c r="T1193" s="23"/>
      <c r="U1193" s="25"/>
    </row>
    <row r="1194" spans="1:21" x14ac:dyDescent="0.25">
      <c r="A1194" s="26" t="s">
        <v>3663</v>
      </c>
      <c r="B1194" s="1">
        <v>2025</v>
      </c>
      <c r="C1194" s="27" t="s">
        <v>290</v>
      </c>
      <c r="D1194" s="28" t="s">
        <v>25</v>
      </c>
      <c r="E1194" s="28">
        <v>419069</v>
      </c>
      <c r="F1194" s="28" t="s">
        <v>27</v>
      </c>
      <c r="G1194" s="29">
        <v>45819</v>
      </c>
      <c r="H1194" s="29" t="s">
        <v>3570</v>
      </c>
      <c r="I1194" s="27" t="s">
        <v>278</v>
      </c>
      <c r="J1194" s="27" t="s">
        <v>3667</v>
      </c>
      <c r="K1194" s="12">
        <v>0.006944444445252884</v>
      </c>
      <c r="L1194" s="12">
        <v>0.013888888890505768</v>
      </c>
      <c r="M1194" s="13">
        <v>0.020833333332120674</v>
      </c>
      <c r="N1194" s="28"/>
      <c r="O1194" s="28" t="s">
        <v>240</v>
      </c>
      <c r="P1194" s="1" t="s">
        <v>32</v>
      </c>
      <c r="Q1194" s="28" t="s">
        <v>244</v>
      </c>
      <c r="R1194" s="29">
        <v>45819</v>
      </c>
      <c r="S1194" s="1">
        <v>5</v>
      </c>
      <c r="T1194" s="28"/>
      <c r="U1194" s="30"/>
    </row>
    <row r="1195" spans="1:21" x14ac:dyDescent="0.25">
      <c r="A1195" s="21" t="s">
        <v>3663</v>
      </c>
      <c r="B1195" s="1">
        <v>2025</v>
      </c>
      <c r="C1195" s="22" t="s">
        <v>291</v>
      </c>
      <c r="D1195" s="23" t="s">
        <v>25</v>
      </c>
      <c r="E1195" s="23">
        <v>419069</v>
      </c>
      <c r="F1195" s="23" t="s">
        <v>27</v>
      </c>
      <c r="G1195" s="24">
        <v>45819</v>
      </c>
      <c r="H1195" s="24" t="s">
        <v>3570</v>
      </c>
      <c r="I1195" s="22" t="s">
        <v>278</v>
      </c>
      <c r="J1195" s="22" t="s">
        <v>3667</v>
      </c>
      <c r="K1195" s="12">
        <v>0.006944444445252884</v>
      </c>
      <c r="L1195" s="12">
        <v>0.013888888890505768</v>
      </c>
      <c r="M1195" s="13">
        <v>0.020833333332120674</v>
      </c>
      <c r="N1195" s="23"/>
      <c r="O1195" s="23" t="s">
        <v>240</v>
      </c>
      <c r="P1195" s="1" t="s">
        <v>32</v>
      </c>
      <c r="Q1195" s="23" t="s">
        <v>244</v>
      </c>
      <c r="R1195" s="24">
        <v>45819</v>
      </c>
      <c r="S1195" s="1">
        <v>5</v>
      </c>
      <c r="T1195" s="23"/>
      <c r="U1195" s="25"/>
    </row>
    <row r="1196" spans="1:21" x14ac:dyDescent="0.25">
      <c r="A1196" s="26" t="s">
        <v>3663</v>
      </c>
      <c r="B1196" s="1">
        <v>2025</v>
      </c>
      <c r="C1196" s="27" t="s">
        <v>185</v>
      </c>
      <c r="D1196" s="28" t="s">
        <v>147</v>
      </c>
      <c r="E1196" s="28">
        <v>419069</v>
      </c>
      <c r="F1196" s="28" t="s">
        <v>27</v>
      </c>
      <c r="G1196" s="29">
        <v>45819</v>
      </c>
      <c r="H1196" s="29" t="s">
        <v>3570</v>
      </c>
      <c r="I1196" s="27" t="s">
        <v>278</v>
      </c>
      <c r="J1196" s="27" t="s">
        <v>3667</v>
      </c>
      <c r="K1196" s="12">
        <v>0.006944444445252884</v>
      </c>
      <c r="L1196" s="12">
        <v>0.013888888890505768</v>
      </c>
      <c r="M1196" s="13">
        <v>0.020833333332120674</v>
      </c>
      <c r="N1196" s="28"/>
      <c r="O1196" s="28" t="s">
        <v>240</v>
      </c>
      <c r="P1196" s="1" t="s">
        <v>32</v>
      </c>
      <c r="Q1196" s="28" t="s">
        <v>47</v>
      </c>
      <c r="R1196" s="29">
        <v>45819</v>
      </c>
      <c r="S1196" s="1">
        <v>5</v>
      </c>
      <c r="T1196" s="28"/>
      <c r="U1196" s="30"/>
    </row>
    <row r="1197" spans="1:21" x14ac:dyDescent="0.25">
      <c r="A1197" s="21" t="s">
        <v>3663</v>
      </c>
      <c r="B1197" s="1">
        <v>2025</v>
      </c>
      <c r="C1197" s="22" t="s">
        <v>77</v>
      </c>
      <c r="D1197" s="23" t="s">
        <v>78</v>
      </c>
      <c r="E1197" s="23">
        <v>419069</v>
      </c>
      <c r="F1197" s="23" t="s">
        <v>27</v>
      </c>
      <c r="G1197" s="24">
        <v>45819</v>
      </c>
      <c r="H1197" s="24" t="s">
        <v>3570</v>
      </c>
      <c r="I1197" s="22" t="s">
        <v>278</v>
      </c>
      <c r="J1197" s="22" t="s">
        <v>3667</v>
      </c>
      <c r="K1197" s="12">
        <v>0.006944444445252884</v>
      </c>
      <c r="L1197" s="12">
        <v>0.013888888890505768</v>
      </c>
      <c r="M1197" s="13">
        <v>0.020833333332120674</v>
      </c>
      <c r="N1197" s="23"/>
      <c r="O1197" s="23" t="s">
        <v>240</v>
      </c>
      <c r="P1197" s="1" t="s">
        <v>32</v>
      </c>
      <c r="Q1197" s="23" t="s">
        <v>280</v>
      </c>
      <c r="R1197" s="24">
        <v>45819</v>
      </c>
      <c r="S1197" s="1">
        <v>5</v>
      </c>
      <c r="T1197" s="23"/>
      <c r="U1197" s="25"/>
    </row>
    <row r="1198" ht="30" customHeight="1" spans="1:21" x14ac:dyDescent="0.25">
      <c r="A1198" s="26" t="s">
        <v>3663</v>
      </c>
      <c r="B1198" s="1">
        <v>2025</v>
      </c>
      <c r="C1198" s="27" t="s">
        <v>228</v>
      </c>
      <c r="D1198" s="28" t="s">
        <v>229</v>
      </c>
      <c r="E1198" s="28">
        <v>419069</v>
      </c>
      <c r="F1198" s="28" t="s">
        <v>27</v>
      </c>
      <c r="G1198" s="29">
        <v>45819</v>
      </c>
      <c r="H1198" s="29" t="s">
        <v>3570</v>
      </c>
      <c r="I1198" s="27" t="s">
        <v>278</v>
      </c>
      <c r="J1198" s="27" t="s">
        <v>3667</v>
      </c>
      <c r="K1198" s="12">
        <v>0.006944444445252884</v>
      </c>
      <c r="L1198" s="12">
        <v>0.013888888890505768</v>
      </c>
      <c r="M1198" s="13">
        <v>0.020833333332120674</v>
      </c>
      <c r="N1198" s="28"/>
      <c r="O1198" s="28" t="s">
        <v>240</v>
      </c>
      <c r="P1198" s="1" t="s">
        <v>32</v>
      </c>
      <c r="Q1198" s="28" t="s">
        <v>280</v>
      </c>
      <c r="R1198" s="29">
        <v>45819</v>
      </c>
      <c r="S1198" s="1">
        <v>5</v>
      </c>
      <c r="T1198" s="28"/>
      <c r="U1198" s="30"/>
    </row>
    <row r="1199" spans="1:21" x14ac:dyDescent="0.25">
      <c r="A1199" s="21" t="s">
        <v>3663</v>
      </c>
      <c r="B1199" s="1">
        <v>2025</v>
      </c>
      <c r="C1199" s="22" t="s">
        <v>72</v>
      </c>
      <c r="D1199" s="23" t="s">
        <v>236</v>
      </c>
      <c r="E1199" s="23">
        <v>419069</v>
      </c>
      <c r="F1199" s="23" t="s">
        <v>27</v>
      </c>
      <c r="G1199" s="24">
        <v>45819</v>
      </c>
      <c r="H1199" s="24" t="s">
        <v>3570</v>
      </c>
      <c r="I1199" s="22" t="s">
        <v>278</v>
      </c>
      <c r="J1199" s="22" t="s">
        <v>3667</v>
      </c>
      <c r="K1199" s="12">
        <v>0.006944444445252884</v>
      </c>
      <c r="L1199" s="12">
        <v>0.013888888890505768</v>
      </c>
      <c r="M1199" s="13">
        <v>0.020833333332120674</v>
      </c>
      <c r="N1199" s="23"/>
      <c r="O1199" s="23" t="s">
        <v>240</v>
      </c>
      <c r="P1199" s="1" t="s">
        <v>32</v>
      </c>
      <c r="Q1199" s="23" t="s">
        <v>47</v>
      </c>
      <c r="R1199" s="24">
        <v>45819</v>
      </c>
      <c r="S1199" s="1">
        <v>5</v>
      </c>
      <c r="T1199" s="23"/>
      <c r="U1199" s="25"/>
    </row>
    <row r="1200" spans="1:21" x14ac:dyDescent="0.25">
      <c r="A1200" s="31" t="s">
        <v>3663</v>
      </c>
      <c r="B1200" s="1">
        <v>2025</v>
      </c>
      <c r="C1200" s="32" t="s">
        <v>118</v>
      </c>
      <c r="D1200" s="33" t="s">
        <v>25</v>
      </c>
      <c r="E1200" s="33">
        <v>419069</v>
      </c>
      <c r="F1200" s="33" t="s">
        <v>27</v>
      </c>
      <c r="G1200" s="34">
        <v>45819</v>
      </c>
      <c r="H1200" s="34" t="s">
        <v>3570</v>
      </c>
      <c r="I1200" s="32" t="s">
        <v>278</v>
      </c>
      <c r="J1200" s="32" t="s">
        <v>3667</v>
      </c>
      <c r="K1200" s="12">
        <v>0.006944444445252884</v>
      </c>
      <c r="L1200" s="12">
        <v>0.013888888890505768</v>
      </c>
      <c r="M1200" s="13">
        <v>0.020833333332120674</v>
      </c>
      <c r="N1200" s="33"/>
      <c r="O1200" s="33" t="s">
        <v>240</v>
      </c>
      <c r="P1200" s="1" t="s">
        <v>32</v>
      </c>
      <c r="Q1200" s="33" t="s">
        <v>47</v>
      </c>
      <c r="R1200" s="34">
        <v>45819</v>
      </c>
      <c r="S1200" s="1">
        <v>5</v>
      </c>
      <c r="T1200" s="33"/>
      <c r="U1200" s="35"/>
    </row>
    <row r="1201" ht="165" customHeight="1" spans="1:19" x14ac:dyDescent="0.25">
      <c r="A1201" s="21" t="s">
        <v>3663</v>
      </c>
      <c r="B1201" s="1">
        <v>2025</v>
      </c>
      <c r="C1201" s="2" t="s">
        <v>108</v>
      </c>
      <c r="D1201" s="1" t="s">
        <v>78</v>
      </c>
      <c r="E1201" s="1">
        <v>418029</v>
      </c>
      <c r="F1201" s="23" t="s">
        <v>37</v>
      </c>
      <c r="G1201" s="11">
        <v>45825</v>
      </c>
      <c r="H1201" s="24" t="s">
        <v>3570</v>
      </c>
      <c r="I1201" s="2" t="s">
        <v>3668</v>
      </c>
      <c r="J1201" s="2" t="s">
        <v>3669</v>
      </c>
      <c r="K1201" s="12">
        <v>0.0625</v>
      </c>
      <c r="L1201" s="12">
        <v>0.0625</v>
      </c>
      <c r="M1201" s="13">
        <v>0.125</v>
      </c>
      <c r="O1201" s="1" t="s">
        <v>31</v>
      </c>
      <c r="P1201" s="1" t="s">
        <v>32</v>
      </c>
      <c r="Q1201" s="1" t="s">
        <v>42</v>
      </c>
      <c r="R1201" s="11">
        <v>45826</v>
      </c>
      <c r="S1201" s="1">
        <v>5</v>
      </c>
    </row>
    <row r="1202" ht="120" customHeight="1" spans="1:19" x14ac:dyDescent="0.25">
      <c r="A1202" s="1" t="s">
        <v>3663</v>
      </c>
      <c r="B1202" s="1">
        <v>2025</v>
      </c>
      <c r="C1202" s="2" t="s">
        <v>72</v>
      </c>
      <c r="D1202" s="1" t="s">
        <v>44</v>
      </c>
      <c r="E1202" s="1">
        <v>424347</v>
      </c>
      <c r="F1202" s="23" t="s">
        <v>37</v>
      </c>
      <c r="G1202" s="11">
        <v>45832</v>
      </c>
      <c r="H1202" s="11" t="s">
        <v>296</v>
      </c>
      <c r="I1202" s="2" t="s">
        <v>3670</v>
      </c>
      <c r="J1202" s="2" t="s">
        <v>298</v>
      </c>
      <c r="K1202" s="12">
        <v>0.013888888890505768</v>
      </c>
      <c r="L1202" s="12">
        <v>0.020833333332120674</v>
      </c>
      <c r="M1202" s="13">
        <v>0.03472222222262644</v>
      </c>
      <c r="O1202" s="1" t="s">
        <v>53</v>
      </c>
      <c r="P1202" s="1" t="s">
        <v>32</v>
      </c>
      <c r="Q1202" s="1" t="s">
        <v>47</v>
      </c>
      <c r="R1202" s="11">
        <v>45832</v>
      </c>
      <c r="S1202" s="1">
        <v>5</v>
      </c>
    </row>
    <row r="1203" ht="135" customHeight="1" spans="1:19" x14ac:dyDescent="0.25">
      <c r="A1203" s="1" t="s">
        <v>3663</v>
      </c>
      <c r="B1203" s="1">
        <v>2025</v>
      </c>
      <c r="C1203" s="2" t="s">
        <v>113</v>
      </c>
      <c r="D1203" s="1" t="s">
        <v>25</v>
      </c>
      <c r="E1203" s="1">
        <v>423487</v>
      </c>
      <c r="F1203" s="23" t="s">
        <v>37</v>
      </c>
      <c r="G1203" s="11">
        <v>45833</v>
      </c>
      <c r="H1203" s="11" t="s">
        <v>28</v>
      </c>
      <c r="I1203" s="2" t="s">
        <v>3671</v>
      </c>
      <c r="J1203" s="2" t="s">
        <v>3672</v>
      </c>
      <c r="K1203" s="12">
        <v>0.03125</v>
      </c>
      <c r="L1203" s="12">
        <v>0.055555555554747116</v>
      </c>
      <c r="M1203" s="13">
        <v>0.08680555555474712</v>
      </c>
      <c r="O1203" s="1" t="s">
        <v>31</v>
      </c>
      <c r="P1203" s="1" t="s">
        <v>32</v>
      </c>
      <c r="Q1203" s="1" t="s">
        <v>47</v>
      </c>
      <c r="R1203" s="11">
        <v>45833</v>
      </c>
      <c r="S1203" s="1">
        <v>4</v>
      </c>
    </row>
    <row r="1204" ht="60" customHeight="1" spans="1:19" x14ac:dyDescent="0.25">
      <c r="A1204" s="1" t="s">
        <v>3663</v>
      </c>
      <c r="B1204" s="1">
        <v>2025</v>
      </c>
      <c r="C1204" s="2" t="s">
        <v>65</v>
      </c>
      <c r="D1204" s="1" t="s">
        <v>25</v>
      </c>
      <c r="E1204" s="1">
        <v>422649</v>
      </c>
      <c r="F1204" s="23" t="s">
        <v>27</v>
      </c>
      <c r="G1204" s="11">
        <v>45832</v>
      </c>
      <c r="H1204" s="11" t="s">
        <v>28</v>
      </c>
      <c r="I1204" s="2" t="s">
        <v>3673</v>
      </c>
      <c r="J1204" s="2" t="s">
        <v>3673</v>
      </c>
      <c r="K1204" s="12">
        <v>0.020833333332120674</v>
      </c>
      <c r="L1204" s="12">
        <v>0.03472222222262644</v>
      </c>
      <c r="M1204" s="13">
        <v>0.055555555554747116</v>
      </c>
      <c r="O1204" s="1" t="s">
        <v>53</v>
      </c>
      <c r="P1204" s="1" t="s">
        <v>32</v>
      </c>
      <c r="Q1204" s="1" t="s">
        <v>47</v>
      </c>
      <c r="R1204" s="11">
        <v>45832</v>
      </c>
      <c r="S1204" s="1">
        <v>5</v>
      </c>
    </row>
    <row r="1205" spans="1:19" x14ac:dyDescent="0.25">
      <c r="A1205" s="1" t="s">
        <v>3663</v>
      </c>
      <c r="B1205" s="1">
        <v>2025</v>
      </c>
      <c r="C1205" s="2" t="s">
        <v>170</v>
      </c>
      <c r="D1205" s="1" t="s">
        <v>25</v>
      </c>
      <c r="E1205" s="1">
        <v>423715</v>
      </c>
      <c r="F1205" s="23" t="s">
        <v>27</v>
      </c>
      <c r="G1205" s="11">
        <v>45834</v>
      </c>
      <c r="H1205" s="11" t="s">
        <v>133</v>
      </c>
      <c r="I1205" s="2" t="s">
        <v>3674</v>
      </c>
      <c r="J1205" s="17" t="s">
        <v>3675</v>
      </c>
      <c r="K1205" s="12">
        <v>0.020833333332120674</v>
      </c>
      <c r="L1205" s="12">
        <v>0.020833333332120674</v>
      </c>
      <c r="M1205" s="13">
        <v>0.041666666667879326</v>
      </c>
      <c r="O1205" s="1" t="s">
        <v>31</v>
      </c>
      <c r="P1205" s="1" t="s">
        <v>32</v>
      </c>
      <c r="Q1205" s="1" t="s">
        <v>42</v>
      </c>
      <c r="R1205" s="11">
        <v>45834</v>
      </c>
      <c r="S1205" s="1">
        <v>5</v>
      </c>
    </row>
    <row r="1206" ht="45" customHeight="1" spans="1:19" x14ac:dyDescent="0.25">
      <c r="A1206" s="1" t="s">
        <v>3676</v>
      </c>
      <c r="B1206" s="1">
        <v>2025</v>
      </c>
      <c r="C1206" s="2" t="s">
        <v>308</v>
      </c>
      <c r="D1206" s="1" t="s">
        <v>309</v>
      </c>
      <c r="E1206" s="1">
        <v>418804</v>
      </c>
      <c r="F1206" s="1" t="s">
        <v>37</v>
      </c>
      <c r="G1206" s="11">
        <v>45839</v>
      </c>
      <c r="H1206" s="11" t="s">
        <v>133</v>
      </c>
      <c r="I1206" s="2" t="s">
        <v>3677</v>
      </c>
      <c r="J1206" s="2" t="s">
        <v>3678</v>
      </c>
      <c r="K1206" s="12">
        <v>0.013888888890505768</v>
      </c>
      <c r="L1206" s="12">
        <v>0.03472222222262644</v>
      </c>
      <c r="M1206" s="13">
        <v>0.04861111110949423</v>
      </c>
      <c r="O1206" s="1" t="s">
        <v>240</v>
      </c>
      <c r="P1206" s="1" t="s">
        <v>32</v>
      </c>
      <c r="Q1206" s="1" t="s">
        <v>42</v>
      </c>
      <c r="R1206" s="11">
        <v>45839</v>
      </c>
      <c r="S1206" s="1">
        <v>5</v>
      </c>
    </row>
    <row r="1207" ht="45" customHeight="1" spans="1:19" x14ac:dyDescent="0.25">
      <c r="A1207" s="1" t="s">
        <v>3676</v>
      </c>
      <c r="B1207" s="1">
        <v>2025</v>
      </c>
      <c r="C1207" s="2" t="s">
        <v>113</v>
      </c>
      <c r="D1207" s="1" t="s">
        <v>25</v>
      </c>
      <c r="E1207" s="1">
        <v>425457</v>
      </c>
      <c r="F1207" s="23" t="s">
        <v>27</v>
      </c>
      <c r="G1207" s="11">
        <v>45841</v>
      </c>
      <c r="H1207" s="11" t="s">
        <v>74</v>
      </c>
      <c r="I1207" s="2" t="s">
        <v>314</v>
      </c>
      <c r="J1207" s="2" t="s">
        <v>3679</v>
      </c>
      <c r="K1207" s="12">
        <v>0.013888888890505768</v>
      </c>
      <c r="L1207" s="12">
        <v>0.03472222222262644</v>
      </c>
      <c r="M1207" s="13">
        <v>0.04861111110949423</v>
      </c>
      <c r="O1207" s="1" t="s">
        <v>240</v>
      </c>
      <c r="P1207" s="1" t="s">
        <v>32</v>
      </c>
      <c r="Q1207" s="1" t="s">
        <v>47</v>
      </c>
      <c r="R1207" s="11">
        <v>45841</v>
      </c>
      <c r="S1207" s="1">
        <v>5</v>
      </c>
    </row>
    <row r="1208" ht="45" customHeight="1" spans="1:19" x14ac:dyDescent="0.25">
      <c r="A1208" s="1" t="s">
        <v>3676</v>
      </c>
      <c r="B1208" s="1">
        <v>2025</v>
      </c>
      <c r="C1208" s="2" t="s">
        <v>113</v>
      </c>
      <c r="D1208" s="1" t="s">
        <v>25</v>
      </c>
      <c r="E1208" s="1">
        <v>425761</v>
      </c>
      <c r="F1208" s="23" t="s">
        <v>37</v>
      </c>
      <c r="G1208" s="11">
        <v>45842</v>
      </c>
      <c r="H1208" s="11" t="s">
        <v>3570</v>
      </c>
      <c r="I1208" s="2" t="s">
        <v>317</v>
      </c>
      <c r="J1208" s="2" t="s">
        <v>3680</v>
      </c>
      <c r="K1208" s="12">
        <v>0.01736111110949423</v>
      </c>
      <c r="L1208" s="12">
        <v>0.03472222222262644</v>
      </c>
      <c r="M1208" s="13">
        <v>0.052083333332120674</v>
      </c>
      <c r="O1208" s="1" t="s">
        <v>240</v>
      </c>
      <c r="P1208" s="1" t="s">
        <v>32</v>
      </c>
      <c r="Q1208" s="1" t="s">
        <v>47</v>
      </c>
      <c r="R1208" s="11">
        <v>45842</v>
      </c>
      <c r="S1208" s="1">
        <v>5</v>
      </c>
    </row>
    <row r="1209" ht="30" customHeight="1" spans="1:19" x14ac:dyDescent="0.25">
      <c r="A1209" s="1" t="s">
        <v>3676</v>
      </c>
      <c r="B1209" s="1">
        <v>2025</v>
      </c>
      <c r="C1209" s="2" t="s">
        <v>258</v>
      </c>
      <c r="D1209" s="1" t="s">
        <v>25</v>
      </c>
      <c r="E1209" s="1">
        <v>425582</v>
      </c>
      <c r="F1209" s="23" t="s">
        <v>27</v>
      </c>
      <c r="G1209" s="11">
        <v>45842</v>
      </c>
      <c r="H1209" s="11" t="s">
        <v>3570</v>
      </c>
      <c r="I1209" s="2" t="s">
        <v>320</v>
      </c>
      <c r="J1209" s="2" t="s">
        <v>321</v>
      </c>
      <c r="K1209" s="12">
        <v>0.027777777777373558</v>
      </c>
      <c r="L1209" s="12">
        <v>0.03472222222262644</v>
      </c>
      <c r="M1209" s="13">
        <v>0.0625</v>
      </c>
      <c r="O1209" s="1" t="s">
        <v>240</v>
      </c>
      <c r="P1209" s="1" t="s">
        <v>32</v>
      </c>
      <c r="Q1209" s="1" t="s">
        <v>47</v>
      </c>
      <c r="R1209" s="11">
        <v>45842</v>
      </c>
      <c r="S1209" s="1">
        <v>5</v>
      </c>
    </row>
    <row r="1210" ht="105" customHeight="1" spans="1:19" x14ac:dyDescent="0.25">
      <c r="A1210" s="1" t="s">
        <v>3676</v>
      </c>
      <c r="B1210" s="1">
        <v>2025</v>
      </c>
      <c r="C1210" s="2" t="s">
        <v>163</v>
      </c>
      <c r="D1210" s="1" t="s">
        <v>25</v>
      </c>
      <c r="E1210" s="1">
        <v>424628</v>
      </c>
      <c r="F1210" s="23" t="s">
        <v>27</v>
      </c>
      <c r="G1210" s="11">
        <v>45842</v>
      </c>
      <c r="H1210" s="11" t="s">
        <v>3570</v>
      </c>
      <c r="I1210" s="2" t="s">
        <v>323</v>
      </c>
      <c r="J1210" s="2" t="s">
        <v>3681</v>
      </c>
      <c r="K1210" s="12">
        <v>0.020833333332120674</v>
      </c>
      <c r="L1210" s="12">
        <v>0.03472222222262644</v>
      </c>
      <c r="M1210" s="13">
        <v>0.055555555554747116</v>
      </c>
      <c r="O1210" s="1" t="s">
        <v>240</v>
      </c>
      <c r="P1210" s="1" t="s">
        <v>32</v>
      </c>
      <c r="Q1210" s="1" t="s">
        <v>47</v>
      </c>
      <c r="R1210" s="11">
        <v>45842</v>
      </c>
      <c r="S1210" s="1">
        <v>5</v>
      </c>
    </row>
    <row r="1211" ht="90" customHeight="1" spans="1:19" x14ac:dyDescent="0.25">
      <c r="A1211" s="1" t="s">
        <v>3676</v>
      </c>
      <c r="B1211" s="1">
        <v>2025</v>
      </c>
      <c r="C1211" s="2" t="s">
        <v>43</v>
      </c>
      <c r="D1211" s="1" t="s">
        <v>3682</v>
      </c>
      <c r="E1211" s="1">
        <v>426191</v>
      </c>
      <c r="F1211" s="23" t="s">
        <v>37</v>
      </c>
      <c r="G1211" s="11">
        <v>45847</v>
      </c>
      <c r="H1211" s="11" t="s">
        <v>28</v>
      </c>
      <c r="I1211" s="2" t="s">
        <v>326</v>
      </c>
      <c r="J1211" s="2" t="s">
        <v>3683</v>
      </c>
      <c r="K1211" s="12">
        <v>0.020833333332120674</v>
      </c>
      <c r="L1211" s="12">
        <v>0.03472222222262644</v>
      </c>
      <c r="M1211" s="13">
        <v>0.055555555554747116</v>
      </c>
      <c r="O1211" s="1" t="s">
        <v>53</v>
      </c>
      <c r="P1211" s="1" t="s">
        <v>240</v>
      </c>
      <c r="Q1211" s="1" t="s">
        <v>47</v>
      </c>
      <c r="R1211" s="11">
        <v>45847</v>
      </c>
      <c r="S1211" s="1">
        <v>5</v>
      </c>
    </row>
    <row r="1212" ht="60" customHeight="1" spans="1:19" x14ac:dyDescent="0.25">
      <c r="A1212" s="1" t="s">
        <v>3676</v>
      </c>
      <c r="B1212" s="1">
        <v>2025</v>
      </c>
      <c r="C1212" s="2" t="s">
        <v>65</v>
      </c>
      <c r="D1212" s="1" t="s">
        <v>25</v>
      </c>
      <c r="E1212" s="1">
        <v>424905</v>
      </c>
      <c r="F1212" s="23" t="s">
        <v>27</v>
      </c>
      <c r="G1212" s="11">
        <v>45853</v>
      </c>
      <c r="H1212" s="11" t="s">
        <v>3570</v>
      </c>
      <c r="I1212" s="2" t="s">
        <v>329</v>
      </c>
      <c r="J1212" s="2" t="s">
        <v>3684</v>
      </c>
      <c r="K1212" s="12">
        <v>0.013888888890505768</v>
      </c>
      <c r="L1212" s="12">
        <v>0.0625</v>
      </c>
      <c r="M1212" s="13">
        <v>0.07638888889050577</v>
      </c>
      <c r="O1212" s="1" t="s">
        <v>240</v>
      </c>
      <c r="P1212" s="1" t="s">
        <v>32</v>
      </c>
      <c r="Q1212" s="1" t="s">
        <v>47</v>
      </c>
      <c r="R1212" s="11">
        <v>45853</v>
      </c>
      <c r="S1212" s="1">
        <v>5</v>
      </c>
    </row>
    <row r="1213" ht="30" customHeight="1" spans="1:19" x14ac:dyDescent="0.25">
      <c r="A1213" s="1" t="s">
        <v>3676</v>
      </c>
      <c r="B1213" s="1">
        <v>2025</v>
      </c>
      <c r="C1213" s="2" t="s">
        <v>163</v>
      </c>
      <c r="D1213" s="1" t="s">
        <v>25</v>
      </c>
      <c r="E1213" s="1">
        <v>426872</v>
      </c>
      <c r="F1213" s="23" t="s">
        <v>37</v>
      </c>
      <c r="G1213" s="11">
        <v>45854</v>
      </c>
      <c r="H1213" s="11" t="s">
        <v>28</v>
      </c>
      <c r="I1213" s="2" t="s">
        <v>3685</v>
      </c>
      <c r="J1213" s="2" t="s">
        <v>3686</v>
      </c>
      <c r="K1213" s="12">
        <v>0.020833333332120674</v>
      </c>
      <c r="L1213" s="12">
        <v>0.03472222222262644</v>
      </c>
      <c r="M1213" s="13">
        <v>0.055555555554747116</v>
      </c>
      <c r="O1213" s="1" t="s">
        <v>31</v>
      </c>
      <c r="P1213" s="1" t="s">
        <v>32</v>
      </c>
      <c r="Q1213" s="1" t="s">
        <v>47</v>
      </c>
      <c r="R1213" s="11">
        <v>45854</v>
      </c>
      <c r="S1213" s="1">
        <v>5</v>
      </c>
    </row>
    <row r="1214" ht="60" customHeight="1" spans="1:19" x14ac:dyDescent="0.25">
      <c r="A1214" s="1" t="s">
        <v>3676</v>
      </c>
      <c r="B1214" s="1">
        <v>2025</v>
      </c>
      <c r="C1214" s="2" t="s">
        <v>334</v>
      </c>
      <c r="D1214" s="1" t="s">
        <v>3687</v>
      </c>
      <c r="E1214" s="1">
        <v>427043</v>
      </c>
      <c r="F1214" s="1" t="s">
        <v>27</v>
      </c>
      <c r="G1214" s="11">
        <v>45863</v>
      </c>
      <c r="H1214" s="11" t="s">
        <v>133</v>
      </c>
      <c r="I1214" s="2" t="s">
        <v>3688</v>
      </c>
      <c r="J1214" s="2" t="s">
        <v>3689</v>
      </c>
      <c r="K1214" s="12">
        <v>0.020833333332120674</v>
      </c>
      <c r="L1214" s="12">
        <v>0.03472222222262644</v>
      </c>
      <c r="M1214" s="13">
        <v>0.055555555554747116</v>
      </c>
      <c r="O1214" s="1" t="s">
        <v>240</v>
      </c>
      <c r="P1214" s="1" t="s">
        <v>32</v>
      </c>
      <c r="Q1214" s="1" t="s">
        <v>42</v>
      </c>
      <c r="R1214" s="11">
        <v>45863</v>
      </c>
      <c r="S1214" s="1">
        <v>5</v>
      </c>
    </row>
    <row r="1215" ht="30" customHeight="1" spans="1:19" x14ac:dyDescent="0.25">
      <c r="A1215" s="1" t="s">
        <v>3676</v>
      </c>
      <c r="B1215" s="1">
        <v>2025</v>
      </c>
      <c r="C1215" s="2" t="s">
        <v>339</v>
      </c>
      <c r="D1215" s="1" t="s">
        <v>78</v>
      </c>
      <c r="E1215" s="1">
        <v>423133</v>
      </c>
      <c r="F1215" s="1" t="s">
        <v>37</v>
      </c>
      <c r="G1215" s="11">
        <v>45869</v>
      </c>
      <c r="H1215" s="11" t="s">
        <v>3570</v>
      </c>
      <c r="I1215" s="2" t="s">
        <v>341</v>
      </c>
      <c r="J1215" s="2" t="s">
        <v>342</v>
      </c>
      <c r="K1215" s="12">
        <v>0.006944444445252884</v>
      </c>
      <c r="L1215" s="12">
        <v>0.04513888889050577</v>
      </c>
      <c r="M1215" s="13">
        <v>0.052083333332120674</v>
      </c>
      <c r="O1215" s="1" t="s">
        <v>240</v>
      </c>
      <c r="P1215" s="1" t="s">
        <v>32</v>
      </c>
      <c r="Q1215" s="1" t="s">
        <v>244</v>
      </c>
      <c r="R1215" s="11">
        <v>45869</v>
      </c>
      <c r="S1215" s="1">
        <v>5</v>
      </c>
    </row>
    <row r="1216" ht="405" customHeight="1" spans="1:19" x14ac:dyDescent="0.25">
      <c r="A1216" s="1" t="s">
        <v>3690</v>
      </c>
      <c r="B1216" s="1">
        <v>2025</v>
      </c>
      <c r="C1216" s="2" t="s">
        <v>308</v>
      </c>
      <c r="D1216" s="1" t="s">
        <v>309</v>
      </c>
      <c r="E1216" s="1">
        <v>420654</v>
      </c>
      <c r="F1216" s="1" t="s">
        <v>37</v>
      </c>
      <c r="G1216" s="11">
        <v>45870</v>
      </c>
      <c r="H1216" s="11" t="s">
        <v>28</v>
      </c>
      <c r="I1216" s="2" t="s">
        <v>3691</v>
      </c>
      <c r="J1216" s="2" t="s">
        <v>3692</v>
      </c>
      <c r="K1216" s="12">
        <v>0.020833333332120674</v>
      </c>
      <c r="L1216" s="12">
        <v>0.07291666666787933</v>
      </c>
      <c r="M1216" s="13">
        <v>0.09375</v>
      </c>
      <c r="O1216" s="1" t="s">
        <v>347</v>
      </c>
      <c r="P1216" s="1" t="s">
        <v>240</v>
      </c>
      <c r="Q1216" s="1" t="s">
        <v>42</v>
      </c>
      <c r="R1216" s="11">
        <v>45870</v>
      </c>
      <c r="S1216" s="1">
        <v>5</v>
      </c>
    </row>
    <row r="1217" spans="1:19" x14ac:dyDescent="0.25">
      <c r="A1217" s="1" t="s">
        <v>3690</v>
      </c>
      <c r="B1217" s="1">
        <v>2025</v>
      </c>
      <c r="C1217" s="2" t="s">
        <v>348</v>
      </c>
      <c r="D1217" s="1" t="s">
        <v>78</v>
      </c>
      <c r="E1217" s="1">
        <v>429139</v>
      </c>
      <c r="F1217" s="1" t="s">
        <v>37</v>
      </c>
      <c r="G1217" s="11">
        <v>45874</v>
      </c>
      <c r="H1217" s="11" t="s">
        <v>28</v>
      </c>
      <c r="I1217" s="2" t="s">
        <v>350</v>
      </c>
      <c r="J1217" s="2" t="s">
        <v>351</v>
      </c>
      <c r="K1217" s="12">
        <v>0.01736111110949423</v>
      </c>
      <c r="L1217" s="12">
        <v>0.041666666667879326</v>
      </c>
      <c r="M1217" s="13">
        <v>0.05902777777737356</v>
      </c>
      <c r="O1217" s="1" t="s">
        <v>240</v>
      </c>
      <c r="P1217" s="1" t="s">
        <v>32</v>
      </c>
      <c r="Q1217" s="1" t="s">
        <v>244</v>
      </c>
      <c r="R1217" s="11">
        <v>45874</v>
      </c>
      <c r="S1217" s="1">
        <v>5</v>
      </c>
    </row>
    <row r="1218" ht="30" customHeight="1" spans="1:19" x14ac:dyDescent="0.25">
      <c r="A1218" s="1" t="s">
        <v>3690</v>
      </c>
      <c r="B1218" s="1">
        <v>2025</v>
      </c>
      <c r="C1218" s="2" t="s">
        <v>113</v>
      </c>
      <c r="D1218" s="1" t="s">
        <v>25</v>
      </c>
      <c r="E1218" s="1">
        <v>428742</v>
      </c>
      <c r="F1218" s="1" t="s">
        <v>37</v>
      </c>
      <c r="G1218" s="11">
        <v>45875</v>
      </c>
      <c r="H1218" s="11" t="s">
        <v>353</v>
      </c>
      <c r="I1218" s="2" t="s">
        <v>3693</v>
      </c>
      <c r="J1218" s="2" t="s">
        <v>355</v>
      </c>
      <c r="K1218" s="12">
        <v>0.020833333332120674</v>
      </c>
      <c r="L1218" s="12">
        <v>0.038194444445252884</v>
      </c>
      <c r="M1218" s="13">
        <v>0.05902777777737356</v>
      </c>
      <c r="O1218" s="1" t="s">
        <v>53</v>
      </c>
      <c r="P1218" s="1" t="s">
        <v>240</v>
      </c>
      <c r="Q1218" s="1" t="s">
        <v>3694</v>
      </c>
      <c r="R1218" s="11">
        <v>45875</v>
      </c>
      <c r="S1218" s="1">
        <v>5</v>
      </c>
    </row>
    <row r="1219" ht="30" customHeight="1" spans="1:19" x14ac:dyDescent="0.25">
      <c r="A1219" s="1" t="s">
        <v>3690</v>
      </c>
      <c r="B1219" s="1">
        <v>2025</v>
      </c>
      <c r="C1219" s="2" t="s">
        <v>65</v>
      </c>
      <c r="D1219" s="1" t="s">
        <v>25</v>
      </c>
      <c r="E1219" s="1">
        <v>431217</v>
      </c>
      <c r="F1219" s="1" t="s">
        <v>27</v>
      </c>
      <c r="G1219" s="11">
        <v>45889</v>
      </c>
      <c r="H1219" s="11" t="s">
        <v>28</v>
      </c>
      <c r="I1219" s="2" t="s">
        <v>357</v>
      </c>
      <c r="J1219" s="2" t="s">
        <v>358</v>
      </c>
      <c r="K1219" s="12">
        <v>0.020833333332120674</v>
      </c>
      <c r="L1219" s="12">
        <v>0.055555555554747116</v>
      </c>
      <c r="M1219" s="13">
        <v>0.07638888889050577</v>
      </c>
      <c r="O1219" s="1" t="s">
        <v>240</v>
      </c>
      <c r="P1219" s="1" t="s">
        <v>32</v>
      </c>
      <c r="Q1219" s="1" t="s">
        <v>3694</v>
      </c>
      <c r="R1219" s="11">
        <v>45889</v>
      </c>
      <c r="S1219" s="1">
        <v>5</v>
      </c>
    </row>
    <row r="1220" spans="1:19" x14ac:dyDescent="0.25">
      <c r="A1220" s="1" t="s">
        <v>3690</v>
      </c>
      <c r="B1220" s="1">
        <v>2025</v>
      </c>
      <c r="C1220" s="2" t="s">
        <v>83</v>
      </c>
      <c r="D1220" s="1" t="s">
        <v>78</v>
      </c>
      <c r="E1220" s="1">
        <v>431720</v>
      </c>
      <c r="F1220" s="1" t="s">
        <v>37</v>
      </c>
      <c r="G1220" s="11">
        <v>45891</v>
      </c>
      <c r="H1220" s="11" t="s">
        <v>80</v>
      </c>
      <c r="I1220" s="2" t="s">
        <v>3695</v>
      </c>
      <c r="J1220" s="2" t="s">
        <v>3695</v>
      </c>
      <c r="K1220" s="12">
        <v>0.020833333332120674</v>
      </c>
      <c r="L1220" s="12">
        <v>0.020833333332120674</v>
      </c>
      <c r="M1220" s="13">
        <v>0.041666666667879326</v>
      </c>
      <c r="O1220" s="1" t="s">
        <v>53</v>
      </c>
      <c r="P1220" s="1" t="s">
        <v>32</v>
      </c>
      <c r="Q1220" s="1" t="s">
        <v>42</v>
      </c>
      <c r="R1220" s="11">
        <v>45891</v>
      </c>
      <c r="S1220" s="1">
        <v>5</v>
      </c>
    </row>
    <row r="1221" ht="60" customHeight="1" spans="1:19" x14ac:dyDescent="0.25">
      <c r="A1221" s="1" t="s">
        <v>3690</v>
      </c>
      <c r="B1221" s="1">
        <v>2025</v>
      </c>
      <c r="C1221" s="2" t="s">
        <v>339</v>
      </c>
      <c r="D1221" s="1" t="s">
        <v>78</v>
      </c>
      <c r="E1221" s="1">
        <v>432172</v>
      </c>
      <c r="F1221" s="1" t="s">
        <v>37</v>
      </c>
      <c r="G1221" s="11">
        <v>45895</v>
      </c>
      <c r="H1221" s="11" t="s">
        <v>3570</v>
      </c>
      <c r="I1221" s="2" t="s">
        <v>362</v>
      </c>
      <c r="J1221" s="2" t="s">
        <v>3696</v>
      </c>
      <c r="K1221" s="12">
        <v>0.020833333332120674</v>
      </c>
      <c r="L1221" s="12">
        <v>0</v>
      </c>
      <c r="M1221" s="13">
        <v>0.020833333332120674</v>
      </c>
      <c r="O1221" s="1" t="s">
        <v>53</v>
      </c>
      <c r="P1221" s="1" t="s">
        <v>31</v>
      </c>
      <c r="Q1221" s="1" t="s">
        <v>42</v>
      </c>
      <c r="R1221" s="11">
        <v>45895</v>
      </c>
      <c r="S1221" s="1">
        <v>5</v>
      </c>
    </row>
    <row r="1222" spans="1:19" x14ac:dyDescent="0.25">
      <c r="A1222" s="1" t="s">
        <v>3690</v>
      </c>
      <c r="B1222" s="1">
        <v>2025</v>
      </c>
      <c r="C1222" s="2" t="s">
        <v>258</v>
      </c>
      <c r="D1222" s="1" t="s">
        <v>25</v>
      </c>
      <c r="E1222" s="1">
        <v>431166</v>
      </c>
      <c r="F1222" s="1" t="s">
        <v>27</v>
      </c>
      <c r="G1222" s="11">
        <v>45895</v>
      </c>
      <c r="H1222" s="11" t="s">
        <v>133</v>
      </c>
      <c r="I1222" s="2" t="s">
        <v>365</v>
      </c>
      <c r="J1222" s="2" t="s">
        <v>366</v>
      </c>
      <c r="K1222" s="12">
        <v>0.020833333332120674</v>
      </c>
      <c r="L1222" s="12">
        <v>0</v>
      </c>
      <c r="M1222" s="13">
        <v>0.020833333332120674</v>
      </c>
      <c r="O1222" s="1" t="s">
        <v>53</v>
      </c>
      <c r="P1222" s="1" t="s">
        <v>367</v>
      </c>
      <c r="Q1222" s="1" t="s">
        <v>42</v>
      </c>
      <c r="R1222" s="11">
        <v>45895</v>
      </c>
      <c r="S1222" s="1">
        <v>5</v>
      </c>
    </row>
    <row r="1223" ht="90" customHeight="1" spans="1:19" x14ac:dyDescent="0.25">
      <c r="A1223" s="1" t="s">
        <v>3690</v>
      </c>
      <c r="B1223" s="1">
        <v>2025</v>
      </c>
      <c r="C1223" s="2" t="s">
        <v>113</v>
      </c>
      <c r="D1223" s="1" t="s">
        <v>25</v>
      </c>
      <c r="E1223" s="1">
        <v>432492</v>
      </c>
      <c r="F1223" s="1" t="s">
        <v>27</v>
      </c>
      <c r="G1223" s="11">
        <v>45897</v>
      </c>
      <c r="H1223" s="11" t="s">
        <v>133</v>
      </c>
      <c r="I1223" s="2" t="s">
        <v>3697</v>
      </c>
      <c r="J1223" s="2" t="s">
        <v>370</v>
      </c>
      <c r="K1223" s="12">
        <v>0.020833333332120674</v>
      </c>
      <c r="L1223" s="12">
        <v>0.020833333332120674</v>
      </c>
      <c r="M1223" s="13">
        <v>0.041666666667879326</v>
      </c>
      <c r="O1223" s="1" t="s">
        <v>53</v>
      </c>
      <c r="P1223" s="1" t="s">
        <v>32</v>
      </c>
      <c r="Q1223" s="1" t="s">
        <v>47</v>
      </c>
      <c r="R1223" s="11">
        <v>45897</v>
      </c>
      <c r="S1223" s="1">
        <v>5</v>
      </c>
    </row>
    <row r="1224" ht="165" customHeight="1" spans="1:19" x14ac:dyDescent="0.25">
      <c r="A1224" s="1" t="s">
        <v>3690</v>
      </c>
      <c r="B1224" s="1">
        <v>2025</v>
      </c>
      <c r="C1224" s="2" t="s">
        <v>77</v>
      </c>
      <c r="D1224" s="1" t="s">
        <v>78</v>
      </c>
      <c r="E1224" s="1">
        <v>429124</v>
      </c>
      <c r="F1224" s="1" t="s">
        <v>37</v>
      </c>
      <c r="G1224" s="11">
        <v>45897</v>
      </c>
      <c r="H1224" s="11" t="s">
        <v>3570</v>
      </c>
      <c r="I1224" s="2" t="s">
        <v>372</v>
      </c>
      <c r="J1224" s="2" t="s">
        <v>3698</v>
      </c>
      <c r="K1224" s="12">
        <v>0.020833333332120674</v>
      </c>
      <c r="L1224" s="12">
        <v>0.03472222222262644</v>
      </c>
      <c r="M1224" s="13">
        <v>0.055555555554747116</v>
      </c>
      <c r="O1224" s="1" t="s">
        <v>53</v>
      </c>
      <c r="P1224" s="1" t="s">
        <v>32</v>
      </c>
      <c r="Q1224" s="1" t="s">
        <v>42</v>
      </c>
      <c r="R1224" s="11">
        <v>45897</v>
      </c>
      <c r="S1224" s="1">
        <v>5</v>
      </c>
    </row>
    <row r="1225" ht="30" customHeight="1" spans="1:19" x14ac:dyDescent="0.25">
      <c r="A1225" s="1" t="s">
        <v>3699</v>
      </c>
      <c r="B1225" s="1">
        <v>2025</v>
      </c>
      <c r="C1225" s="2" t="s">
        <v>91</v>
      </c>
      <c r="D1225" s="1" t="s">
        <v>25</v>
      </c>
      <c r="E1225" s="1">
        <v>433069</v>
      </c>
      <c r="F1225" s="1" t="s">
        <v>27</v>
      </c>
      <c r="G1225" s="11">
        <v>45902</v>
      </c>
      <c r="H1225" s="11" t="s">
        <v>28</v>
      </c>
      <c r="I1225" s="2" t="s">
        <v>3700</v>
      </c>
      <c r="J1225" s="2" t="s">
        <v>377</v>
      </c>
      <c r="K1225" s="12">
        <v>0.020833333332120674</v>
      </c>
      <c r="L1225" s="12">
        <v>0.0625</v>
      </c>
      <c r="M1225" s="13">
        <v>0.08333333333212067</v>
      </c>
      <c r="O1225" s="1" t="s">
        <v>378</v>
      </c>
      <c r="P1225" s="1" t="s">
        <v>379</v>
      </c>
      <c r="Q1225" s="1" t="s">
        <v>47</v>
      </c>
      <c r="R1225" s="11">
        <v>45902</v>
      </c>
      <c r="S1225" s="1">
        <v>5</v>
      </c>
    </row>
    <row r="1226" ht="60" customHeight="1" spans="1:19" x14ac:dyDescent="0.25">
      <c r="A1226" s="1" t="s">
        <v>3699</v>
      </c>
      <c r="B1226" s="1">
        <v>2025</v>
      </c>
      <c r="C1226" s="2" t="s">
        <v>185</v>
      </c>
      <c r="D1226" s="1" t="s">
        <v>186</v>
      </c>
      <c r="E1226" s="1">
        <v>431601</v>
      </c>
      <c r="F1226" s="1" t="s">
        <v>27</v>
      </c>
      <c r="G1226" s="11">
        <v>45908</v>
      </c>
      <c r="H1226" s="11" t="s">
        <v>3570</v>
      </c>
      <c r="I1226" s="2" t="s">
        <v>3701</v>
      </c>
      <c r="J1226" s="2" t="s">
        <v>3701</v>
      </c>
      <c r="K1226" s="12">
        <v>0.03125</v>
      </c>
      <c r="L1226" s="12">
        <v>0.041666666667879326</v>
      </c>
      <c r="M1226" s="13">
        <v>0.07291666666787933</v>
      </c>
      <c r="O1226" s="1" t="s">
        <v>31</v>
      </c>
      <c r="P1226" s="1" t="s">
        <v>240</v>
      </c>
      <c r="Q1226" s="1" t="s">
        <v>47</v>
      </c>
      <c r="R1226" s="11">
        <v>45908</v>
      </c>
      <c r="S1226" s="1">
        <v>5</v>
      </c>
    </row>
    <row r="1227" spans="1:19" x14ac:dyDescent="0.25">
      <c r="A1227" s="1" t="s">
        <v>3699</v>
      </c>
      <c r="B1227" s="1">
        <v>2025</v>
      </c>
      <c r="C1227" s="2" t="s">
        <v>65</v>
      </c>
      <c r="D1227" s="1" t="s">
        <v>25</v>
      </c>
      <c r="E1227" s="1">
        <v>434177</v>
      </c>
      <c r="F1227" s="1" t="s">
        <v>27</v>
      </c>
      <c r="G1227" s="11">
        <v>45911</v>
      </c>
      <c r="H1227" s="11" t="s">
        <v>28</v>
      </c>
      <c r="I1227" s="2" t="s">
        <v>383</v>
      </c>
      <c r="J1227" s="2" t="s">
        <v>384</v>
      </c>
      <c r="K1227" s="12">
        <v>0.020833333332120674</v>
      </c>
      <c r="L1227" s="12">
        <v>0.041666666667879326</v>
      </c>
      <c r="M1227" s="13">
        <v>0.0625</v>
      </c>
      <c r="O1227" s="1" t="s">
        <v>385</v>
      </c>
      <c r="P1227" s="1" t="s">
        <v>240</v>
      </c>
      <c r="Q1227" s="1" t="s">
        <v>47</v>
      </c>
      <c r="R1227" s="11">
        <v>45911</v>
      </c>
      <c r="S1227" s="1">
        <v>5</v>
      </c>
    </row>
    <row r="1228" ht="105" customHeight="1" spans="1:19" x14ac:dyDescent="0.25">
      <c r="A1228" s="1" t="s">
        <v>3699</v>
      </c>
      <c r="B1228" s="1">
        <v>2025</v>
      </c>
      <c r="C1228" s="2" t="s">
        <v>146</v>
      </c>
      <c r="D1228" s="1" t="s">
        <v>147</v>
      </c>
      <c r="E1228" s="1">
        <v>433308</v>
      </c>
      <c r="F1228" s="1" t="s">
        <v>27</v>
      </c>
      <c r="G1228" s="11">
        <v>45912</v>
      </c>
      <c r="H1228" s="11" t="s">
        <v>820</v>
      </c>
      <c r="I1228" s="2" t="s">
        <v>3702</v>
      </c>
      <c r="J1228" s="2" t="s">
        <v>3703</v>
      </c>
      <c r="K1228" s="12">
        <v>0.020833333332120674</v>
      </c>
      <c r="L1228" s="12">
        <v>0.03472222222262644</v>
      </c>
      <c r="M1228" s="13">
        <v>0.055555555554747116</v>
      </c>
      <c r="O1228" s="1" t="s">
        <v>53</v>
      </c>
      <c r="P1228" s="1" t="s">
        <v>240</v>
      </c>
      <c r="Q1228" s="1" t="s">
        <v>47</v>
      </c>
      <c r="R1228" s="11">
        <v>45912</v>
      </c>
      <c r="S1228" s="1">
        <v>5</v>
      </c>
    </row>
    <row r="1229" ht="60" customHeight="1" spans="1:19" x14ac:dyDescent="0.25">
      <c r="A1229" s="1" t="s">
        <v>3699</v>
      </c>
      <c r="B1229" s="1">
        <v>2025</v>
      </c>
      <c r="C1229" s="2" t="s">
        <v>308</v>
      </c>
      <c r="D1229" s="1" t="s">
        <v>309</v>
      </c>
      <c r="E1229" s="1">
        <v>422029</v>
      </c>
      <c r="F1229" s="1" t="s">
        <v>37</v>
      </c>
      <c r="G1229" s="11">
        <v>45913</v>
      </c>
      <c r="H1229" s="11" t="s">
        <v>28</v>
      </c>
      <c r="I1229" s="2" t="s">
        <v>3704</v>
      </c>
      <c r="J1229" s="2" t="s">
        <v>3704</v>
      </c>
      <c r="K1229" s="12">
        <v>0.020833333332120674</v>
      </c>
      <c r="L1229" s="12">
        <v>0.03472222222262644</v>
      </c>
      <c r="M1229" s="13">
        <v>0.055555555554747116</v>
      </c>
      <c r="O1229" s="1" t="s">
        <v>31</v>
      </c>
      <c r="P1229" s="1" t="s">
        <v>32</v>
      </c>
      <c r="Q1229" s="1" t="s">
        <v>42</v>
      </c>
      <c r="R1229" s="11">
        <v>45913</v>
      </c>
      <c r="S1229" s="1">
        <v>5</v>
      </c>
    </row>
    <row r="1230" ht="165" customHeight="1" spans="1:19" x14ac:dyDescent="0.25">
      <c r="A1230" s="1" t="s">
        <v>3699</v>
      </c>
      <c r="B1230" s="1">
        <v>2025</v>
      </c>
      <c r="C1230" s="2" t="s">
        <v>35</v>
      </c>
      <c r="D1230" s="1" t="s">
        <v>25</v>
      </c>
      <c r="E1230" s="1">
        <v>433679</v>
      </c>
      <c r="F1230" s="1" t="s">
        <v>27</v>
      </c>
      <c r="G1230" s="11">
        <v>45916</v>
      </c>
      <c r="H1230" s="11" t="s">
        <v>3570</v>
      </c>
      <c r="I1230" s="2" t="s">
        <v>391</v>
      </c>
      <c r="J1230" s="2" t="s">
        <v>3705</v>
      </c>
      <c r="K1230" s="12">
        <v>0.041666666667879326</v>
      </c>
      <c r="L1230" s="12">
        <v>0.04513888889050577</v>
      </c>
      <c r="M1230" s="13">
        <v>0.08680555555474712</v>
      </c>
      <c r="O1230" s="1" t="s">
        <v>31</v>
      </c>
      <c r="P1230" s="1" t="s">
        <v>32</v>
      </c>
      <c r="Q1230" s="1" t="s">
        <v>42</v>
      </c>
      <c r="R1230" s="11">
        <v>45916</v>
      </c>
      <c r="S1230" s="1">
        <v>5</v>
      </c>
    </row>
    <row r="1231" ht="120" customHeight="1" spans="1:19" x14ac:dyDescent="0.25">
      <c r="A1231" s="1" t="s">
        <v>3699</v>
      </c>
      <c r="B1231" s="1">
        <v>2025</v>
      </c>
      <c r="C1231" s="2" t="s">
        <v>77</v>
      </c>
      <c r="D1231" s="1" t="s">
        <v>78</v>
      </c>
      <c r="E1231" s="1">
        <v>429124</v>
      </c>
      <c r="F1231" s="1" t="s">
        <v>37</v>
      </c>
      <c r="G1231" s="11">
        <v>45917</v>
      </c>
      <c r="H1231" s="11" t="s">
        <v>28</v>
      </c>
      <c r="I1231" s="2" t="s">
        <v>3706</v>
      </c>
      <c r="J1231" s="2" t="s">
        <v>3707</v>
      </c>
      <c r="K1231" s="12">
        <v>0.03125</v>
      </c>
      <c r="L1231" s="12">
        <v>0.06944444444525288</v>
      </c>
      <c r="M1231" s="13">
        <v>0.10069444444525288</v>
      </c>
      <c r="O1231" s="1" t="s">
        <v>31</v>
      </c>
      <c r="P1231" s="1" t="s">
        <v>240</v>
      </c>
      <c r="Q1231" s="1" t="s">
        <v>42</v>
      </c>
      <c r="R1231" s="11">
        <v>45917</v>
      </c>
      <c r="S1231" s="1">
        <v>5</v>
      </c>
    </row>
    <row r="1232" spans="1:19" x14ac:dyDescent="0.25">
      <c r="A1232" s="1" t="s">
        <v>3699</v>
      </c>
      <c r="B1232" s="1">
        <v>2025</v>
      </c>
      <c r="C1232" s="2" t="s">
        <v>334</v>
      </c>
      <c r="D1232" s="1" t="s">
        <v>3687</v>
      </c>
      <c r="E1232" s="1">
        <v>435336</v>
      </c>
      <c r="F1232" s="1" t="s">
        <v>37</v>
      </c>
      <c r="G1232" s="11">
        <v>45924</v>
      </c>
      <c r="H1232" s="11" t="s">
        <v>3571</v>
      </c>
      <c r="I1232" s="2" t="s">
        <v>396</v>
      </c>
      <c r="J1232" s="2" t="s">
        <v>396</v>
      </c>
      <c r="K1232" s="12">
        <v>0.006944444445252884</v>
      </c>
      <c r="L1232" s="12">
        <v>0.020833333332120674</v>
      </c>
      <c r="M1232" s="13">
        <v>0.027777777777373558</v>
      </c>
      <c r="O1232" s="1" t="s">
        <v>240</v>
      </c>
      <c r="P1232" s="1" t="s">
        <v>32</v>
      </c>
      <c r="Q1232" s="1" t="s">
        <v>42</v>
      </c>
      <c r="R1232" s="11">
        <v>45924</v>
      </c>
      <c r="S1232" s="1">
        <v>5</v>
      </c>
    </row>
    <row r="1233" spans="1:19" x14ac:dyDescent="0.25">
      <c r="A1233" s="1" t="s">
        <v>3699</v>
      </c>
      <c r="B1233" s="1">
        <v>2025</v>
      </c>
      <c r="C1233" s="2" t="s">
        <v>65</v>
      </c>
      <c r="D1233" s="1" t="s">
        <v>25</v>
      </c>
      <c r="E1233" s="1">
        <v>435939</v>
      </c>
      <c r="F1233" s="1" t="s">
        <v>27</v>
      </c>
      <c r="G1233" s="11">
        <v>45925</v>
      </c>
      <c r="H1233" s="11" t="s">
        <v>28</v>
      </c>
      <c r="I1233" s="2" t="s">
        <v>398</v>
      </c>
      <c r="J1233" s="2" t="s">
        <v>398</v>
      </c>
      <c r="K1233" s="12">
        <v>0.020833333332120674</v>
      </c>
      <c r="L1233" s="12">
        <v>0.041666666667879326</v>
      </c>
      <c r="M1233" s="13">
        <v>0.0625</v>
      </c>
      <c r="O1233" s="1" t="s">
        <v>378</v>
      </c>
      <c r="P1233" s="1" t="s">
        <v>379</v>
      </c>
      <c r="Q1233" s="1" t="s">
        <v>47</v>
      </c>
      <c r="R1233" s="11">
        <v>45925</v>
      </c>
      <c r="S1233" s="1">
        <v>5</v>
      </c>
    </row>
    <row r="1234" spans="1:19" x14ac:dyDescent="0.25">
      <c r="A1234" s="1" t="s">
        <v>3708</v>
      </c>
      <c r="B1234" s="1">
        <v>2025</v>
      </c>
      <c r="C1234" s="2" t="s">
        <v>60</v>
      </c>
      <c r="D1234" s="1" t="s">
        <v>61</v>
      </c>
      <c r="E1234" s="1">
        <v>435183</v>
      </c>
      <c r="F1234" s="1" t="s">
        <v>37</v>
      </c>
      <c r="G1234" s="11">
        <v>45938</v>
      </c>
      <c r="H1234" s="11" t="s">
        <v>80</v>
      </c>
      <c r="I1234" s="2" t="s">
        <v>3710</v>
      </c>
      <c r="J1234" s="2" t="s">
        <v>3710</v>
      </c>
      <c r="K1234" s="12">
        <v>0.006944444445252884</v>
      </c>
      <c r="L1234" s="12">
        <v>0.020833333332120674</v>
      </c>
      <c r="M1234" s="13">
        <v>0.027777777777373558</v>
      </c>
      <c r="O1234" s="1" t="s">
        <v>240</v>
      </c>
      <c r="P1234" s="1" t="s">
        <v>32</v>
      </c>
      <c r="Q1234" s="1" t="s">
        <v>47</v>
      </c>
      <c r="R1234" s="11">
        <v>45938</v>
      </c>
      <c r="S1234" s="1">
        <v>5</v>
      </c>
    </row>
    <row r="1235" ht="120" customHeight="1" spans="1:19" x14ac:dyDescent="0.25">
      <c r="A1235" s="1" t="s">
        <v>3708</v>
      </c>
      <c r="B1235" s="1">
        <v>2025</v>
      </c>
      <c r="C1235" s="2" t="s">
        <v>288</v>
      </c>
      <c r="D1235" s="1" t="s">
        <v>289</v>
      </c>
      <c r="E1235" s="1">
        <v>438264</v>
      </c>
      <c r="F1235" s="1" t="s">
        <v>27</v>
      </c>
      <c r="G1235" s="11">
        <v>45946</v>
      </c>
      <c r="H1235" s="11" t="s">
        <v>3570</v>
      </c>
      <c r="I1235" s="2" t="s">
        <v>3711</v>
      </c>
      <c r="J1235" s="2" t="s">
        <v>3712</v>
      </c>
      <c r="K1235" s="12">
        <v>0.020833333332120674</v>
      </c>
      <c r="L1235" s="12">
        <v>0.020833333332120674</v>
      </c>
      <c r="M1235" s="13">
        <v>0.041666666667879326</v>
      </c>
      <c r="O1235" s="1" t="s">
        <v>53</v>
      </c>
      <c r="P1235" s="1" t="s">
        <v>32</v>
      </c>
      <c r="Q1235" s="1" t="s">
        <v>112</v>
      </c>
      <c r="R1235" s="11">
        <v>45946</v>
      </c>
      <c r="S1235" s="1">
        <v>5</v>
      </c>
    </row>
    <row r="1236" spans="1:19" x14ac:dyDescent="0.25">
      <c r="A1236" s="1" t="s">
        <v>3708</v>
      </c>
      <c r="B1236" s="1">
        <v>2025</v>
      </c>
      <c r="C1236" s="2" t="s">
        <v>406</v>
      </c>
      <c r="D1236" s="1" t="s">
        <v>78</v>
      </c>
      <c r="E1236" s="1">
        <v>438870</v>
      </c>
      <c r="F1236" s="1" t="s">
        <v>37</v>
      </c>
      <c r="G1236" s="14">
        <v>45951</v>
      </c>
      <c r="H1236" s="11" t="s">
        <v>80</v>
      </c>
      <c r="I1236" s="2" t="s">
        <v>3713</v>
      </c>
      <c r="J1236" s="2" t="s">
        <v>3714</v>
      </c>
      <c r="K1236" s="12">
        <v>0.010416666667879326</v>
      </c>
      <c r="L1236" s="12">
        <v>0.027777777777373558</v>
      </c>
      <c r="M1236" s="13">
        <v>0.038194444445252884</v>
      </c>
      <c r="O1236" s="1" t="s">
        <v>240</v>
      </c>
      <c r="P1236" s="1" t="s">
        <v>32</v>
      </c>
      <c r="Q1236" s="1" t="s">
        <v>42</v>
      </c>
      <c r="R1236" s="11">
        <v>45951</v>
      </c>
      <c r="S1236" s="1">
        <v>5</v>
      </c>
    </row>
    <row r="1237" ht="45" customHeight="1" spans="1:19" x14ac:dyDescent="0.25">
      <c r="A1237" s="1" t="s">
        <v>3708</v>
      </c>
      <c r="B1237" s="1">
        <v>2025</v>
      </c>
      <c r="C1237" s="2" t="s">
        <v>411</v>
      </c>
      <c r="D1237" s="1" t="s">
        <v>78</v>
      </c>
      <c r="E1237" s="1">
        <v>438743</v>
      </c>
      <c r="F1237" s="1" t="s">
        <v>27</v>
      </c>
      <c r="G1237" s="1" t="s">
        <v>27</v>
      </c>
      <c r="H1237" s="11" t="s">
        <v>74</v>
      </c>
      <c r="I1237" s="2" t="s">
        <v>3715</v>
      </c>
      <c r="J1237" s="2" t="s">
        <v>3715</v>
      </c>
      <c r="K1237" s="12">
        <v>0.020833333332120674</v>
      </c>
      <c r="L1237" s="12">
        <v>0.052083333332120674</v>
      </c>
      <c r="M1237" s="13">
        <v>0.07291666666787933</v>
      </c>
      <c r="O1237" s="1" t="s">
        <v>31</v>
      </c>
      <c r="P1237" s="1" t="s">
        <v>240</v>
      </c>
      <c r="Q1237" s="1" t="s">
        <v>42</v>
      </c>
      <c r="R1237" s="11">
        <v>45951</v>
      </c>
      <c r="S1237" s="1">
        <v>5</v>
      </c>
    </row>
    <row r="1238" spans="1:19" x14ac:dyDescent="0.25">
      <c r="A1238" s="1" t="s">
        <v>3708</v>
      </c>
      <c r="B1238" s="1">
        <v>2025</v>
      </c>
      <c r="C1238" s="2" t="s">
        <v>258</v>
      </c>
      <c r="D1238" s="1" t="s">
        <v>25</v>
      </c>
      <c r="E1238" s="1">
        <v>435333</v>
      </c>
      <c r="F1238" s="1" t="s">
        <v>27</v>
      </c>
      <c r="G1238" s="11">
        <v>45947</v>
      </c>
      <c r="H1238" s="11" t="s">
        <v>28</v>
      </c>
      <c r="I1238" s="2" t="s">
        <v>417</v>
      </c>
      <c r="J1238" s="2" t="s">
        <v>417</v>
      </c>
      <c r="K1238" s="12">
        <v>0.03472222222262644</v>
      </c>
      <c r="L1238" s="12">
        <v>0.03472222222262644</v>
      </c>
      <c r="M1238" s="13">
        <v>0.06944444444525288</v>
      </c>
      <c r="N1238" s="12"/>
      <c r="O1238" s="1" t="s">
        <v>378</v>
      </c>
      <c r="P1238" s="1" t="s">
        <v>240</v>
      </c>
      <c r="Q1238" s="1" t="s">
        <v>42</v>
      </c>
      <c r="R1238" s="11">
        <v>45951</v>
      </c>
      <c r="S1238" s="1">
        <v>5</v>
      </c>
    </row>
    <row r="1239" ht="90" customHeight="1" spans="1:19" x14ac:dyDescent="0.25">
      <c r="A1239" s="1" t="s">
        <v>3708</v>
      </c>
      <c r="B1239" s="1">
        <v>2025</v>
      </c>
      <c r="C1239" s="2" t="s">
        <v>284</v>
      </c>
      <c r="D1239" s="1" t="s">
        <v>285</v>
      </c>
      <c r="E1239" s="1">
        <v>436074</v>
      </c>
      <c r="F1239" s="1" t="s">
        <v>27</v>
      </c>
      <c r="G1239" s="11">
        <v>45954</v>
      </c>
      <c r="H1239" s="11" t="s">
        <v>28</v>
      </c>
      <c r="I1239" s="2" t="s">
        <v>4725</v>
      </c>
      <c r="J1239" s="2" t="s">
        <v>4725</v>
      </c>
      <c r="K1239" s="12">
        <v>0.09375</v>
      </c>
      <c r="L1239" s="12"/>
      <c r="M1239" s="13">
        <v>0.09375</v>
      </c>
      <c r="O1239" s="1" t="s">
        <v>31</v>
      </c>
      <c r="P1239" s="1" t="s">
        <v>240</v>
      </c>
      <c r="Q1239" s="1" t="s">
        <v>47</v>
      </c>
      <c r="R1239" s="11">
        <v>45954</v>
      </c>
      <c r="S1239" s="1">
        <v>4</v>
      </c>
    </row>
    <row r="1240" spans="1:19" x14ac:dyDescent="0.25">
      <c r="A1240" s="1" t="s">
        <v>3708</v>
      </c>
      <c r="B1240" s="1">
        <v>2025</v>
      </c>
      <c r="C1240" s="2" t="s">
        <v>199</v>
      </c>
      <c r="D1240" s="1" t="s">
        <v>200</v>
      </c>
      <c r="E1240" s="1">
        <v>436723</v>
      </c>
      <c r="F1240" s="1" t="s">
        <v>37</v>
      </c>
      <c r="G1240" s="11">
        <v>45957</v>
      </c>
      <c r="H1240" s="11" t="s">
        <v>3570</v>
      </c>
      <c r="I1240" s="2" t="s">
        <v>422</v>
      </c>
      <c r="J1240" s="2" t="s">
        <v>422</v>
      </c>
      <c r="K1240" s="12">
        <v>0.041666666667879326</v>
      </c>
      <c r="L1240" s="12">
        <v>0.041666666667879326</v>
      </c>
      <c r="M1240" s="13">
        <v>0.08333333333212067</v>
      </c>
      <c r="O1240" s="1" t="s">
        <v>385</v>
      </c>
      <c r="P1240" s="1" t="s">
        <v>32</v>
      </c>
      <c r="Q1240" s="1" t="s">
        <v>42</v>
      </c>
      <c r="R1240" s="11">
        <v>45957</v>
      </c>
      <c r="S1240" s="1">
        <v>5</v>
      </c>
    </row>
    <row r="1241" ht="30" customHeight="1" spans="1:19" x14ac:dyDescent="0.25">
      <c r="A1241" s="1" t="s">
        <v>3708</v>
      </c>
      <c r="B1241" s="1">
        <v>2025</v>
      </c>
      <c r="C1241" s="2" t="s">
        <v>113</v>
      </c>
      <c r="D1241" s="1" t="s">
        <v>3573</v>
      </c>
      <c r="E1241" s="1">
        <v>432492</v>
      </c>
      <c r="F1241" s="1" t="s">
        <v>37</v>
      </c>
      <c r="G1241" s="11">
        <v>45958</v>
      </c>
      <c r="H1241" s="11" t="s">
        <v>424</v>
      </c>
      <c r="I1241" s="2" t="s">
        <v>3574</v>
      </c>
      <c r="J1241" s="2" t="s">
        <v>3722</v>
      </c>
      <c r="K1241" s="12">
        <v>0.013888888890505768</v>
      </c>
      <c r="L1241" s="12">
        <v>0.03125</v>
      </c>
      <c r="M1241" s="13">
        <v>0.04513888889050577</v>
      </c>
      <c r="O1241" s="1" t="s">
        <v>385</v>
      </c>
      <c r="P1241" s="1" t="s">
        <v>240</v>
      </c>
      <c r="Q1241" s="1" t="s">
        <v>47</v>
      </c>
      <c r="R1241" s="11">
        <v>45958</v>
      </c>
      <c r="S1241" s="1">
        <v>4</v>
      </c>
    </row>
  </sheetData>
  <hyperlinks>
    <hyperlink ref="I444" r:id="rId1"/>
    <hyperlink ref="E1107" r:id="rId2"/>
    <hyperlink ref="E1109" r:id="rId3"/>
  </hyperlinks>
  <pageMargins left="0.7" right="0.7" top="0.75" bottom="0.75" header="0.3" footer="0.3"/>
  <pageSetup paperSize="9" orientation="portrait" horizontalDpi="4294967295" verticalDpi="4294967295" scale="100" fitToWidth="1" fitToHeight="1" firstPageNumber="1" useFirstPageNumber="1" copies="1"/>
  <tableParts count="1">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55"/>
  <sheetViews>
    <sheetView workbookViewId="0" zoomScale="100" zoomScaleNormal="100">
      <selection activeCell="A2" sqref="A2"/>
    </sheetView>
  </sheetViews>
  <sheetFormatPr defaultRowHeight="15" outlineLevelRow="0" outlineLevelCol="0" x14ac:dyDescent="0.25" defaultColWidth="9.140625"/>
  <cols>
    <col min="1" max="1" width="10.85546875" style="1" customWidth="1"/>
    <col min="2" max="2" width="24.7109375" style="2" customWidth="1"/>
    <col min="3" max="3" width="13.5703125" style="1" customWidth="1"/>
    <col min="4" max="4" width="13.140625" style="1" customWidth="1"/>
    <col min="5" max="5" width="13.28515625" style="1" customWidth="1"/>
    <col min="6" max="6" width="14.85546875" style="1" customWidth="1"/>
    <col min="7" max="7" width="13.28515625" style="1" customWidth="1"/>
    <col min="8" max="8" width="43.85546875" customWidth="1"/>
    <col min="9" max="9" width="43.85546875" style="2" customWidth="1"/>
    <col min="10" max="10" width="13.85546875" style="2" customWidth="1"/>
    <col min="11" max="11" width="17.28515625" style="1" customWidth="1"/>
    <col min="12" max="12" width="10.28515625" style="1" customWidth="1"/>
    <col min="13" max="13" width="6.42578125" style="1" customWidth="1"/>
    <col min="14" max="14" width="13.28515625" style="1" customWidth="1"/>
    <col min="15" max="15" width="15" style="1" customWidth="1"/>
    <col min="16" max="16" width="15.5703125" style="1" customWidth="1"/>
    <col min="17" max="17" width="13.28515625" style="1" customWidth="1"/>
    <col min="18" max="18" width="8.85546875" style="1" customWidth="1"/>
    <col min="19" max="19" width="11" style="1" customWidth="1"/>
    <col min="20" max="16384" width="9.140625" style="1" customWidth="1"/>
  </cols>
  <sheetData>
    <row r="1" spans="1:20" x14ac:dyDescent="0.25">
      <c r="A1" s="3" t="s">
        <v>3575</v>
      </c>
      <c r="B1" s="4"/>
      <c r="C1" s="4"/>
      <c r="D1" s="4"/>
      <c r="E1" s="4"/>
      <c r="F1" s="4"/>
      <c r="G1" s="4"/>
      <c r="H1" s="5"/>
      <c r="I1" s="5"/>
      <c r="J1" s="4"/>
      <c r="K1" s="4"/>
      <c r="L1" s="4"/>
      <c r="M1" s="4"/>
      <c r="N1" s="4"/>
      <c r="O1" s="4"/>
      <c r="P1" s="4"/>
      <c r="Q1" s="4"/>
      <c r="R1" s="6"/>
      <c r="S1" s="6"/>
      <c r="T1" s="6"/>
    </row>
    <row r="2" ht="45" customHeight="1" spans="1:20" x14ac:dyDescent="0.25">
      <c r="A2" s="7" t="s">
        <v>1</v>
      </c>
      <c r="B2" s="7" t="s">
        <v>2</v>
      </c>
      <c r="C2" s="7" t="s">
        <v>3</v>
      </c>
      <c r="D2" s="7" t="s">
        <v>4</v>
      </c>
      <c r="E2" s="7" t="s">
        <v>5</v>
      </c>
      <c r="F2" s="7" t="s">
        <v>6</v>
      </c>
      <c r="G2" s="7" t="s">
        <v>7</v>
      </c>
      <c r="H2" s="7" t="s">
        <v>8</v>
      </c>
      <c r="I2" s="7" t="s">
        <v>9</v>
      </c>
      <c r="J2" s="7" t="s">
        <v>10</v>
      </c>
      <c r="K2" s="7" t="s">
        <v>11</v>
      </c>
      <c r="L2" s="7" t="s">
        <v>12</v>
      </c>
      <c r="M2" s="7" t="s">
        <v>13</v>
      </c>
      <c r="N2" s="7" t="s">
        <v>14</v>
      </c>
      <c r="O2" s="7" t="s">
        <v>15</v>
      </c>
      <c r="P2" s="7" t="s">
        <v>16</v>
      </c>
      <c r="Q2" s="7" t="s">
        <v>17</v>
      </c>
      <c r="R2" s="8" t="s">
        <v>18</v>
      </c>
      <c r="S2" s="9" t="s">
        <v>19</v>
      </c>
      <c r="T2" s="10" t="s">
        <v>20</v>
      </c>
    </row>
    <row r="3" ht="285" customHeight="1" spans="1:18" x14ac:dyDescent="0.25">
      <c r="A3" s="1" t="s">
        <v>3576</v>
      </c>
      <c r="B3" s="2" t="s">
        <v>35</v>
      </c>
      <c r="C3" s="1" t="s">
        <v>25</v>
      </c>
      <c r="D3" s="1">
        <v>404752</v>
      </c>
      <c r="E3" s="1" t="s">
        <v>37</v>
      </c>
      <c r="F3" s="11">
        <v>45660</v>
      </c>
      <c r="G3" s="11" t="s">
        <v>38</v>
      </c>
      <c r="H3" s="2" t="s">
        <v>3577</v>
      </c>
      <c r="I3" s="2" t="s">
        <v>3578</v>
      </c>
      <c r="J3" s="12">
        <v>0.041666666667879326</v>
      </c>
      <c r="K3" s="12">
        <v>0.06944444444525288</v>
      </c>
      <c r="L3" s="13">
        <f>CRF_3[[#This Row],[Time Spent on Configuration]]+CRF_3[[#This Row],[Time Spent on Review/Testing]]</f>
        <v>0.11111111110949423</v>
      </c>
      <c r="N3" s="1" t="s">
        <v>31</v>
      </c>
      <c r="O3" s="1" t="s">
        <v>41</v>
      </c>
      <c r="P3" s="1" t="s">
        <v>42</v>
      </c>
      <c r="Q3" s="11">
        <v>45660</v>
      </c>
      <c r="R3" s="1">
        <v>5</v>
      </c>
    </row>
    <row r="4" ht="210" customHeight="1" spans="1:18" x14ac:dyDescent="0.25">
      <c r="A4" s="1" t="s">
        <v>3576</v>
      </c>
      <c r="B4" s="2" t="s">
        <v>43</v>
      </c>
      <c r="C4" s="1" t="s">
        <v>44</v>
      </c>
      <c r="D4" s="15" t="s">
        <v>45</v>
      </c>
      <c r="E4" s="1" t="s">
        <v>37</v>
      </c>
      <c r="F4" s="11">
        <v>45663</v>
      </c>
      <c r="G4" s="11" t="s">
        <v>28</v>
      </c>
      <c r="H4" s="2" t="s">
        <v>3579</v>
      </c>
      <c r="I4" s="2" t="s">
        <v>3579</v>
      </c>
      <c r="J4" s="12">
        <v>0.041666666667879326</v>
      </c>
      <c r="K4" s="12">
        <v>0.041666666667879326</v>
      </c>
      <c r="L4" s="13">
        <f>CRF_3[[#This Row],[Time Spent on Configuration]]+CRF_3[[#This Row],[Time Spent on Review/Testing]]</f>
        <v>0.08333333333212067</v>
      </c>
      <c r="N4" s="1" t="s">
        <v>31</v>
      </c>
      <c r="O4" s="1" t="s">
        <v>32</v>
      </c>
      <c r="P4" s="1" t="s">
        <v>47</v>
      </c>
      <c r="Q4" s="11">
        <v>45663</v>
      </c>
      <c r="R4" s="1">
        <v>5</v>
      </c>
    </row>
    <row r="5" ht="45" customHeight="1" spans="1:18" x14ac:dyDescent="0.25">
      <c r="A5" s="1" t="s">
        <v>3576</v>
      </c>
      <c r="B5" s="2" t="s">
        <v>48</v>
      </c>
      <c r="C5" s="1" t="s">
        <v>25</v>
      </c>
      <c r="D5" s="1">
        <v>405176</v>
      </c>
      <c r="E5" s="1" t="s">
        <v>37</v>
      </c>
      <c r="F5" s="11">
        <v>45664</v>
      </c>
      <c r="G5" s="11" t="s">
        <v>50</v>
      </c>
      <c r="H5" s="2" t="s">
        <v>3580</v>
      </c>
      <c r="I5" s="2" t="s">
        <v>52</v>
      </c>
      <c r="J5" s="12">
        <v>0.020833333332120674</v>
      </c>
      <c r="K5" s="12">
        <v>0.041666666667879326</v>
      </c>
      <c r="L5" s="13">
        <f>CRF_3[[#This Row],[Time Spent on Configuration]]+CRF_3[[#This Row],[Time Spent on Review/Testing]]</f>
        <v>0.0625</v>
      </c>
      <c r="N5" s="1" t="s">
        <v>53</v>
      </c>
      <c r="O5" s="1" t="s">
        <v>54</v>
      </c>
      <c r="P5" s="1" t="s">
        <v>47</v>
      </c>
      <c r="Q5" s="11">
        <v>45664</v>
      </c>
      <c r="R5" s="1">
        <v>5</v>
      </c>
    </row>
    <row r="6" ht="255" customHeight="1" spans="1:18" x14ac:dyDescent="0.25">
      <c r="A6" s="1" t="s">
        <v>3576</v>
      </c>
      <c r="B6" s="2" t="s">
        <v>43</v>
      </c>
      <c r="C6" s="1" t="s">
        <v>44</v>
      </c>
      <c r="D6" s="15" t="s">
        <v>55</v>
      </c>
      <c r="E6" s="1" t="s">
        <v>37</v>
      </c>
      <c r="F6" s="11">
        <v>45667</v>
      </c>
      <c r="G6" s="11" t="s">
        <v>28</v>
      </c>
      <c r="H6" s="16" t="s">
        <v>3581</v>
      </c>
      <c r="I6" s="16" t="s">
        <v>3581</v>
      </c>
      <c r="J6" s="12">
        <v>0.041666666667879326</v>
      </c>
      <c r="K6" s="12">
        <v>0</v>
      </c>
      <c r="L6" s="13">
        <f>CRF_3[[#This Row],[Time Spent on Configuration]]+CRF_3[[#This Row],[Time Spent on Review/Testing]]</f>
        <v>0.041666666667879326</v>
      </c>
      <c r="N6" s="1" t="s">
        <v>31</v>
      </c>
      <c r="O6" s="1" t="s">
        <v>32</v>
      </c>
      <c r="P6" s="1" t="s">
        <v>47</v>
      </c>
      <c r="Q6" s="11">
        <v>45667</v>
      </c>
      <c r="R6" s="1">
        <v>5</v>
      </c>
    </row>
    <row r="7" ht="120" customHeight="1" spans="1:18" x14ac:dyDescent="0.25">
      <c r="A7" s="1" t="s">
        <v>3576</v>
      </c>
      <c r="B7" s="2" t="s">
        <v>43</v>
      </c>
      <c r="C7" s="1" t="s">
        <v>44</v>
      </c>
      <c r="D7" s="1">
        <v>405845</v>
      </c>
      <c r="E7" s="1" t="s">
        <v>27</v>
      </c>
      <c r="F7" s="11">
        <v>45672</v>
      </c>
      <c r="G7" s="11" t="s">
        <v>50</v>
      </c>
      <c r="H7" s="2" t="s">
        <v>3582</v>
      </c>
      <c r="I7" s="2" t="s">
        <v>59</v>
      </c>
      <c r="J7" s="12">
        <v>0.020833333332120674</v>
      </c>
      <c r="K7" s="12">
        <v>0.027777777777373558</v>
      </c>
      <c r="L7" s="13">
        <f>CRF_3[[#This Row],[Time Spent on Configuration]]+CRF_3[[#This Row],[Time Spent on Review/Testing]]</f>
        <v>0.04861111110949423</v>
      </c>
      <c r="N7" s="1" t="s">
        <v>53</v>
      </c>
      <c r="O7" s="1" t="s">
        <v>32</v>
      </c>
      <c r="P7" s="1" t="s">
        <v>47</v>
      </c>
      <c r="Q7" s="11">
        <v>45672</v>
      </c>
      <c r="R7" s="1">
        <v>5</v>
      </c>
    </row>
    <row r="8" ht="75" customHeight="1" spans="1:18" x14ac:dyDescent="0.25">
      <c r="A8" s="1" t="s">
        <v>3576</v>
      </c>
      <c r="B8" s="2" t="s">
        <v>60</v>
      </c>
      <c r="C8" s="1" t="s">
        <v>61</v>
      </c>
      <c r="D8" s="1">
        <v>405831</v>
      </c>
      <c r="E8" s="1" t="s">
        <v>37</v>
      </c>
      <c r="F8" s="11">
        <v>45672</v>
      </c>
      <c r="G8" s="11" t="s">
        <v>50</v>
      </c>
      <c r="H8" s="2" t="s">
        <v>63</v>
      </c>
      <c r="I8" s="2" t="s">
        <v>64</v>
      </c>
      <c r="J8" s="12">
        <v>0.020833333332120674</v>
      </c>
      <c r="K8" s="12">
        <v>0.027777777777373558</v>
      </c>
      <c r="L8" s="13">
        <f>CRF_3[[#This Row],[Time Spent on Configuration]]+CRF_3[[#This Row],[Time Spent on Review/Testing]]</f>
        <v>0.04861111110949423</v>
      </c>
      <c r="N8" s="1" t="s">
        <v>53</v>
      </c>
      <c r="O8" s="1" t="s">
        <v>32</v>
      </c>
      <c r="P8" s="1" t="s">
        <v>47</v>
      </c>
      <c r="Q8" s="11">
        <v>45672</v>
      </c>
      <c r="R8" s="1">
        <v>5</v>
      </c>
    </row>
    <row r="9" ht="135" customHeight="1" spans="1:18" x14ac:dyDescent="0.25">
      <c r="A9" s="1" t="s">
        <v>3576</v>
      </c>
      <c r="B9" s="2" t="s">
        <v>65</v>
      </c>
      <c r="C9" s="1" t="s">
        <v>25</v>
      </c>
      <c r="D9" s="1">
        <v>405618</v>
      </c>
      <c r="E9" s="1" t="s">
        <v>27</v>
      </c>
      <c r="F9" s="11">
        <v>45672</v>
      </c>
      <c r="G9" s="11" t="s">
        <v>38</v>
      </c>
      <c r="H9" s="2" t="s">
        <v>67</v>
      </c>
      <c r="I9" s="2" t="s">
        <v>3583</v>
      </c>
      <c r="J9" s="12">
        <v>0.020833333332120674</v>
      </c>
      <c r="K9" s="12">
        <v>0.027777777777373558</v>
      </c>
      <c r="L9" s="13">
        <f>CRF_3[[#This Row],[Time Spent on Configuration]]+CRF_3[[#This Row],[Time Spent on Review/Testing]]</f>
        <v>0.04861111110949423</v>
      </c>
      <c r="N9" s="1" t="s">
        <v>53</v>
      </c>
      <c r="O9" s="1" t="s">
        <v>32</v>
      </c>
      <c r="P9" s="1" t="s">
        <v>47</v>
      </c>
      <c r="Q9" s="11">
        <v>45672</v>
      </c>
      <c r="R9" s="1">
        <v>5</v>
      </c>
    </row>
    <row r="10" ht="90" customHeight="1" spans="1:18" x14ac:dyDescent="0.25">
      <c r="A10" s="1" t="s">
        <v>3576</v>
      </c>
      <c r="B10" s="2" t="s">
        <v>65</v>
      </c>
      <c r="C10" s="1" t="s">
        <v>25</v>
      </c>
      <c r="D10" s="1">
        <v>406482</v>
      </c>
      <c r="E10" s="1" t="s">
        <v>37</v>
      </c>
      <c r="F10" s="11">
        <v>45674</v>
      </c>
      <c r="G10" s="11" t="s">
        <v>38</v>
      </c>
      <c r="H10" s="2" t="s">
        <v>3584</v>
      </c>
      <c r="I10" s="2" t="s">
        <v>3585</v>
      </c>
      <c r="J10" s="12">
        <v>0.013888888890505768</v>
      </c>
      <c r="K10" s="12">
        <v>0.024305555554747116</v>
      </c>
      <c r="L10" s="13">
        <f>CRF_3[[#This Row],[Time Spent on Configuration]]+CRF_3[[#This Row],[Time Spent on Review/Testing]]</f>
        <v>0.038194444445252884</v>
      </c>
      <c r="N10" s="1" t="s">
        <v>31</v>
      </c>
      <c r="O10" s="1" t="s">
        <v>41</v>
      </c>
      <c r="P10" s="1" t="s">
        <v>47</v>
      </c>
      <c r="Q10" s="11">
        <v>45674</v>
      </c>
      <c r="R10" s="1">
        <v>5</v>
      </c>
    </row>
    <row r="11" ht="270" customHeight="1" spans="1:18" x14ac:dyDescent="0.25">
      <c r="A11" s="1" t="s">
        <v>3576</v>
      </c>
      <c r="B11" s="2" t="s">
        <v>72</v>
      </c>
      <c r="C11" s="1" t="s">
        <v>44</v>
      </c>
      <c r="D11" s="1">
        <v>406833</v>
      </c>
      <c r="E11" s="1" t="s">
        <v>27</v>
      </c>
      <c r="F11" s="11">
        <v>45679</v>
      </c>
      <c r="G11" s="11" t="s">
        <v>74</v>
      </c>
      <c r="H11" s="2" t="s">
        <v>3586</v>
      </c>
      <c r="I11" s="2" t="s">
        <v>3587</v>
      </c>
      <c r="J11" s="12">
        <v>0.020833333332120674</v>
      </c>
      <c r="K11" s="12">
        <v>0.027777777777373558</v>
      </c>
      <c r="L11" s="13">
        <f>CRF_3[[#This Row],[Time Spent on Configuration]]+CRF_3[[#This Row],[Time Spent on Review/Testing]]</f>
        <v>0.04861111110949423</v>
      </c>
      <c r="N11" s="1" t="s">
        <v>31</v>
      </c>
      <c r="O11" s="1" t="s">
        <v>32</v>
      </c>
      <c r="P11" s="1" t="s">
        <v>47</v>
      </c>
      <c r="Q11" s="11">
        <v>45679</v>
      </c>
      <c r="R11" s="1">
        <v>5</v>
      </c>
    </row>
    <row r="12" ht="255" customHeight="1" spans="1:18" x14ac:dyDescent="0.25">
      <c r="A12" s="1" t="s">
        <v>3576</v>
      </c>
      <c r="B12" s="2" t="s">
        <v>77</v>
      </c>
      <c r="C12" s="1" t="s">
        <v>78</v>
      </c>
      <c r="D12" s="1">
        <v>406029</v>
      </c>
      <c r="E12" s="1" t="s">
        <v>27</v>
      </c>
      <c r="F12" s="11">
        <v>45679</v>
      </c>
      <c r="G12" s="11" t="s">
        <v>80</v>
      </c>
      <c r="H12" s="2" t="s">
        <v>3588</v>
      </c>
      <c r="I12" s="2" t="s">
        <v>3589</v>
      </c>
      <c r="J12" s="12">
        <v>0.020833333332120674</v>
      </c>
      <c r="K12" s="12">
        <v>0.027777777777373558</v>
      </c>
      <c r="L12" s="13">
        <f>CRF_3[[#This Row],[Time Spent on Configuration]]+CRF_3[[#This Row],[Time Spent on Review/Testing]]</f>
        <v>0.04861111110949423</v>
      </c>
      <c r="N12" s="1" t="s">
        <v>31</v>
      </c>
      <c r="O12" s="1" t="s">
        <v>32</v>
      </c>
      <c r="P12" s="1" t="s">
        <v>42</v>
      </c>
      <c r="Q12" s="11">
        <v>45679</v>
      </c>
      <c r="R12" s="1">
        <v>5</v>
      </c>
    </row>
    <row r="13" ht="30" customHeight="1" spans="1:18" x14ac:dyDescent="0.25">
      <c r="A13" s="1" t="s">
        <v>3576</v>
      </c>
      <c r="B13" s="2" t="s">
        <v>83</v>
      </c>
      <c r="C13" s="1" t="s">
        <v>78</v>
      </c>
      <c r="D13" s="1">
        <v>407226</v>
      </c>
      <c r="E13" s="1" t="s">
        <v>27</v>
      </c>
      <c r="F13" s="11">
        <v>45681</v>
      </c>
      <c r="G13" s="11" t="s">
        <v>38</v>
      </c>
      <c r="H13" s="2" t="s">
        <v>85</v>
      </c>
      <c r="I13" s="2" t="s">
        <v>86</v>
      </c>
      <c r="J13" s="12">
        <v>0.020833333332120674</v>
      </c>
      <c r="K13" s="12">
        <v>0.020833333332120674</v>
      </c>
      <c r="L13" s="13">
        <f>CRF_3[[#This Row],[Time Spent on Configuration]]+CRF_3[[#This Row],[Time Spent on Review/Testing]]</f>
        <v>0.041666666667879326</v>
      </c>
      <c r="N13" s="1" t="s">
        <v>53</v>
      </c>
      <c r="O13" s="1" t="s">
        <v>32</v>
      </c>
      <c r="P13" s="1" t="s">
        <v>42</v>
      </c>
      <c r="Q13" s="11">
        <v>45681</v>
      </c>
      <c r="R13" s="1">
        <v>5</v>
      </c>
    </row>
    <row r="14" ht="60" customHeight="1" spans="1:18" x14ac:dyDescent="0.25">
      <c r="A14" s="1" t="s">
        <v>3576</v>
      </c>
      <c r="B14" s="2" t="s">
        <v>65</v>
      </c>
      <c r="C14" s="1" t="s">
        <v>25</v>
      </c>
      <c r="D14" s="1">
        <v>407428</v>
      </c>
      <c r="E14" s="1" t="s">
        <v>27</v>
      </c>
      <c r="F14" s="11">
        <v>45685</v>
      </c>
      <c r="G14" s="11" t="s">
        <v>88</v>
      </c>
      <c r="H14" s="2" t="s">
        <v>89</v>
      </c>
      <c r="I14" s="2" t="s">
        <v>90</v>
      </c>
      <c r="J14" s="12">
        <v>0.020833333332120674</v>
      </c>
      <c r="K14" s="12">
        <v>0.04861111110949423</v>
      </c>
      <c r="L14" s="13">
        <f>CRF_3[[#This Row],[Time Spent on Configuration]]+CRF_3[[#This Row],[Time Spent on Review/Testing]]</f>
        <v>0.06944444444525288</v>
      </c>
      <c r="N14" s="1" t="s">
        <v>32</v>
      </c>
      <c r="O14" s="1" t="s">
        <v>41</v>
      </c>
      <c r="P14" s="1" t="s">
        <v>47</v>
      </c>
      <c r="Q14" s="11">
        <v>45685</v>
      </c>
      <c r="R14" s="1">
        <v>5</v>
      </c>
    </row>
    <row r="15" ht="105" customHeight="1" spans="1:18" x14ac:dyDescent="0.25">
      <c r="A15" s="1" t="s">
        <v>3576</v>
      </c>
      <c r="B15" s="2" t="s">
        <v>91</v>
      </c>
      <c r="C15" s="1" t="s">
        <v>25</v>
      </c>
      <c r="D15" s="1">
        <v>407288</v>
      </c>
      <c r="E15" s="1" t="s">
        <v>37</v>
      </c>
      <c r="F15" s="11">
        <v>45685</v>
      </c>
      <c r="G15" s="11" t="s">
        <v>28</v>
      </c>
      <c r="H15" s="17" t="s">
        <v>3590</v>
      </c>
      <c r="I15" s="17" t="s">
        <v>3591</v>
      </c>
      <c r="J15" s="12">
        <v>0.020833333332120674</v>
      </c>
      <c r="K15" s="12">
        <v>0.038194444445252884</v>
      </c>
      <c r="L15" s="13">
        <f>CRF_3[[#This Row],[Time Spent on Configuration]]+CRF_3[[#This Row],[Time Spent on Review/Testing]]</f>
        <v>0.05902777777737356</v>
      </c>
      <c r="N15" s="1" t="s">
        <v>31</v>
      </c>
      <c r="O15" s="1" t="s">
        <v>32</v>
      </c>
      <c r="P15" s="1" t="s">
        <v>47</v>
      </c>
      <c r="Q15" s="11">
        <v>45685</v>
      </c>
      <c r="R15" s="1">
        <v>5</v>
      </c>
    </row>
    <row r="16" ht="60" customHeight="1" spans="1:18" x14ac:dyDescent="0.25">
      <c r="A16" s="1" t="s">
        <v>3576</v>
      </c>
      <c r="B16" s="2" t="s">
        <v>60</v>
      </c>
      <c r="C16" s="1" t="s">
        <v>61</v>
      </c>
      <c r="D16" s="1">
        <v>407580</v>
      </c>
      <c r="E16" s="1" t="s">
        <v>37</v>
      </c>
      <c r="F16" s="11">
        <v>45685</v>
      </c>
      <c r="G16" s="11" t="s">
        <v>96</v>
      </c>
      <c r="H16" s="2" t="s">
        <v>3592</v>
      </c>
      <c r="I16" s="2" t="s">
        <v>3593</v>
      </c>
      <c r="J16" s="12">
        <v>0.020833333332120674</v>
      </c>
      <c r="K16" s="12">
        <v>0.03472222222262644</v>
      </c>
      <c r="L16" s="13">
        <f>CRF_3[[#This Row],[Time Spent on Configuration]]+CRF_3[[#This Row],[Time Spent on Review/Testing]]</f>
        <v>0.055555555554747116</v>
      </c>
      <c r="N16" s="1" t="s">
        <v>31</v>
      </c>
      <c r="O16" s="1" t="s">
        <v>32</v>
      </c>
      <c r="P16" s="1" t="s">
        <v>47</v>
      </c>
      <c r="Q16" s="11">
        <v>45685</v>
      </c>
      <c r="R16" s="1">
        <v>5</v>
      </c>
    </row>
    <row r="17" ht="75" customHeight="1" spans="1:18" x14ac:dyDescent="0.25">
      <c r="A17" s="1" t="s">
        <v>3576</v>
      </c>
      <c r="B17" s="2" t="s">
        <v>99</v>
      </c>
      <c r="C17" s="1" t="s">
        <v>25</v>
      </c>
      <c r="D17" s="1">
        <v>407567</v>
      </c>
      <c r="E17" s="1" t="s">
        <v>27</v>
      </c>
      <c r="F17" s="11">
        <v>45685</v>
      </c>
      <c r="G17" s="11" t="s">
        <v>88</v>
      </c>
      <c r="H17" s="2" t="s">
        <v>101</v>
      </c>
      <c r="I17" s="2" t="s">
        <v>102</v>
      </c>
      <c r="J17" s="12">
        <v>0.020833333332120674</v>
      </c>
      <c r="K17" s="12">
        <v>0.020833333332120674</v>
      </c>
      <c r="L17" s="13">
        <f>CRF_3[[#This Row],[Time Spent on Configuration]]+CRF_3[[#This Row],[Time Spent on Review/Testing]]</f>
        <v>0.041666666667879326</v>
      </c>
      <c r="N17" s="1" t="s">
        <v>31</v>
      </c>
      <c r="O17" s="1" t="s">
        <v>32</v>
      </c>
      <c r="P17" s="1" t="s">
        <v>47</v>
      </c>
      <c r="Q17" s="11">
        <v>45685</v>
      </c>
      <c r="R17" s="1">
        <v>5</v>
      </c>
    </row>
    <row r="18" ht="64.5" customHeight="1" spans="1:18" x14ac:dyDescent="0.25">
      <c r="A18" s="1" t="s">
        <v>3576</v>
      </c>
      <c r="B18" s="2" t="s">
        <v>24</v>
      </c>
      <c r="C18" s="1" t="s">
        <v>25</v>
      </c>
      <c r="D18" s="1" t="s">
        <v>103</v>
      </c>
      <c r="E18" s="1" t="s">
        <v>27</v>
      </c>
      <c r="F18" s="11">
        <v>45685</v>
      </c>
      <c r="G18" s="11" t="s">
        <v>88</v>
      </c>
      <c r="H18" s="2" t="s">
        <v>104</v>
      </c>
      <c r="I18" s="2" t="s">
        <v>104</v>
      </c>
      <c r="J18" s="12">
        <v>0.020833333332120674</v>
      </c>
      <c r="K18" s="12">
        <v>0.041666666667879326</v>
      </c>
      <c r="L18" s="13">
        <f>CRF_3[[#This Row],[Time Spent on Configuration]]+CRF_3[[#This Row],[Time Spent on Review/Testing]]</f>
        <v>0.0625</v>
      </c>
      <c r="N18" s="1" t="s">
        <v>31</v>
      </c>
      <c r="O18" s="1" t="s">
        <v>41</v>
      </c>
      <c r="P18" s="1" t="s">
        <v>47</v>
      </c>
      <c r="Q18" s="11">
        <v>45685</v>
      </c>
      <c r="R18" s="1">
        <v>5</v>
      </c>
    </row>
    <row r="19" ht="45" customHeight="1" spans="1:18" x14ac:dyDescent="0.25">
      <c r="A19" s="1" t="s">
        <v>3594</v>
      </c>
      <c r="B19" s="2" t="s">
        <v>83</v>
      </c>
      <c r="C19" s="1" t="s">
        <v>78</v>
      </c>
      <c r="D19" s="1">
        <v>408027</v>
      </c>
      <c r="E19" s="1" t="s">
        <v>27</v>
      </c>
      <c r="F19" s="11">
        <v>45694</v>
      </c>
      <c r="G19" s="11" t="s">
        <v>88</v>
      </c>
      <c r="H19" s="2" t="s">
        <v>3595</v>
      </c>
      <c r="I19" s="2" t="s">
        <v>3595</v>
      </c>
      <c r="J19" s="12">
        <v>0.013888888890505768</v>
      </c>
      <c r="K19" s="12">
        <v>0.020833333332120674</v>
      </c>
      <c r="L19" s="13">
        <f>CRF_3[[#This Row],[Time Spent on Configuration]]+CRF_3[[#This Row],[Time Spent on Review/Testing]]</f>
        <v>0.03472222222262644</v>
      </c>
      <c r="N19" s="1" t="s">
        <v>31</v>
      </c>
      <c r="O19" s="1" t="s">
        <v>32</v>
      </c>
      <c r="P19" s="1" t="s">
        <v>42</v>
      </c>
      <c r="Q19" s="11">
        <v>45694</v>
      </c>
      <c r="R19" s="1">
        <v>5</v>
      </c>
    </row>
    <row r="20" ht="45" customHeight="1" spans="1:18" x14ac:dyDescent="0.25">
      <c r="A20" s="1" t="s">
        <v>3594</v>
      </c>
      <c r="B20" s="2" t="s">
        <v>108</v>
      </c>
      <c r="C20" s="1" t="s">
        <v>78</v>
      </c>
      <c r="D20" s="1">
        <v>408511</v>
      </c>
      <c r="E20" s="1" t="s">
        <v>27</v>
      </c>
      <c r="F20" s="11">
        <v>45694</v>
      </c>
      <c r="G20" s="11" t="s">
        <v>88</v>
      </c>
      <c r="H20" s="2" t="s">
        <v>110</v>
      </c>
      <c r="I20" s="2" t="s">
        <v>111</v>
      </c>
      <c r="J20" s="12">
        <v>0.020833333332120674</v>
      </c>
      <c r="K20" s="12">
        <v>0.03472222222262644</v>
      </c>
      <c r="L20" s="13">
        <f>CRF_3[[#This Row],[Time Spent on Configuration]]+CRF_3[[#This Row],[Time Spent on Review/Testing]]</f>
        <v>0.055555555554747116</v>
      </c>
      <c r="N20" s="1" t="s">
        <v>53</v>
      </c>
      <c r="O20" s="1" t="s">
        <v>32</v>
      </c>
      <c r="P20" s="1" t="s">
        <v>112</v>
      </c>
      <c r="Q20" s="11">
        <v>45694</v>
      </c>
      <c r="R20" s="1">
        <v>5</v>
      </c>
    </row>
    <row r="21" ht="270" customHeight="1" spans="1:18" x14ac:dyDescent="0.25">
      <c r="A21" s="1" t="s">
        <v>3594</v>
      </c>
      <c r="B21" s="2" t="s">
        <v>113</v>
      </c>
      <c r="C21" s="1" t="s">
        <v>25</v>
      </c>
      <c r="D21" s="1">
        <v>409578</v>
      </c>
      <c r="E21" s="1" t="s">
        <v>37</v>
      </c>
      <c r="F21" s="11">
        <v>45700</v>
      </c>
      <c r="G21" s="11" t="s">
        <v>28</v>
      </c>
      <c r="H21" s="2" t="s">
        <v>3596</v>
      </c>
      <c r="I21" s="2" t="s">
        <v>3597</v>
      </c>
      <c r="J21" s="12">
        <v>0.03125</v>
      </c>
      <c r="K21" s="12">
        <v>0.06597222222262644</v>
      </c>
      <c r="L21" s="13">
        <f>CRF_3[[#This Row],[Time Spent on Configuration]]+CRF_3[[#This Row],[Time Spent on Review/Testing]]</f>
        <v>0.09722222222262644</v>
      </c>
      <c r="N21" s="1" t="s">
        <v>31</v>
      </c>
      <c r="O21" s="1" t="s">
        <v>41</v>
      </c>
      <c r="P21" s="1" t="s">
        <v>117</v>
      </c>
      <c r="Q21" s="11">
        <v>45700</v>
      </c>
      <c r="R21" s="1">
        <v>5</v>
      </c>
    </row>
    <row r="22" ht="270" customHeight="1" spans="1:18" x14ac:dyDescent="0.25">
      <c r="A22" s="1" t="s">
        <v>3594</v>
      </c>
      <c r="B22" s="2" t="s">
        <v>118</v>
      </c>
      <c r="C22" s="1" t="s">
        <v>25</v>
      </c>
      <c r="D22" s="1">
        <v>407649</v>
      </c>
      <c r="E22" s="1" t="s">
        <v>27</v>
      </c>
      <c r="F22" s="11">
        <v>45701</v>
      </c>
      <c r="G22" s="11" t="s">
        <v>88</v>
      </c>
      <c r="H22" s="2" t="s">
        <v>3598</v>
      </c>
      <c r="I22" s="2" t="s">
        <v>3599</v>
      </c>
      <c r="J22" s="12">
        <v>0.041666666667879326</v>
      </c>
      <c r="K22" s="12">
        <v>0.041666666667879326</v>
      </c>
      <c r="L22" s="13">
        <f>CRF_3[[#This Row],[Time Spent on Configuration]]+CRF_3[[#This Row],[Time Spent on Review/Testing]]</f>
        <v>0.08333333333212067</v>
      </c>
      <c r="N22" s="1" t="s">
        <v>31</v>
      </c>
      <c r="O22" s="1" t="s">
        <v>41</v>
      </c>
      <c r="P22" s="1" t="s">
        <v>47</v>
      </c>
      <c r="Q22" s="11">
        <v>45701</v>
      </c>
      <c r="R22" s="1">
        <v>5</v>
      </c>
    </row>
    <row r="23" ht="195" customHeight="1" spans="1:18" x14ac:dyDescent="0.25">
      <c r="A23" s="1" t="s">
        <v>3594</v>
      </c>
      <c r="B23" s="2" t="s">
        <v>122</v>
      </c>
      <c r="C23" s="1" t="s">
        <v>123</v>
      </c>
      <c r="D23" s="1">
        <v>409854</v>
      </c>
      <c r="E23" s="1" t="s">
        <v>27</v>
      </c>
      <c r="F23" s="11">
        <v>45705</v>
      </c>
      <c r="G23" s="11" t="s">
        <v>88</v>
      </c>
      <c r="H23" s="2" t="s">
        <v>3600</v>
      </c>
      <c r="I23" s="2" t="s">
        <v>3601</v>
      </c>
      <c r="J23" s="12">
        <v>0.006944444445252884</v>
      </c>
      <c r="K23" s="12">
        <v>0.03472222222262644</v>
      </c>
      <c r="L23" s="13">
        <f>CRF_3[[#This Row],[Time Spent on Configuration]]+CRF_3[[#This Row],[Time Spent on Review/Testing]]</f>
        <v>0.041666666667879326</v>
      </c>
      <c r="N23" s="1" t="s">
        <v>31</v>
      </c>
      <c r="O23" s="1" t="s">
        <v>32</v>
      </c>
      <c r="P23" s="1" t="s">
        <v>47</v>
      </c>
      <c r="Q23" s="11">
        <v>45705</v>
      </c>
      <c r="R23" s="1">
        <v>5</v>
      </c>
    </row>
    <row r="24" ht="45" customHeight="1" spans="1:18" x14ac:dyDescent="0.25">
      <c r="A24" s="1" t="s">
        <v>3594</v>
      </c>
      <c r="B24" s="2" t="s">
        <v>108</v>
      </c>
      <c r="C24" s="1" t="s">
        <v>78</v>
      </c>
      <c r="D24" s="1">
        <v>408511</v>
      </c>
      <c r="E24" s="1" t="s">
        <v>27</v>
      </c>
      <c r="F24" s="11">
        <v>45694</v>
      </c>
      <c r="G24" s="11" t="s">
        <v>88</v>
      </c>
      <c r="H24" s="2" t="s">
        <v>3602</v>
      </c>
      <c r="I24" s="2" t="s">
        <v>128</v>
      </c>
      <c r="J24" s="12">
        <v>0.006944444445252884</v>
      </c>
      <c r="K24" s="12">
        <v>0.0625</v>
      </c>
      <c r="L24" s="13">
        <f>CRF_3[[#This Row],[Time Spent on Configuration]]+CRF_3[[#This Row],[Time Spent on Review/Testing]]</f>
        <v>0.06944444444525288</v>
      </c>
      <c r="N24" s="1" t="s">
        <v>31</v>
      </c>
      <c r="O24" s="1" t="s">
        <v>41</v>
      </c>
      <c r="P24" s="1" t="s">
        <v>112</v>
      </c>
      <c r="Q24" s="11">
        <v>45705</v>
      </c>
      <c r="R24" s="1">
        <v>5</v>
      </c>
    </row>
    <row r="25" ht="105" customHeight="1" spans="1:18" x14ac:dyDescent="0.25">
      <c r="A25" s="1" t="s">
        <v>3594</v>
      </c>
      <c r="B25" s="2" t="s">
        <v>43</v>
      </c>
      <c r="C25" s="1" t="s">
        <v>44</v>
      </c>
      <c r="D25" s="1">
        <v>409856</v>
      </c>
      <c r="E25" s="1" t="s">
        <v>37</v>
      </c>
      <c r="F25" s="11">
        <v>45707</v>
      </c>
      <c r="G25" s="11" t="s">
        <v>88</v>
      </c>
      <c r="H25" s="2" t="s">
        <v>130</v>
      </c>
      <c r="I25" s="2" t="s">
        <v>131</v>
      </c>
      <c r="J25" s="12">
        <v>0.013888888890505768</v>
      </c>
      <c r="K25" s="12">
        <v>0.020833333332120674</v>
      </c>
      <c r="L25" s="13">
        <f>CRF_3[[#This Row],[Time Spent on Configuration]]+CRF_3[[#This Row],[Time Spent on Review/Testing]]</f>
        <v>0.03472222222262644</v>
      </c>
      <c r="N25" s="1" t="s">
        <v>53</v>
      </c>
      <c r="O25" s="1" t="s">
        <v>32</v>
      </c>
      <c r="P25" s="1" t="s">
        <v>47</v>
      </c>
      <c r="Q25" s="11">
        <v>45707</v>
      </c>
      <c r="R25" s="1">
        <v>5</v>
      </c>
    </row>
    <row r="26" ht="75" customHeight="1" spans="1:18" x14ac:dyDescent="0.25">
      <c r="A26" s="1" t="s">
        <v>3594</v>
      </c>
      <c r="B26" s="2" t="s">
        <v>113</v>
      </c>
      <c r="C26" s="1" t="s">
        <v>25</v>
      </c>
      <c r="D26" s="1">
        <v>408523</v>
      </c>
      <c r="E26" s="1" t="s">
        <v>27</v>
      </c>
      <c r="F26" s="11">
        <v>45709</v>
      </c>
      <c r="G26" s="11" t="s">
        <v>133</v>
      </c>
      <c r="H26" s="2" t="s">
        <v>134</v>
      </c>
      <c r="I26" s="2" t="s">
        <v>3603</v>
      </c>
      <c r="J26" s="12">
        <v>0.013888888890505768</v>
      </c>
      <c r="K26" s="12">
        <v>0.03472222222262644</v>
      </c>
      <c r="L26" s="13">
        <f>CRF_3[[#This Row],[Time Spent on Configuration]]+CRF_3[[#This Row],[Time Spent on Review/Testing]]</f>
        <v>0.04861111110949423</v>
      </c>
      <c r="N26" s="1" t="s">
        <v>31</v>
      </c>
      <c r="O26" s="1" t="s">
        <v>32</v>
      </c>
      <c r="P26" s="1" t="s">
        <v>47</v>
      </c>
      <c r="Q26" s="11">
        <v>45709</v>
      </c>
      <c r="R26" s="1">
        <v>5</v>
      </c>
    </row>
    <row r="27" ht="120" customHeight="1" spans="1:18" x14ac:dyDescent="0.25">
      <c r="A27" s="1" t="s">
        <v>3594</v>
      </c>
      <c r="B27" s="2" t="s">
        <v>65</v>
      </c>
      <c r="C27" s="1" t="s">
        <v>25</v>
      </c>
      <c r="D27" s="1">
        <v>407283</v>
      </c>
      <c r="E27" s="1" t="s">
        <v>27</v>
      </c>
      <c r="F27" s="11">
        <v>45712</v>
      </c>
      <c r="G27" s="11" t="s">
        <v>88</v>
      </c>
      <c r="H27" s="2" t="s">
        <v>3604</v>
      </c>
      <c r="I27" s="2" t="s">
        <v>3605</v>
      </c>
      <c r="J27" s="12">
        <v>0.020833333332120674</v>
      </c>
      <c r="K27" s="12">
        <v>0.03472222222262644</v>
      </c>
      <c r="L27" s="13">
        <f>CRF_3[[#This Row],[Time Spent on Configuration]]+CRF_3[[#This Row],[Time Spent on Review/Testing]]</f>
        <v>0.055555555554747116</v>
      </c>
      <c r="N27" s="1" t="s">
        <v>53</v>
      </c>
      <c r="O27" s="1" t="s">
        <v>32</v>
      </c>
      <c r="P27" s="1" t="s">
        <v>47</v>
      </c>
      <c r="Q27" s="11">
        <v>45712</v>
      </c>
      <c r="R27" s="1">
        <v>5</v>
      </c>
    </row>
    <row r="28" ht="120" customHeight="1" spans="1:18" x14ac:dyDescent="0.25">
      <c r="A28" s="1" t="s">
        <v>3594</v>
      </c>
      <c r="B28" s="2" t="s">
        <v>60</v>
      </c>
      <c r="C28" s="1" t="s">
        <v>61</v>
      </c>
      <c r="D28" s="1">
        <v>410397</v>
      </c>
      <c r="E28" s="1" t="s">
        <v>37</v>
      </c>
      <c r="F28" s="11">
        <v>45712</v>
      </c>
      <c r="G28" s="11" t="s">
        <v>88</v>
      </c>
      <c r="H28" s="2" t="s">
        <v>3606</v>
      </c>
      <c r="I28" s="2" t="s">
        <v>3607</v>
      </c>
      <c r="J28" s="12">
        <v>0.020833333332120674</v>
      </c>
      <c r="K28" s="12">
        <v>0.038194444445252884</v>
      </c>
      <c r="L28" s="13">
        <f>CRF_3[[#This Row],[Time Spent on Configuration]]+CRF_3[[#This Row],[Time Spent on Review/Testing]]</f>
        <v>0.05902777777737356</v>
      </c>
      <c r="N28" s="1" t="s">
        <v>53</v>
      </c>
      <c r="O28" s="1" t="s">
        <v>32</v>
      </c>
      <c r="P28" s="1" t="s">
        <v>47</v>
      </c>
      <c r="Q28" s="11">
        <v>45712</v>
      </c>
      <c r="R28" s="1">
        <v>5</v>
      </c>
    </row>
    <row r="29" spans="1:18" x14ac:dyDescent="0.25">
      <c r="A29" s="1" t="s">
        <v>3594</v>
      </c>
      <c r="B29" s="2" t="s">
        <v>142</v>
      </c>
      <c r="C29" s="1" t="s">
        <v>25</v>
      </c>
      <c r="D29" s="1">
        <v>409726</v>
      </c>
      <c r="E29" s="1" t="s">
        <v>37</v>
      </c>
      <c r="F29" s="11">
        <v>45715</v>
      </c>
      <c r="G29" s="11" t="s">
        <v>88</v>
      </c>
      <c r="H29" s="2" t="s">
        <v>144</v>
      </c>
      <c r="I29" s="2" t="s">
        <v>144</v>
      </c>
      <c r="J29" s="12">
        <v>0.03472222222262644</v>
      </c>
      <c r="K29" s="12">
        <v>0.055555555554747116</v>
      </c>
      <c r="L29" s="13">
        <f>CRF_3[[#This Row],[Time Spent on Configuration]]+CRF_3[[#This Row],[Time Spent on Review/Testing]]</f>
        <v>0.09027777777737356</v>
      </c>
      <c r="N29" s="1" t="s">
        <v>31</v>
      </c>
      <c r="O29" s="1" t="s">
        <v>32</v>
      </c>
      <c r="P29" s="1" t="s">
        <v>47</v>
      </c>
      <c r="Q29" s="11">
        <v>45715</v>
      </c>
      <c r="R29" s="1">
        <v>5</v>
      </c>
    </row>
    <row r="30" ht="75" customHeight="1" spans="1:18" x14ac:dyDescent="0.25">
      <c r="A30" s="1" t="s">
        <v>3608</v>
      </c>
      <c r="B30" s="2" t="s">
        <v>146</v>
      </c>
      <c r="C30" s="1" t="s">
        <v>147</v>
      </c>
      <c r="D30" s="1">
        <v>411308</v>
      </c>
      <c r="E30" s="1" t="s">
        <v>27</v>
      </c>
      <c r="F30" s="11">
        <v>45719</v>
      </c>
      <c r="G30" s="11" t="s">
        <v>88</v>
      </c>
      <c r="H30" s="2" t="s">
        <v>3609</v>
      </c>
      <c r="I30" s="2" t="s">
        <v>3610</v>
      </c>
      <c r="J30" s="12">
        <v>0.03472222222262644</v>
      </c>
      <c r="K30" s="12">
        <v>0.024305555554747116</v>
      </c>
      <c r="L30" s="13">
        <f>CRF_3[[#This Row],[Time Spent on Configuration]]+CRF_3[[#This Row],[Time Spent on Review/Testing]]</f>
        <v>0.05902777777737356</v>
      </c>
      <c r="N30" s="1" t="s">
        <v>31</v>
      </c>
      <c r="P30" s="1" t="s">
        <v>112</v>
      </c>
      <c r="Q30" s="11">
        <v>45719</v>
      </c>
      <c r="R30" s="1">
        <v>5</v>
      </c>
    </row>
    <row r="31" ht="105" customHeight="1" spans="1:18" x14ac:dyDescent="0.25">
      <c r="A31" s="1" t="s">
        <v>3608</v>
      </c>
      <c r="B31" s="2" t="s">
        <v>65</v>
      </c>
      <c r="C31" s="1" t="s">
        <v>25</v>
      </c>
      <c r="D31" s="1">
        <v>411390</v>
      </c>
      <c r="E31" s="1" t="s">
        <v>37</v>
      </c>
      <c r="F31" s="11">
        <v>45719</v>
      </c>
      <c r="G31" s="11" t="s">
        <v>88</v>
      </c>
      <c r="H31" s="2" t="s">
        <v>3611</v>
      </c>
      <c r="I31" s="2" t="s">
        <v>3612</v>
      </c>
      <c r="J31" s="12">
        <v>0.013888888890505768</v>
      </c>
      <c r="K31" s="12">
        <v>0.020833333332120674</v>
      </c>
      <c r="L31" s="13">
        <f>CRF_3[[#This Row],[Time Spent on Configuration]]+CRF_3[[#This Row],[Time Spent on Review/Testing]]</f>
        <v>0.03472222222262644</v>
      </c>
      <c r="N31" s="1" t="s">
        <v>31</v>
      </c>
      <c r="O31" s="1" t="s">
        <v>32</v>
      </c>
      <c r="P31" s="1" t="s">
        <v>112</v>
      </c>
      <c r="Q31" s="11">
        <v>45719</v>
      </c>
      <c r="R31" s="1">
        <v>5</v>
      </c>
    </row>
    <row r="32" ht="60" customHeight="1" spans="1:18" x14ac:dyDescent="0.25">
      <c r="A32" s="1" t="s">
        <v>3613</v>
      </c>
      <c r="B32" s="2" t="s">
        <v>35</v>
      </c>
      <c r="C32" s="1" t="s">
        <v>25</v>
      </c>
      <c r="D32" s="1">
        <v>410528</v>
      </c>
      <c r="E32" s="1" t="s">
        <v>27</v>
      </c>
      <c r="F32" s="11">
        <v>45726</v>
      </c>
      <c r="G32" s="11" t="s">
        <v>38</v>
      </c>
      <c r="H32" s="2" t="s">
        <v>3614</v>
      </c>
      <c r="I32" s="2" t="s">
        <v>156</v>
      </c>
      <c r="J32" s="12">
        <v>0.03472222222262644</v>
      </c>
      <c r="K32" s="12">
        <v>0.052083333332120674</v>
      </c>
      <c r="L32" s="13">
        <f>CRF_3[[#This Row],[Time Spent on Configuration]]+CRF_3[[#This Row],[Time Spent on Review/Testing]]</f>
        <v>0.08680555555474712</v>
      </c>
      <c r="N32" s="1" t="s">
        <v>32</v>
      </c>
      <c r="O32" s="1" t="s">
        <v>41</v>
      </c>
      <c r="P32" s="1" t="s">
        <v>42</v>
      </c>
      <c r="Q32" s="11">
        <v>45726</v>
      </c>
      <c r="R32" s="1">
        <v>5</v>
      </c>
    </row>
    <row r="33" ht="90" customHeight="1" spans="1:18" x14ac:dyDescent="0.25">
      <c r="A33" s="1" t="s">
        <v>3613</v>
      </c>
      <c r="B33" s="2" t="s">
        <v>24</v>
      </c>
      <c r="C33" s="1" t="s">
        <v>25</v>
      </c>
      <c r="D33" s="1">
        <v>407592</v>
      </c>
      <c r="E33" s="1" t="s">
        <v>27</v>
      </c>
      <c r="F33" s="11">
        <v>45735</v>
      </c>
      <c r="G33" s="11" t="s">
        <v>38</v>
      </c>
      <c r="H33" s="2" t="s">
        <v>3615</v>
      </c>
      <c r="I33" s="2" t="s">
        <v>3616</v>
      </c>
      <c r="J33" s="12">
        <v>0.020833333332120674</v>
      </c>
      <c r="K33" s="12">
        <v>0.027777777777373558</v>
      </c>
      <c r="L33" s="13">
        <f>CRF_3[[#This Row],[Time Spent on Configuration]]+CRF_3[[#This Row],[Time Spent on Review/Testing]]</f>
        <v>0.04861111110949423</v>
      </c>
      <c r="N33" s="1" t="s">
        <v>31</v>
      </c>
      <c r="O33" s="1" t="s">
        <v>41</v>
      </c>
      <c r="P33" s="1" t="s">
        <v>112</v>
      </c>
      <c r="Q33" s="11">
        <v>45735</v>
      </c>
      <c r="R33" s="1">
        <v>5</v>
      </c>
    </row>
    <row r="34" ht="165" customHeight="1" spans="1:18" x14ac:dyDescent="0.25">
      <c r="A34" s="1" t="s">
        <v>3613</v>
      </c>
      <c r="B34" s="2" t="s">
        <v>122</v>
      </c>
      <c r="C34" s="1" t="s">
        <v>123</v>
      </c>
      <c r="D34" s="1">
        <v>412581</v>
      </c>
      <c r="E34" s="1" t="s">
        <v>37</v>
      </c>
      <c r="F34" s="11">
        <v>45736</v>
      </c>
      <c r="G34" s="11" t="s">
        <v>38</v>
      </c>
      <c r="H34" s="2" t="s">
        <v>3617</v>
      </c>
      <c r="I34" s="2" t="s">
        <v>3618</v>
      </c>
      <c r="J34" s="12">
        <v>0.041666666667879326</v>
      </c>
      <c r="K34" s="12">
        <v>0.07291666666787933</v>
      </c>
      <c r="L34" s="13">
        <f>CRF_3[[#This Row],[Time Spent on Configuration]]+CRF_3[[#This Row],[Time Spent on Review/Testing]]</f>
        <v>0.11458333333212067</v>
      </c>
      <c r="N34" s="1" t="s">
        <v>31</v>
      </c>
      <c r="O34" s="1" t="s">
        <v>41</v>
      </c>
      <c r="P34" s="1" t="s">
        <v>47</v>
      </c>
      <c r="Q34" s="11">
        <v>45736</v>
      </c>
      <c r="R34" s="1">
        <v>5</v>
      </c>
    </row>
    <row r="35" ht="195" customHeight="1" spans="1:18" x14ac:dyDescent="0.25">
      <c r="A35" s="1" t="s">
        <v>3613</v>
      </c>
      <c r="B35" s="2" t="s">
        <v>163</v>
      </c>
      <c r="C35" s="1" t="s">
        <v>25</v>
      </c>
      <c r="D35" s="1">
        <v>413183</v>
      </c>
      <c r="E35" s="1" t="s">
        <v>27</v>
      </c>
      <c r="F35" s="11">
        <v>45741</v>
      </c>
      <c r="G35" s="11" t="s">
        <v>38</v>
      </c>
      <c r="H35" s="2" t="s">
        <v>3619</v>
      </c>
      <c r="I35" s="2" t="s">
        <v>3620</v>
      </c>
      <c r="J35" s="12">
        <v>0.03125</v>
      </c>
      <c r="K35" s="12">
        <v>0.03472222222262644</v>
      </c>
      <c r="L35" s="13">
        <f>CRF_3[[#This Row],[Time Spent on Configuration]]+CRF_3[[#This Row],[Time Spent on Review/Testing]]</f>
        <v>0.06597222222262644</v>
      </c>
      <c r="N35" s="1" t="s">
        <v>31</v>
      </c>
      <c r="O35" s="1" t="s">
        <v>32</v>
      </c>
      <c r="P35" s="1" t="s">
        <v>47</v>
      </c>
      <c r="Q35" s="11">
        <v>45741</v>
      </c>
      <c r="R35" s="1">
        <v>5</v>
      </c>
    </row>
    <row r="36" ht="75" customHeight="1" spans="1:18" x14ac:dyDescent="0.25">
      <c r="A36" s="1" t="s">
        <v>3613</v>
      </c>
      <c r="B36" s="2" t="s">
        <v>122</v>
      </c>
      <c r="C36" s="1" t="s">
        <v>123</v>
      </c>
      <c r="D36" s="1">
        <v>413857</v>
      </c>
      <c r="E36" s="1" t="s">
        <v>37</v>
      </c>
      <c r="F36" s="11">
        <v>45742</v>
      </c>
      <c r="G36" s="11" t="s">
        <v>38</v>
      </c>
      <c r="H36" s="2" t="s">
        <v>168</v>
      </c>
      <c r="I36" s="2" t="s">
        <v>3621</v>
      </c>
      <c r="J36" s="12">
        <v>0.013888888890505768</v>
      </c>
      <c r="K36" s="12">
        <v>0.020833333332120674</v>
      </c>
      <c r="L36" s="13">
        <f>CRF_3[[#This Row],[Time Spent on Configuration]]+CRF_3[[#This Row],[Time Spent on Review/Testing]]</f>
        <v>0.03472222222262644</v>
      </c>
      <c r="N36" s="1" t="s">
        <v>31</v>
      </c>
      <c r="O36" s="1" t="s">
        <v>32</v>
      </c>
      <c r="P36" s="1" t="s">
        <v>47</v>
      </c>
      <c r="Q36" s="11">
        <v>45742</v>
      </c>
      <c r="R36" s="1">
        <v>5</v>
      </c>
    </row>
    <row r="37" ht="45" customHeight="1" spans="1:18" x14ac:dyDescent="0.25">
      <c r="A37" s="1" t="s">
        <v>3613</v>
      </c>
      <c r="B37" s="2" t="s">
        <v>170</v>
      </c>
      <c r="C37" s="1" t="s">
        <v>25</v>
      </c>
      <c r="D37" s="1">
        <v>402287</v>
      </c>
      <c r="E37" s="1" t="s">
        <v>27</v>
      </c>
      <c r="F37" s="11">
        <v>45742</v>
      </c>
      <c r="G37" s="11" t="s">
        <v>74</v>
      </c>
      <c r="H37" s="2" t="s">
        <v>172</v>
      </c>
      <c r="I37" s="2" t="s">
        <v>3622</v>
      </c>
      <c r="J37" s="12">
        <v>0.013888888890505768</v>
      </c>
      <c r="K37" s="12">
        <v>0.020833333332120674</v>
      </c>
      <c r="L37" s="13">
        <f>CRF_3[[#This Row],[Time Spent on Configuration]]+CRF_3[[#This Row],[Time Spent on Review/Testing]]</f>
        <v>0.03472222222262644</v>
      </c>
      <c r="N37" s="1" t="s">
        <v>31</v>
      </c>
      <c r="O37" s="1" t="s">
        <v>32</v>
      </c>
      <c r="P37" s="1" t="s">
        <v>42</v>
      </c>
      <c r="Q37" s="11">
        <v>45742</v>
      </c>
      <c r="R37" s="1">
        <v>5</v>
      </c>
    </row>
    <row r="38" spans="1:18" x14ac:dyDescent="0.25">
      <c r="A38" s="1" t="s">
        <v>3613</v>
      </c>
      <c r="B38" s="2" t="s">
        <v>170</v>
      </c>
      <c r="C38" s="1" t="s">
        <v>25</v>
      </c>
      <c r="D38" s="1">
        <v>413717</v>
      </c>
      <c r="E38" s="1" t="s">
        <v>27</v>
      </c>
      <c r="F38" s="11">
        <v>45743</v>
      </c>
      <c r="G38" s="11" t="s">
        <v>38</v>
      </c>
      <c r="H38" s="2" t="s">
        <v>3623</v>
      </c>
      <c r="I38" s="2" t="s">
        <v>3623</v>
      </c>
      <c r="J38" s="12">
        <v>0.0625</v>
      </c>
      <c r="K38" s="12">
        <v>0.055555555554747116</v>
      </c>
      <c r="L38" s="13">
        <f>CRF_3[[#This Row],[Time Spent on Configuration]]+CRF_3[[#This Row],[Time Spent on Review/Testing]]</f>
        <v>0.11805555555474712</v>
      </c>
      <c r="N38" s="1" t="s">
        <v>31</v>
      </c>
      <c r="O38" s="1" t="s">
        <v>32</v>
      </c>
      <c r="P38" s="1" t="s">
        <v>42</v>
      </c>
      <c r="Q38" s="11">
        <v>45743</v>
      </c>
      <c r="R38" s="1">
        <v>5</v>
      </c>
    </row>
    <row r="39" ht="60" customHeight="1" spans="1:18" x14ac:dyDescent="0.25">
      <c r="A39" s="1" t="s">
        <v>3613</v>
      </c>
      <c r="B39" s="2" t="s">
        <v>170</v>
      </c>
      <c r="C39" s="1" t="s">
        <v>25</v>
      </c>
      <c r="D39" s="1">
        <v>402287</v>
      </c>
      <c r="E39" s="1" t="s">
        <v>27</v>
      </c>
      <c r="F39" s="11">
        <v>45747</v>
      </c>
      <c r="G39" s="11" t="s">
        <v>74</v>
      </c>
      <c r="H39" s="2" t="s">
        <v>176</v>
      </c>
      <c r="I39" s="2" t="s">
        <v>177</v>
      </c>
      <c r="J39" s="12">
        <v>0.013888888890505768</v>
      </c>
      <c r="K39" s="12">
        <v>0.03472222222262644</v>
      </c>
      <c r="L39" s="13">
        <f>CRF_3[[#This Row],[Time Spent on Configuration]]+CRF_3[[#This Row],[Time Spent on Review/Testing]]</f>
        <v>0.04861111110949423</v>
      </c>
      <c r="N39" s="1" t="s">
        <v>31</v>
      </c>
      <c r="O39" s="1" t="s">
        <v>32</v>
      </c>
      <c r="P39" s="1" t="s">
        <v>42</v>
      </c>
      <c r="Q39" s="11">
        <v>45747</v>
      </c>
      <c r="R39" s="1">
        <v>5</v>
      </c>
    </row>
    <row r="40" ht="75" customHeight="1" spans="1:18" x14ac:dyDescent="0.25">
      <c r="A40" s="1" t="s">
        <v>3624</v>
      </c>
      <c r="B40" s="2" t="s">
        <v>91</v>
      </c>
      <c r="C40" s="1" t="s">
        <v>25</v>
      </c>
      <c r="D40" s="1">
        <v>414117</v>
      </c>
      <c r="E40" s="1" t="s">
        <v>37</v>
      </c>
      <c r="F40" s="11">
        <v>45749</v>
      </c>
      <c r="G40" s="11" t="s">
        <v>28</v>
      </c>
      <c r="H40" s="2" t="s">
        <v>3625</v>
      </c>
      <c r="I40" s="2" t="s">
        <v>181</v>
      </c>
      <c r="J40" s="12">
        <v>0.020833333332120674</v>
      </c>
      <c r="K40" s="12">
        <v>0.055555555554747116</v>
      </c>
      <c r="L40" s="13">
        <f>CRF_3[[#This Row],[Time Spent on Configuration]]+CRF_3[[#This Row],[Time Spent on Review/Testing]]</f>
        <v>0.07638888889050577</v>
      </c>
      <c r="N40" s="1" t="s">
        <v>31</v>
      </c>
      <c r="O40" s="1" t="s">
        <v>32</v>
      </c>
      <c r="P40" s="1" t="s">
        <v>47</v>
      </c>
      <c r="Q40" s="11">
        <v>45749</v>
      </c>
      <c r="R40" s="1">
        <v>5</v>
      </c>
    </row>
    <row r="41" ht="150" customHeight="1" spans="1:18" x14ac:dyDescent="0.25">
      <c r="A41" s="1" t="s">
        <v>3624</v>
      </c>
      <c r="B41" s="2" t="s">
        <v>113</v>
      </c>
      <c r="C41" s="1" t="s">
        <v>25</v>
      </c>
      <c r="D41" s="1">
        <v>414300</v>
      </c>
      <c r="E41" s="1" t="s">
        <v>37</v>
      </c>
      <c r="F41" s="11">
        <v>45749</v>
      </c>
      <c r="G41" s="11" t="s">
        <v>28</v>
      </c>
      <c r="H41" s="2" t="s">
        <v>3626</v>
      </c>
      <c r="I41" s="2" t="s">
        <v>3627</v>
      </c>
      <c r="J41" s="12">
        <v>0.03125</v>
      </c>
      <c r="K41" s="12">
        <v>0.038194444445252884</v>
      </c>
      <c r="L41" s="13">
        <f>CRF_3[[#This Row],[Time Spent on Configuration]]+CRF_3[[#This Row],[Time Spent on Review/Testing]]</f>
        <v>0.06944444444525288</v>
      </c>
      <c r="N41" s="1" t="s">
        <v>31</v>
      </c>
      <c r="O41" s="1" t="s">
        <v>32</v>
      </c>
      <c r="P41" s="1" t="s">
        <v>47</v>
      </c>
      <c r="Q41" s="11">
        <v>45749</v>
      </c>
      <c r="R41" s="1">
        <v>5</v>
      </c>
    </row>
    <row r="42" ht="120" customHeight="1" spans="1:18" x14ac:dyDescent="0.25">
      <c r="A42" s="1" t="s">
        <v>3624</v>
      </c>
      <c r="B42" s="2" t="s">
        <v>185</v>
      </c>
      <c r="C42" s="1" t="s">
        <v>186</v>
      </c>
      <c r="D42" s="1">
        <v>414293</v>
      </c>
      <c r="E42" s="1" t="s">
        <v>27</v>
      </c>
      <c r="F42" s="11">
        <v>45750</v>
      </c>
      <c r="G42" s="11" t="s">
        <v>74</v>
      </c>
      <c r="H42" s="2" t="s">
        <v>3628</v>
      </c>
      <c r="I42" s="2" t="s">
        <v>3629</v>
      </c>
      <c r="J42" s="12">
        <v>0.020833333332120674</v>
      </c>
      <c r="K42" s="12">
        <v>0.03472222222262644</v>
      </c>
      <c r="L42" s="13">
        <f>CRF_3[[#This Row],[Time Spent on Configuration]]+CRF_3[[#This Row],[Time Spent on Review/Testing]]</f>
        <v>0.055555555554747116</v>
      </c>
      <c r="N42" s="1" t="s">
        <v>31</v>
      </c>
      <c r="O42" s="1" t="s">
        <v>32</v>
      </c>
      <c r="P42" s="1" t="s">
        <v>47</v>
      </c>
      <c r="Q42" s="11">
        <v>45750</v>
      </c>
      <c r="R42" s="1">
        <v>5</v>
      </c>
    </row>
    <row r="43" ht="45" customHeight="1" spans="1:18" x14ac:dyDescent="0.25">
      <c r="A43" s="1" t="s">
        <v>3624</v>
      </c>
      <c r="B43" s="2" t="s">
        <v>65</v>
      </c>
      <c r="C43" s="1" t="s">
        <v>25</v>
      </c>
      <c r="D43" s="1">
        <v>414679</v>
      </c>
      <c r="E43" s="1" t="s">
        <v>27</v>
      </c>
      <c r="F43" s="11">
        <v>45754</v>
      </c>
      <c r="G43" s="11" t="s">
        <v>28</v>
      </c>
      <c r="H43" s="2" t="s">
        <v>3630</v>
      </c>
      <c r="I43" s="2" t="s">
        <v>192</v>
      </c>
      <c r="J43" s="12">
        <v>0.020833333332120674</v>
      </c>
      <c r="K43" s="12">
        <v>0.027777777777373558</v>
      </c>
      <c r="L43" s="13">
        <f>CRF_3[[#This Row],[Time Spent on Configuration]]+CRF_3[[#This Row],[Time Spent on Review/Testing]]</f>
        <v>0.04861111110949423</v>
      </c>
      <c r="N43" s="1" t="s">
        <v>53</v>
      </c>
      <c r="O43" s="1" t="s">
        <v>32</v>
      </c>
      <c r="P43" s="1" t="s">
        <v>47</v>
      </c>
      <c r="Q43" s="11">
        <v>45754</v>
      </c>
      <c r="R43" s="1">
        <v>5</v>
      </c>
    </row>
    <row r="44" ht="195" customHeight="1" spans="1:18" x14ac:dyDescent="0.25">
      <c r="A44" s="1" t="s">
        <v>3624</v>
      </c>
      <c r="B44" s="2" t="s">
        <v>108</v>
      </c>
      <c r="C44" s="1" t="s">
        <v>78</v>
      </c>
      <c r="D44" s="1">
        <v>415110</v>
      </c>
      <c r="E44" s="1" t="s">
        <v>37</v>
      </c>
      <c r="F44" s="11">
        <v>45756</v>
      </c>
      <c r="G44" s="11" t="s">
        <v>28</v>
      </c>
      <c r="H44" s="2" t="s">
        <v>194</v>
      </c>
      <c r="I44" s="2" t="s">
        <v>3631</v>
      </c>
      <c r="J44" s="12">
        <v>0.020833333332120674</v>
      </c>
      <c r="K44" s="12">
        <v>0.03472222222262644</v>
      </c>
      <c r="L44" s="13">
        <f>CRF_3[[#This Row],[Time Spent on Configuration]]+CRF_3[[#This Row],[Time Spent on Review/Testing]]</f>
        <v>0.055555555554747116</v>
      </c>
      <c r="N44" s="1" t="s">
        <v>53</v>
      </c>
      <c r="O44" s="1" t="s">
        <v>32</v>
      </c>
      <c r="P44" s="1" t="s">
        <v>42</v>
      </c>
      <c r="Q44" s="11">
        <v>45756</v>
      </c>
      <c r="R44" s="1">
        <v>5</v>
      </c>
    </row>
    <row r="45" ht="240" customHeight="1" spans="1:18" x14ac:dyDescent="0.25">
      <c r="A45" s="1" t="s">
        <v>3624</v>
      </c>
      <c r="B45" s="2" t="s">
        <v>60</v>
      </c>
      <c r="C45" s="1" t="s">
        <v>61</v>
      </c>
      <c r="D45" s="1">
        <v>414696</v>
      </c>
      <c r="E45" s="1" t="s">
        <v>37</v>
      </c>
      <c r="F45" s="11">
        <v>45757</v>
      </c>
      <c r="G45" s="11" t="s">
        <v>38</v>
      </c>
      <c r="H45" s="2" t="s">
        <v>3632</v>
      </c>
      <c r="I45" s="2" t="s">
        <v>3633</v>
      </c>
      <c r="J45" s="12">
        <v>0.020833333332120674</v>
      </c>
      <c r="K45" s="12">
        <v>0.027777777777373558</v>
      </c>
      <c r="L45" s="13">
        <f>CRF_3[[#This Row],[Time Spent on Configuration]]+CRF_3[[#This Row],[Time Spent on Review/Testing]]</f>
        <v>0.04861111110949423</v>
      </c>
      <c r="N45" s="1" t="s">
        <v>53</v>
      </c>
      <c r="O45" s="1" t="s">
        <v>32</v>
      </c>
      <c r="P45" s="1" t="s">
        <v>47</v>
      </c>
      <c r="Q45" s="11">
        <v>45757</v>
      </c>
      <c r="R45" s="1">
        <v>5</v>
      </c>
    </row>
    <row r="46" ht="225" customHeight="1" spans="1:18" x14ac:dyDescent="0.25">
      <c r="A46" s="1" t="s">
        <v>3624</v>
      </c>
      <c r="B46" s="2" t="s">
        <v>199</v>
      </c>
      <c r="C46" s="1" t="s">
        <v>200</v>
      </c>
      <c r="D46" s="1">
        <v>415107</v>
      </c>
      <c r="E46" s="1" t="s">
        <v>37</v>
      </c>
      <c r="F46" s="11">
        <v>45757</v>
      </c>
      <c r="G46" s="11" t="s">
        <v>38</v>
      </c>
      <c r="H46" s="2" t="s">
        <v>3634</v>
      </c>
      <c r="I46" s="2" t="s">
        <v>3635</v>
      </c>
      <c r="J46" s="12">
        <v>0.020833333332120674</v>
      </c>
      <c r="K46" s="12">
        <v>0.027777777777373558</v>
      </c>
      <c r="L46" s="13">
        <f>CRF_3[[#This Row],[Time Spent on Configuration]]+CRF_3[[#This Row],[Time Spent on Review/Testing]]</f>
        <v>0.04861111110949423</v>
      </c>
      <c r="N46" s="1" t="s">
        <v>53</v>
      </c>
      <c r="O46" s="1" t="s">
        <v>32</v>
      </c>
      <c r="P46" s="1" t="s">
        <v>42</v>
      </c>
      <c r="Q46" s="11">
        <v>45757</v>
      </c>
      <c r="R46" s="1">
        <v>4</v>
      </c>
    </row>
    <row r="47" ht="180" customHeight="1" spans="1:18" x14ac:dyDescent="0.25">
      <c r="A47" s="1" t="s">
        <v>3624</v>
      </c>
      <c r="B47" s="2" t="s">
        <v>113</v>
      </c>
      <c r="C47" s="1" t="s">
        <v>25</v>
      </c>
      <c r="D47" s="1">
        <v>410320</v>
      </c>
      <c r="E47" s="1" t="s">
        <v>37</v>
      </c>
      <c r="F47" s="11">
        <v>45758</v>
      </c>
      <c r="G47" s="11" t="s">
        <v>28</v>
      </c>
      <c r="H47" s="2" t="s">
        <v>205</v>
      </c>
      <c r="I47" s="2" t="s">
        <v>206</v>
      </c>
      <c r="J47" s="12">
        <v>0.013888888890505768</v>
      </c>
      <c r="K47" s="12">
        <v>0.010416666667879326</v>
      </c>
      <c r="L47" s="13">
        <f>CRF_3[[#This Row],[Time Spent on Configuration]]+CRF_3[[#This Row],[Time Spent on Review/Testing]]</f>
        <v>0.024305555554747116</v>
      </c>
      <c r="N47" s="1" t="s">
        <v>53</v>
      </c>
      <c r="O47" s="1" t="s">
        <v>32</v>
      </c>
      <c r="P47" s="1" t="s">
        <v>47</v>
      </c>
      <c r="Q47" s="11">
        <v>45758</v>
      </c>
      <c r="R47" s="1">
        <v>4</v>
      </c>
    </row>
    <row r="48" ht="210" customHeight="1" spans="1:18" x14ac:dyDescent="0.25">
      <c r="A48" s="1" t="s">
        <v>3624</v>
      </c>
      <c r="B48" s="2" t="s">
        <v>108</v>
      </c>
      <c r="C48" s="1" t="s">
        <v>78</v>
      </c>
      <c r="D48" s="1">
        <v>415887</v>
      </c>
      <c r="E48" s="1" t="s">
        <v>37</v>
      </c>
      <c r="F48" s="11">
        <v>45764</v>
      </c>
      <c r="G48" s="11" t="s">
        <v>28</v>
      </c>
      <c r="H48" s="2" t="s">
        <v>3636</v>
      </c>
      <c r="I48" s="2" t="s">
        <v>209</v>
      </c>
      <c r="J48" s="12">
        <v>0.013888888890505768</v>
      </c>
      <c r="K48" s="12">
        <v>0.0625</v>
      </c>
      <c r="L48" s="13">
        <f>CRF_3[[#This Row],[Time Spent on Configuration]]+CRF_3[[#This Row],[Time Spent on Review/Testing]]</f>
        <v>0.07638888889050577</v>
      </c>
      <c r="N48" s="1" t="s">
        <v>31</v>
      </c>
      <c r="O48" s="1" t="s">
        <v>210</v>
      </c>
      <c r="P48" s="1" t="s">
        <v>42</v>
      </c>
      <c r="Q48" s="11">
        <v>45764</v>
      </c>
      <c r="R48" s="1">
        <v>4</v>
      </c>
    </row>
    <row r="49" ht="60" customHeight="1" spans="1:18" x14ac:dyDescent="0.25">
      <c r="A49" s="1" t="s">
        <v>3624</v>
      </c>
      <c r="B49" s="2" t="s">
        <v>199</v>
      </c>
      <c r="C49" s="1" t="s">
        <v>200</v>
      </c>
      <c r="D49" s="1">
        <v>415973</v>
      </c>
      <c r="E49" s="1" t="s">
        <v>37</v>
      </c>
      <c r="F49" s="11">
        <v>45764</v>
      </c>
      <c r="G49" s="11" t="s">
        <v>28</v>
      </c>
      <c r="H49" s="2" t="s">
        <v>3637</v>
      </c>
      <c r="I49" s="2" t="s">
        <v>3638</v>
      </c>
      <c r="J49" s="12">
        <v>0.013888888890505768</v>
      </c>
      <c r="K49" s="12">
        <v>0.041666666667879326</v>
      </c>
      <c r="L49" s="13">
        <f>CRF_3[[#This Row],[Time Spent on Configuration]]+CRF_3[[#This Row],[Time Spent on Review/Testing]]</f>
        <v>0.055555555554747116</v>
      </c>
      <c r="N49" s="1" t="s">
        <v>31</v>
      </c>
      <c r="O49" s="1" t="s">
        <v>210</v>
      </c>
      <c r="P49" s="1" t="s">
        <v>42</v>
      </c>
      <c r="Q49" s="11">
        <v>45764</v>
      </c>
      <c r="R49" s="1">
        <v>4</v>
      </c>
    </row>
    <row r="50" ht="60" customHeight="1" spans="1:18" x14ac:dyDescent="0.25">
      <c r="A50" s="1" t="s">
        <v>3624</v>
      </c>
      <c r="B50" s="2" t="s">
        <v>199</v>
      </c>
      <c r="C50" s="1" t="s">
        <v>200</v>
      </c>
      <c r="D50" s="1">
        <v>415973</v>
      </c>
      <c r="E50" s="1" t="s">
        <v>37</v>
      </c>
      <c r="F50" s="11">
        <v>45768</v>
      </c>
      <c r="G50" s="11" t="s">
        <v>38</v>
      </c>
      <c r="H50" s="2" t="s">
        <v>214</v>
      </c>
      <c r="I50" s="2" t="s">
        <v>3639</v>
      </c>
      <c r="J50" s="12">
        <v>0.013888888890505768</v>
      </c>
      <c r="K50" s="12"/>
      <c r="L50" s="13">
        <f>CRF_3[[#This Row],[Time Spent on Configuration]]+CRF_3[[#This Row],[Time Spent on Review/Testing]]</f>
        <v>0.013888888890505768</v>
      </c>
      <c r="N50" s="1" t="s">
        <v>31</v>
      </c>
      <c r="P50" s="1" t="s">
        <v>42</v>
      </c>
      <c r="Q50" s="11">
        <v>45768</v>
      </c>
      <c r="R50" s="1">
        <v>4</v>
      </c>
    </row>
    <row r="51" ht="225" customHeight="1" spans="1:18" x14ac:dyDescent="0.25">
      <c r="A51" s="1" t="s">
        <v>3624</v>
      </c>
      <c r="B51" s="2" t="s">
        <v>122</v>
      </c>
      <c r="C51" s="1" t="s">
        <v>123</v>
      </c>
      <c r="D51" s="1">
        <v>415841</v>
      </c>
      <c r="E51" s="1" t="s">
        <v>27</v>
      </c>
      <c r="F51" s="11">
        <v>45770</v>
      </c>
      <c r="G51" s="11" t="s">
        <v>38</v>
      </c>
      <c r="H51" s="2" t="s">
        <v>3640</v>
      </c>
      <c r="I51" s="2" t="s">
        <v>3641</v>
      </c>
      <c r="J51" s="12">
        <v>0.03125</v>
      </c>
      <c r="K51" s="12">
        <v>0.020833333332120674</v>
      </c>
      <c r="L51" s="13">
        <f>CRF_3[[#This Row],[Time Spent on Configuration]]+CRF_3[[#This Row],[Time Spent on Review/Testing]]</f>
        <v>0.052083333332120674</v>
      </c>
      <c r="N51" s="1" t="s">
        <v>31</v>
      </c>
      <c r="O51" s="1" t="s">
        <v>32</v>
      </c>
      <c r="P51" s="1" t="s">
        <v>47</v>
      </c>
      <c r="Q51" s="11">
        <v>45770</v>
      </c>
      <c r="R51" s="1">
        <v>5</v>
      </c>
    </row>
    <row r="52" ht="135" customHeight="1" spans="1:18" x14ac:dyDescent="0.25">
      <c r="A52" s="1" t="s">
        <v>3624</v>
      </c>
      <c r="B52" s="2" t="s">
        <v>219</v>
      </c>
      <c r="C52" s="1" t="s">
        <v>147</v>
      </c>
      <c r="D52" s="1">
        <v>416778</v>
      </c>
      <c r="E52" s="1" t="s">
        <v>27</v>
      </c>
      <c r="F52" s="11">
        <v>45771</v>
      </c>
      <c r="G52" s="11" t="s">
        <v>38</v>
      </c>
      <c r="H52" s="2" t="s">
        <v>3642</v>
      </c>
      <c r="I52" s="2" t="s">
        <v>3643</v>
      </c>
      <c r="J52" s="12">
        <v>0.01736111110949423</v>
      </c>
      <c r="K52" s="12">
        <v>0.020833333332120674</v>
      </c>
      <c r="L52" s="13">
        <f>CRF_3[[#This Row],[Time Spent on Configuration]]+CRF_3[[#This Row],[Time Spent on Review/Testing]]</f>
        <v>0.038194444445252884</v>
      </c>
      <c r="N52" s="1" t="s">
        <v>32</v>
      </c>
      <c r="O52" s="1" t="s">
        <v>210</v>
      </c>
      <c r="P52" s="1" t="s">
        <v>47</v>
      </c>
      <c r="Q52" s="11">
        <v>45771</v>
      </c>
      <c r="R52" s="1">
        <v>5</v>
      </c>
    </row>
    <row r="53" ht="255" customHeight="1" spans="1:17" x14ac:dyDescent="0.25">
      <c r="A53" s="1" t="s">
        <v>3624</v>
      </c>
      <c r="B53" s="2" t="s">
        <v>223</v>
      </c>
      <c r="C53" s="1" t="s">
        <v>147</v>
      </c>
      <c r="D53" s="1">
        <v>415272</v>
      </c>
      <c r="E53" s="1" t="s">
        <v>27</v>
      </c>
      <c r="F53" s="11">
        <v>45777</v>
      </c>
      <c r="G53" s="11" t="s">
        <v>38</v>
      </c>
      <c r="H53" s="2" t="s">
        <v>3644</v>
      </c>
      <c r="I53" s="18" t="s">
        <v>3645</v>
      </c>
      <c r="J53" s="12">
        <v>0.041666666667879326</v>
      </c>
      <c r="K53" s="12">
        <v>0.03472222222262644</v>
      </c>
      <c r="L53" s="13">
        <f>CRF_3[[#This Row],[Time Spent on Configuration]]+CRF_3[[#This Row],[Time Spent on Review/Testing]]</f>
        <v>0.07638888889050577</v>
      </c>
      <c r="N53" s="1" t="s">
        <v>31</v>
      </c>
      <c r="O53" s="1" t="s">
        <v>32</v>
      </c>
      <c r="P53" s="1" t="s">
        <v>42</v>
      </c>
      <c r="Q53" s="11">
        <v>45777</v>
      </c>
    </row>
    <row r="54" ht="165" customHeight="1" spans="1:18" x14ac:dyDescent="0.25">
      <c r="A54" s="1" t="s">
        <v>3646</v>
      </c>
      <c r="B54" s="2" t="s">
        <v>228</v>
      </c>
      <c r="C54" s="1" t="s">
        <v>229</v>
      </c>
      <c r="D54" s="1">
        <v>417825</v>
      </c>
      <c r="E54" s="1" t="s">
        <v>27</v>
      </c>
      <c r="F54" s="11">
        <v>45782</v>
      </c>
      <c r="G54" s="11" t="s">
        <v>38</v>
      </c>
      <c r="H54" s="2" t="s">
        <v>3647</v>
      </c>
      <c r="I54" s="2" t="s">
        <v>3648</v>
      </c>
      <c r="J54" s="12">
        <v>0.020833333332120674</v>
      </c>
      <c r="K54" s="12">
        <v>0.03472222222262644</v>
      </c>
      <c r="L54" s="13">
        <f>CRF_3[[#This Row],[Time Spent on Configuration]]+CRF_3[[#This Row],[Time Spent on Review/Testing]]</f>
        <v>0.055555555554747116</v>
      </c>
      <c r="N54" s="1" t="s">
        <v>53</v>
      </c>
      <c r="O54" s="1" t="s">
        <v>32</v>
      </c>
      <c r="P54" s="1" t="s">
        <v>42</v>
      </c>
      <c r="Q54" s="11">
        <v>45782</v>
      </c>
      <c r="R54" s="1">
        <v>5</v>
      </c>
    </row>
    <row r="55" ht="165" customHeight="1" spans="1:18" x14ac:dyDescent="0.25">
      <c r="A55" s="1" t="s">
        <v>3646</v>
      </c>
      <c r="B55" s="2" t="s">
        <v>142</v>
      </c>
      <c r="C55" s="1" t="s">
        <v>25</v>
      </c>
      <c r="D55" s="1">
        <v>415271</v>
      </c>
      <c r="E55" s="1" t="s">
        <v>27</v>
      </c>
      <c r="F55" s="11">
        <v>45789</v>
      </c>
      <c r="G55" s="11" t="s">
        <v>38</v>
      </c>
      <c r="H55" s="2" t="s">
        <v>3649</v>
      </c>
      <c r="I55" s="2" t="s">
        <v>3650</v>
      </c>
      <c r="J55" s="12">
        <v>0.020833333332120674</v>
      </c>
      <c r="K55" s="12">
        <v>0.055555555554747116</v>
      </c>
      <c r="L55" s="13">
        <f>CRF_3[[#This Row],[Time Spent on Configuration]]+CRF_3[[#This Row],[Time Spent on Review/Testing]]</f>
        <v>0.07638888889050577</v>
      </c>
      <c r="N55" s="1" t="s">
        <v>53</v>
      </c>
      <c r="O55" s="1" t="s">
        <v>32</v>
      </c>
      <c r="P55" s="1" t="s">
        <v>47</v>
      </c>
      <c r="Q55" s="11">
        <v>45789</v>
      </c>
      <c r="R55" s="1">
        <v>4</v>
      </c>
    </row>
    <row r="56" ht="315" customHeight="1" spans="1:18" x14ac:dyDescent="0.25">
      <c r="A56" s="1" t="s">
        <v>3646</v>
      </c>
      <c r="B56" s="2" t="s">
        <v>43</v>
      </c>
      <c r="C56" s="1" t="s">
        <v>236</v>
      </c>
      <c r="D56" s="1">
        <v>418141</v>
      </c>
      <c r="E56" s="1" t="s">
        <v>37</v>
      </c>
      <c r="F56" s="11">
        <v>45790</v>
      </c>
      <c r="G56" s="11" t="s">
        <v>38</v>
      </c>
      <c r="H56" s="2" t="s">
        <v>3651</v>
      </c>
      <c r="I56" s="2" t="s">
        <v>3652</v>
      </c>
      <c r="J56" s="12">
        <v>0.041666666667879326</v>
      </c>
      <c r="K56" s="12">
        <v>0.09722222222262644</v>
      </c>
      <c r="L56" s="13">
        <f>CRF_3[[#This Row],[Time Spent on Configuration]]+CRF_3[[#This Row],[Time Spent on Review/Testing]]</f>
        <v>0.13888888889050577</v>
      </c>
      <c r="N56" s="1" t="s">
        <v>31</v>
      </c>
      <c r="O56" s="1" t="s">
        <v>240</v>
      </c>
      <c r="P56" s="1" t="s">
        <v>47</v>
      </c>
      <c r="Q56" s="11">
        <v>45791</v>
      </c>
      <c r="R56" s="1">
        <v>5</v>
      </c>
    </row>
    <row r="57" ht="135" customHeight="1" spans="1:18" x14ac:dyDescent="0.25">
      <c r="A57" s="1" t="s">
        <v>3646</v>
      </c>
      <c r="B57" s="2" t="s">
        <v>24</v>
      </c>
      <c r="C57" s="1" t="s">
        <v>25</v>
      </c>
      <c r="D57" s="1">
        <v>420317</v>
      </c>
      <c r="E57" s="1" t="s">
        <v>27</v>
      </c>
      <c r="F57" s="11">
        <v>45798</v>
      </c>
      <c r="G57" s="11" t="s">
        <v>28</v>
      </c>
      <c r="H57" s="2" t="s">
        <v>3653</v>
      </c>
      <c r="I57" s="2" t="s">
        <v>3654</v>
      </c>
      <c r="J57" s="12">
        <v>0.08333333333212067</v>
      </c>
      <c r="K57" s="12">
        <v>0.03472222222262644</v>
      </c>
      <c r="L57" s="13">
        <f>CRF_3[[#This Row],[Time Spent on Configuration]]+CRF_3[[#This Row],[Time Spent on Review/Testing]]</f>
        <v>0.11805555555474712</v>
      </c>
      <c r="N57" s="1" t="s">
        <v>240</v>
      </c>
      <c r="O57" s="1" t="s">
        <v>210</v>
      </c>
      <c r="P57" s="1" t="s">
        <v>244</v>
      </c>
      <c r="Q57" s="11">
        <v>45798</v>
      </c>
      <c r="R57" s="1">
        <v>5</v>
      </c>
    </row>
    <row r="58" ht="255" customHeight="1" spans="1:18" x14ac:dyDescent="0.25">
      <c r="A58" s="1" t="s">
        <v>3646</v>
      </c>
      <c r="B58" s="2" t="s">
        <v>113</v>
      </c>
      <c r="C58" s="1" t="s">
        <v>25</v>
      </c>
      <c r="D58" s="1">
        <v>410320</v>
      </c>
      <c r="E58" s="1" t="s">
        <v>37</v>
      </c>
      <c r="F58" s="11">
        <v>45799</v>
      </c>
      <c r="G58" s="11" t="s">
        <v>28</v>
      </c>
      <c r="H58" s="2" t="s">
        <v>3655</v>
      </c>
      <c r="I58" s="17" t="s">
        <v>3656</v>
      </c>
      <c r="J58" s="12">
        <v>0.041666666667879326</v>
      </c>
      <c r="K58" s="12">
        <v>0.055555555554747116</v>
      </c>
      <c r="L58" s="13">
        <f>CRF_3[[#This Row],[Time Spent on Configuration]]+CRF_3[[#This Row],[Time Spent on Review/Testing]]</f>
        <v>0.09722222222262644</v>
      </c>
      <c r="N58" s="1" t="s">
        <v>31</v>
      </c>
      <c r="O58" s="1" t="s">
        <v>32</v>
      </c>
      <c r="P58" s="1" t="s">
        <v>117</v>
      </c>
      <c r="Q58" s="11">
        <v>45799</v>
      </c>
      <c r="R58" s="1">
        <v>5</v>
      </c>
    </row>
    <row r="59" ht="150" customHeight="1" spans="1:18" x14ac:dyDescent="0.25">
      <c r="A59" s="1" t="s">
        <v>3646</v>
      </c>
      <c r="B59" s="2" t="s">
        <v>247</v>
      </c>
      <c r="C59" s="1" t="s">
        <v>25</v>
      </c>
      <c r="D59" s="1">
        <v>416332</v>
      </c>
      <c r="E59" s="1" t="s">
        <v>37</v>
      </c>
      <c r="F59" s="11">
        <v>45800</v>
      </c>
      <c r="G59" s="11" t="s">
        <v>74</v>
      </c>
      <c r="H59" s="2" t="s">
        <v>3657</v>
      </c>
      <c r="I59" s="2" t="s">
        <v>3658</v>
      </c>
      <c r="J59" s="12">
        <v>0.041666666667879326</v>
      </c>
      <c r="K59" s="12">
        <v>0.04861111110949423</v>
      </c>
      <c r="L59" s="13">
        <f>CRF_3[[#This Row],[Time Spent on Configuration]]+CRF_3[[#This Row],[Time Spent on Review/Testing]]</f>
        <v>0.09027777777737356</v>
      </c>
      <c r="N59" s="1" t="s">
        <v>31</v>
      </c>
      <c r="O59" s="1" t="s">
        <v>240</v>
      </c>
      <c r="P59" s="1" t="s">
        <v>47</v>
      </c>
      <c r="Q59" s="11">
        <v>45800</v>
      </c>
      <c r="R59" s="1">
        <v>4</v>
      </c>
    </row>
    <row r="60" spans="1:18" x14ac:dyDescent="0.25">
      <c r="A60" s="1" t="s">
        <v>3646</v>
      </c>
      <c r="B60" s="2" t="s">
        <v>108</v>
      </c>
      <c r="C60" s="1" t="s">
        <v>78</v>
      </c>
      <c r="D60" s="1">
        <v>415130</v>
      </c>
      <c r="E60" s="1" t="s">
        <v>37</v>
      </c>
      <c r="F60" s="11">
        <v>45800</v>
      </c>
      <c r="G60" s="11" t="s">
        <v>38</v>
      </c>
      <c r="H60" s="2" t="s">
        <v>252</v>
      </c>
      <c r="I60" s="2" t="s">
        <v>253</v>
      </c>
      <c r="J60" s="12">
        <v>0.020833333332120674</v>
      </c>
      <c r="K60" s="12">
        <v>0.041666666667879326</v>
      </c>
      <c r="L60" s="13">
        <f>CRF_3[[#This Row],[Time Spent on Configuration]]+CRF_3[[#This Row],[Time Spent on Review/Testing]]</f>
        <v>0.0625</v>
      </c>
      <c r="N60" s="1" t="s">
        <v>53</v>
      </c>
      <c r="O60" s="1" t="s">
        <v>240</v>
      </c>
      <c r="P60" s="1" t="s">
        <v>42</v>
      </c>
      <c r="Q60" s="11">
        <v>45800</v>
      </c>
      <c r="R60" s="1">
        <v>5</v>
      </c>
    </row>
    <row r="61" ht="45" customHeight="1" spans="1:18" x14ac:dyDescent="0.25">
      <c r="A61" s="1" t="s">
        <v>3646</v>
      </c>
      <c r="B61" s="2" t="s">
        <v>199</v>
      </c>
      <c r="C61" s="1" t="s">
        <v>200</v>
      </c>
      <c r="D61" s="1">
        <v>420868</v>
      </c>
      <c r="E61" s="1" t="s">
        <v>27</v>
      </c>
      <c r="F61" s="11">
        <v>45800</v>
      </c>
      <c r="G61" s="11" t="s">
        <v>255</v>
      </c>
      <c r="H61" s="2" t="s">
        <v>256</v>
      </c>
      <c r="I61" s="2" t="s">
        <v>257</v>
      </c>
      <c r="J61" s="12">
        <v>0.020833333332120674</v>
      </c>
      <c r="K61" s="12">
        <v>0.006944444445252884</v>
      </c>
      <c r="L61" s="13">
        <f>CRF_3[[#This Row],[Time Spent on Configuration]]+CRF_3[[#This Row],[Time Spent on Review/Testing]]</f>
        <v>0.027777777777373558</v>
      </c>
      <c r="N61" s="1" t="s">
        <v>53</v>
      </c>
      <c r="O61" s="1" t="s">
        <v>32</v>
      </c>
      <c r="P61" s="1" t="s">
        <v>42</v>
      </c>
      <c r="Q61" s="11">
        <v>45800</v>
      </c>
      <c r="R61" s="1">
        <v>5</v>
      </c>
    </row>
    <row r="62" ht="45" customHeight="1" spans="1:18" x14ac:dyDescent="0.25">
      <c r="A62" s="1" t="s">
        <v>3646</v>
      </c>
      <c r="B62" s="2" t="s">
        <v>258</v>
      </c>
      <c r="C62" s="1" t="s">
        <v>25</v>
      </c>
      <c r="D62" s="1">
        <v>420868</v>
      </c>
      <c r="E62" s="1" t="s">
        <v>27</v>
      </c>
      <c r="F62" s="11">
        <v>45800</v>
      </c>
      <c r="G62" s="11" t="s">
        <v>255</v>
      </c>
      <c r="H62" s="2" t="s">
        <v>256</v>
      </c>
      <c r="I62" s="2" t="s">
        <v>257</v>
      </c>
      <c r="J62" s="12">
        <v>0.020833333332120674</v>
      </c>
      <c r="K62" s="12">
        <v>0.006944444445252884</v>
      </c>
      <c r="L62" s="13">
        <f>CRF_3[[#This Row],[Time Spent on Configuration]]+CRF_3[[#This Row],[Time Spent on Review/Testing]]</f>
        <v>0.027777777777373558</v>
      </c>
      <c r="N62" s="1" t="s">
        <v>53</v>
      </c>
      <c r="O62" s="1" t="s">
        <v>32</v>
      </c>
      <c r="P62" s="1" t="s">
        <v>42</v>
      </c>
      <c r="Q62" s="11">
        <v>45800</v>
      </c>
      <c r="R62" s="1">
        <v>5</v>
      </c>
    </row>
    <row r="63" ht="45" customHeight="1" spans="1:18" x14ac:dyDescent="0.25">
      <c r="A63" s="1" t="s">
        <v>3646</v>
      </c>
      <c r="B63" s="2" t="s">
        <v>259</v>
      </c>
      <c r="C63" s="1" t="s">
        <v>25</v>
      </c>
      <c r="D63" s="1">
        <v>420868</v>
      </c>
      <c r="E63" s="1" t="s">
        <v>27</v>
      </c>
      <c r="F63" s="11">
        <v>45800</v>
      </c>
      <c r="G63" s="11" t="s">
        <v>255</v>
      </c>
      <c r="H63" s="2" t="s">
        <v>256</v>
      </c>
      <c r="I63" s="2" t="s">
        <v>257</v>
      </c>
      <c r="J63" s="12">
        <v>0.020833333332120674</v>
      </c>
      <c r="K63" s="12">
        <v>0.006944444445252884</v>
      </c>
      <c r="L63" s="13">
        <f>CRF_3[[#This Row],[Time Spent on Configuration]]+CRF_3[[#This Row],[Time Spent on Review/Testing]]</f>
        <v>0.027777777777373558</v>
      </c>
      <c r="N63" s="1" t="s">
        <v>53</v>
      </c>
      <c r="O63" s="1" t="s">
        <v>32</v>
      </c>
      <c r="P63" s="1" t="s">
        <v>42</v>
      </c>
      <c r="Q63" s="11">
        <v>45800</v>
      </c>
      <c r="R63" s="1">
        <v>5</v>
      </c>
    </row>
    <row r="64" ht="45" customHeight="1" spans="1:18" x14ac:dyDescent="0.25">
      <c r="A64" s="1" t="s">
        <v>3646</v>
      </c>
      <c r="B64" s="2" t="s">
        <v>260</v>
      </c>
      <c r="C64" s="1" t="s">
        <v>261</v>
      </c>
      <c r="D64" s="1">
        <v>420868</v>
      </c>
      <c r="E64" s="1" t="s">
        <v>27</v>
      </c>
      <c r="F64" s="11">
        <v>45800</v>
      </c>
      <c r="G64" s="11" t="s">
        <v>255</v>
      </c>
      <c r="H64" s="2" t="s">
        <v>256</v>
      </c>
      <c r="I64" s="2" t="s">
        <v>257</v>
      </c>
      <c r="J64" s="12">
        <v>0.020833333332120674</v>
      </c>
      <c r="K64" s="12">
        <v>0.006944444445252884</v>
      </c>
      <c r="L64" s="13">
        <f>CRF_3[[#This Row],[Time Spent on Configuration]]+CRF_3[[#This Row],[Time Spent on Review/Testing]]</f>
        <v>0.027777777777373558</v>
      </c>
      <c r="N64" s="1" t="s">
        <v>53</v>
      </c>
      <c r="O64" s="1" t="s">
        <v>32</v>
      </c>
      <c r="P64" s="1" t="s">
        <v>42</v>
      </c>
      <c r="Q64" s="11">
        <v>45800</v>
      </c>
      <c r="R64" s="1">
        <v>5</v>
      </c>
    </row>
    <row r="65" ht="45" customHeight="1" spans="1:18" x14ac:dyDescent="0.25">
      <c r="A65" s="1" t="s">
        <v>3646</v>
      </c>
      <c r="B65" s="2" t="s">
        <v>262</v>
      </c>
      <c r="C65" s="1" t="s">
        <v>25</v>
      </c>
      <c r="D65" s="1">
        <v>420868</v>
      </c>
      <c r="E65" s="1" t="s">
        <v>27</v>
      </c>
      <c r="F65" s="11">
        <v>45800</v>
      </c>
      <c r="G65" s="11" t="s">
        <v>255</v>
      </c>
      <c r="H65" s="2" t="s">
        <v>256</v>
      </c>
      <c r="I65" s="2" t="s">
        <v>257</v>
      </c>
      <c r="J65" s="12">
        <v>0.020833333332120674</v>
      </c>
      <c r="K65" s="12">
        <v>0.006944444445252884</v>
      </c>
      <c r="L65" s="13">
        <f>CRF_3[[#This Row],[Time Spent on Configuration]]+CRF_3[[#This Row],[Time Spent on Review/Testing]]</f>
        <v>0.027777777777373558</v>
      </c>
      <c r="N65" s="1" t="s">
        <v>53</v>
      </c>
      <c r="O65" s="1" t="s">
        <v>32</v>
      </c>
      <c r="P65" s="1" t="s">
        <v>42</v>
      </c>
      <c r="Q65" s="11">
        <v>45800</v>
      </c>
      <c r="R65" s="1">
        <v>5</v>
      </c>
    </row>
    <row r="66" ht="45" customHeight="1" spans="1:18" x14ac:dyDescent="0.25">
      <c r="A66" s="1" t="s">
        <v>3646</v>
      </c>
      <c r="B66" s="2" t="s">
        <v>77</v>
      </c>
      <c r="C66" s="1" t="s">
        <v>78</v>
      </c>
      <c r="D66" s="1">
        <v>420868</v>
      </c>
      <c r="E66" s="1" t="s">
        <v>27</v>
      </c>
      <c r="F66" s="11">
        <v>45800</v>
      </c>
      <c r="G66" s="11" t="s">
        <v>255</v>
      </c>
      <c r="H66" s="2" t="s">
        <v>256</v>
      </c>
      <c r="I66" s="2" t="s">
        <v>257</v>
      </c>
      <c r="J66" s="12">
        <v>0.020833333332120674</v>
      </c>
      <c r="K66" s="12">
        <v>0.006944444445252884</v>
      </c>
      <c r="L66" s="13">
        <f>CRF_3[[#This Row],[Time Spent on Configuration]]+CRF_3[[#This Row],[Time Spent on Review/Testing]]</f>
        <v>0.027777777777373558</v>
      </c>
      <c r="N66" s="1" t="s">
        <v>53</v>
      </c>
      <c r="O66" s="1" t="s">
        <v>32</v>
      </c>
      <c r="P66" s="1" t="s">
        <v>42</v>
      </c>
      <c r="Q66" s="11">
        <v>45800</v>
      </c>
      <c r="R66" s="1">
        <v>5</v>
      </c>
    </row>
    <row r="67" ht="45" customHeight="1" spans="1:18" x14ac:dyDescent="0.25">
      <c r="A67" s="1" t="s">
        <v>3646</v>
      </c>
      <c r="B67" s="2" t="s">
        <v>263</v>
      </c>
      <c r="C67" s="1" t="s">
        <v>229</v>
      </c>
      <c r="D67" s="1">
        <v>420868</v>
      </c>
      <c r="E67" s="1" t="s">
        <v>27</v>
      </c>
      <c r="F67" s="11">
        <v>45800</v>
      </c>
      <c r="G67" s="11" t="s">
        <v>255</v>
      </c>
      <c r="H67" s="2" t="s">
        <v>256</v>
      </c>
      <c r="I67" s="2" t="s">
        <v>257</v>
      </c>
      <c r="J67" s="12">
        <v>0.020833333332120674</v>
      </c>
      <c r="K67" s="12">
        <v>0.006944444445252884</v>
      </c>
      <c r="L67" s="13">
        <f>CRF_3[[#This Row],[Time Spent on Configuration]]+CRF_3[[#This Row],[Time Spent on Review/Testing]]</f>
        <v>0.027777777777373558</v>
      </c>
      <c r="N67" s="1" t="s">
        <v>53</v>
      </c>
      <c r="O67" s="1" t="s">
        <v>32</v>
      </c>
      <c r="P67" s="1" t="s">
        <v>42</v>
      </c>
      <c r="Q67" s="11">
        <v>45800</v>
      </c>
      <c r="R67" s="1">
        <v>5</v>
      </c>
    </row>
    <row r="68" ht="126" customHeight="1" spans="1:18" x14ac:dyDescent="0.25">
      <c r="A68" s="1" t="s">
        <v>3646</v>
      </c>
      <c r="B68" s="2" t="s">
        <v>163</v>
      </c>
      <c r="C68" s="1" t="s">
        <v>25</v>
      </c>
      <c r="D68" s="1">
        <v>420648</v>
      </c>
      <c r="E68" s="1" t="s">
        <v>37</v>
      </c>
      <c r="F68" s="11">
        <v>45805</v>
      </c>
      <c r="G68" s="11" t="s">
        <v>255</v>
      </c>
      <c r="H68" s="2" t="s">
        <v>3659</v>
      </c>
      <c r="I68" s="2" t="s">
        <v>3660</v>
      </c>
      <c r="J68" s="12">
        <v>0.020833333332120674</v>
      </c>
      <c r="K68" s="12">
        <v>0.055555555554747116</v>
      </c>
      <c r="L68" s="13">
        <f>CRF_3[[#This Row],[Time Spent on Configuration]]+CRF_3[[#This Row],[Time Spent on Review/Testing]]</f>
        <v>0.07638888889050577</v>
      </c>
      <c r="N68" s="1" t="s">
        <v>31</v>
      </c>
      <c r="O68" s="1" t="s">
        <v>32</v>
      </c>
      <c r="P68" s="1" t="s">
        <v>47</v>
      </c>
      <c r="Q68" s="11">
        <v>45805</v>
      </c>
      <c r="R68" s="1">
        <v>4</v>
      </c>
    </row>
    <row r="69" ht="180" customHeight="1" spans="1:18" x14ac:dyDescent="0.25">
      <c r="A69" s="1" t="s">
        <v>3646</v>
      </c>
      <c r="B69" s="2" t="s">
        <v>65</v>
      </c>
      <c r="C69" s="1" t="s">
        <v>25</v>
      </c>
      <c r="D69" s="1">
        <v>421556</v>
      </c>
      <c r="E69" s="1" t="s">
        <v>27</v>
      </c>
      <c r="F69" s="11">
        <v>45805</v>
      </c>
      <c r="G69" s="11" t="s">
        <v>28</v>
      </c>
      <c r="H69" s="2" t="s">
        <v>3661</v>
      </c>
      <c r="I69" s="2" t="s">
        <v>3662</v>
      </c>
      <c r="J69" s="12">
        <v>0.03125</v>
      </c>
      <c r="K69" s="12">
        <v>0.041666666667879326</v>
      </c>
      <c r="L69" s="13">
        <f>CRF_3[[#This Row],[Time Spent on Configuration]]+CRF_3[[#This Row],[Time Spent on Review/Testing]]</f>
        <v>0.07291666666787933</v>
      </c>
      <c r="N69" s="1" t="s">
        <v>240</v>
      </c>
      <c r="O69" s="1" t="s">
        <v>32</v>
      </c>
      <c r="P69" s="1" t="s">
        <v>47</v>
      </c>
      <c r="Q69" s="11">
        <v>45805</v>
      </c>
      <c r="R69" s="1">
        <v>5</v>
      </c>
    </row>
    <row r="70" ht="30" customHeight="1" spans="1:18" x14ac:dyDescent="0.25">
      <c r="A70" s="1" t="s">
        <v>3663</v>
      </c>
      <c r="B70" s="2" t="s">
        <v>108</v>
      </c>
      <c r="C70" s="1" t="s">
        <v>78</v>
      </c>
      <c r="D70" s="1">
        <v>422345</v>
      </c>
      <c r="E70" s="1" t="s">
        <v>27</v>
      </c>
      <c r="F70" s="11">
        <v>45813</v>
      </c>
      <c r="G70" s="11" t="s">
        <v>38</v>
      </c>
      <c r="H70" s="2" t="s">
        <v>3664</v>
      </c>
      <c r="I70" s="2" t="s">
        <v>273</v>
      </c>
      <c r="J70" s="12">
        <v>0.041666666667879326</v>
      </c>
      <c r="K70" s="12">
        <v>0.03958333333503106</v>
      </c>
      <c r="L70" s="13">
        <f>CRF_3[[#This Row],[Time Spent on Configuration]]+CRF_3[[#This Row],[Time Spent on Review/Testing]]</f>
        <v>0.0812499999992724</v>
      </c>
      <c r="N70" s="1" t="s">
        <v>31</v>
      </c>
      <c r="O70" s="1" t="s">
        <v>240</v>
      </c>
      <c r="P70" s="1" t="s">
        <v>42</v>
      </c>
      <c r="Q70" s="11">
        <v>45813</v>
      </c>
      <c r="R70" s="1">
        <v>5</v>
      </c>
    </row>
    <row r="71" ht="300" customHeight="1" spans="1:18" x14ac:dyDescent="0.25">
      <c r="A71" s="1" t="s">
        <v>3663</v>
      </c>
      <c r="B71" s="2" t="s">
        <v>77</v>
      </c>
      <c r="C71" s="1" t="s">
        <v>78</v>
      </c>
      <c r="D71" s="1">
        <v>421855</v>
      </c>
      <c r="E71" s="1" t="s">
        <v>37</v>
      </c>
      <c r="F71" s="11">
        <v>45817</v>
      </c>
      <c r="G71" s="11" t="s">
        <v>38</v>
      </c>
      <c r="H71" s="2" t="s">
        <v>3665</v>
      </c>
      <c r="I71" s="2" t="s">
        <v>3666</v>
      </c>
      <c r="J71" s="12">
        <v>0.024305555554747116</v>
      </c>
      <c r="K71" s="12">
        <v>0.055555555554747116</v>
      </c>
      <c r="L71" s="13">
        <f>CRF_3[[#This Row],[Time Spent on Configuration]]+CRF_3[[#This Row],[Time Spent on Review/Testing]]</f>
        <v>0.07986111110949423</v>
      </c>
      <c r="N71" s="1" t="s">
        <v>31</v>
      </c>
      <c r="O71" s="1" t="s">
        <v>240</v>
      </c>
      <c r="P71" s="1" t="s">
        <v>42</v>
      </c>
      <c r="Q71" s="11">
        <v>45817</v>
      </c>
      <c r="R71" s="1">
        <v>5</v>
      </c>
    </row>
    <row r="72" ht="45" customHeight="1" spans="1:18" x14ac:dyDescent="0.25">
      <c r="A72" s="1" t="s">
        <v>3663</v>
      </c>
      <c r="B72" s="2" t="s">
        <v>219</v>
      </c>
      <c r="C72" s="1" t="s">
        <v>147</v>
      </c>
      <c r="D72" s="1">
        <v>419069</v>
      </c>
      <c r="E72" s="1" t="s">
        <v>27</v>
      </c>
      <c r="F72" s="11">
        <v>45819</v>
      </c>
      <c r="G72" s="11" t="s">
        <v>38</v>
      </c>
      <c r="H72" s="19" t="s">
        <v>278</v>
      </c>
      <c r="I72" s="2" t="s">
        <v>3667</v>
      </c>
      <c r="J72" s="12">
        <v>0.006944444445252884</v>
      </c>
      <c r="K72" s="12">
        <v>0.013888888890505768</v>
      </c>
      <c r="L72" s="13">
        <f>CRF_3[[#This Row],[Time Spent on Configuration]]+CRF_3[[#This Row],[Time Spent on Review/Testing]]</f>
        <v>0.020833333332120674</v>
      </c>
      <c r="N72" s="1" t="s">
        <v>240</v>
      </c>
      <c r="O72" s="1" t="s">
        <v>32</v>
      </c>
      <c r="P72" s="1" t="s">
        <v>47</v>
      </c>
      <c r="Q72" s="11">
        <v>45819</v>
      </c>
      <c r="R72" s="1">
        <v>5</v>
      </c>
    </row>
    <row r="73" ht="45" customHeight="1" spans="1:18" x14ac:dyDescent="0.25">
      <c r="A73" s="1" t="s">
        <v>3663</v>
      </c>
      <c r="B73" s="2" t="s">
        <v>99</v>
      </c>
      <c r="C73" s="20" t="s">
        <v>25</v>
      </c>
      <c r="D73" s="1">
        <v>419069</v>
      </c>
      <c r="E73" s="1" t="s">
        <v>27</v>
      </c>
      <c r="F73" s="11">
        <v>45819</v>
      </c>
      <c r="G73" s="11" t="s">
        <v>38</v>
      </c>
      <c r="H73" s="19" t="s">
        <v>278</v>
      </c>
      <c r="I73" s="2" t="s">
        <v>3667</v>
      </c>
      <c r="J73" s="12">
        <v>0.006944444445252884</v>
      </c>
      <c r="K73" s="12">
        <v>0.013888888890505768</v>
      </c>
      <c r="L73" s="13">
        <f>CRF_3[[#This Row],[Time Spent on Configuration]]+CRF_3[[#This Row],[Time Spent on Review/Testing]]</f>
        <v>0.020833333332120674</v>
      </c>
      <c r="N73" s="1" t="s">
        <v>240</v>
      </c>
      <c r="O73" s="1" t="s">
        <v>32</v>
      </c>
      <c r="P73" s="1" t="s">
        <v>47</v>
      </c>
      <c r="Q73" s="11">
        <v>45819</v>
      </c>
      <c r="R73" s="1">
        <v>5</v>
      </c>
    </row>
    <row r="74" ht="45" customHeight="1" spans="1:20" x14ac:dyDescent="0.25">
      <c r="A74" s="21" t="s">
        <v>3663</v>
      </c>
      <c r="B74" s="22" t="s">
        <v>199</v>
      </c>
      <c r="C74" s="23" t="s">
        <v>200</v>
      </c>
      <c r="D74" s="23">
        <v>419069</v>
      </c>
      <c r="E74" s="23" t="s">
        <v>27</v>
      </c>
      <c r="F74" s="24">
        <v>45819</v>
      </c>
      <c r="G74" s="11" t="s">
        <v>38</v>
      </c>
      <c r="H74" s="22" t="s">
        <v>278</v>
      </c>
      <c r="I74" s="22" t="s">
        <v>3667</v>
      </c>
      <c r="J74" s="12">
        <v>0.006944444445252884</v>
      </c>
      <c r="K74" s="12">
        <v>0.013888888890505768</v>
      </c>
      <c r="L74" s="13">
        <f>CRF_3[[#This Row],[Time Spent on Configuration]]+CRF_3[[#This Row],[Time Spent on Review/Testing]]</f>
        <v>0.020833333332120674</v>
      </c>
      <c r="M74" s="23"/>
      <c r="N74" s="23" t="s">
        <v>240</v>
      </c>
      <c r="O74" s="1" t="s">
        <v>32</v>
      </c>
      <c r="P74" s="23" t="s">
        <v>280</v>
      </c>
      <c r="Q74" s="24">
        <v>45819</v>
      </c>
      <c r="R74" s="1">
        <v>5</v>
      </c>
      <c r="S74" s="23"/>
      <c r="T74" s="25"/>
    </row>
    <row r="75" ht="45" customHeight="1" spans="1:20" x14ac:dyDescent="0.25">
      <c r="A75" s="26" t="s">
        <v>3663</v>
      </c>
      <c r="B75" s="27" t="s">
        <v>258</v>
      </c>
      <c r="C75" s="28" t="s">
        <v>25</v>
      </c>
      <c r="D75" s="28">
        <v>419069</v>
      </c>
      <c r="E75" s="28" t="s">
        <v>27</v>
      </c>
      <c r="F75" s="29">
        <v>45819</v>
      </c>
      <c r="G75" s="11" t="s">
        <v>38</v>
      </c>
      <c r="H75" s="27" t="s">
        <v>278</v>
      </c>
      <c r="I75" s="27" t="s">
        <v>3667</v>
      </c>
      <c r="J75" s="12">
        <v>0.006944444445252884</v>
      </c>
      <c r="K75" s="12">
        <v>0.013888888890505768</v>
      </c>
      <c r="L75" s="13">
        <f>CRF_3[[#This Row],[Time Spent on Configuration]]+CRF_3[[#This Row],[Time Spent on Review/Testing]]</f>
        <v>0.020833333332120674</v>
      </c>
      <c r="M75" s="28"/>
      <c r="N75" s="28" t="s">
        <v>240</v>
      </c>
      <c r="O75" s="1" t="s">
        <v>32</v>
      </c>
      <c r="P75" s="28" t="s">
        <v>280</v>
      </c>
      <c r="Q75" s="29">
        <v>45819</v>
      </c>
      <c r="R75" s="1">
        <v>5</v>
      </c>
      <c r="S75" s="28"/>
      <c r="T75" s="30"/>
    </row>
    <row r="76" ht="45" customHeight="1" spans="1:20" x14ac:dyDescent="0.25">
      <c r="A76" s="21" t="s">
        <v>3663</v>
      </c>
      <c r="B76" s="22" t="s">
        <v>91</v>
      </c>
      <c r="C76" s="23" t="s">
        <v>25</v>
      </c>
      <c r="D76" s="23">
        <v>419069</v>
      </c>
      <c r="E76" s="23" t="s">
        <v>27</v>
      </c>
      <c r="F76" s="24">
        <v>45819</v>
      </c>
      <c r="G76" s="11" t="s">
        <v>38</v>
      </c>
      <c r="H76" s="22" t="s">
        <v>278</v>
      </c>
      <c r="I76" s="22" t="s">
        <v>3667</v>
      </c>
      <c r="J76" s="12">
        <v>0.006944444445252884</v>
      </c>
      <c r="K76" s="12">
        <v>0.013888888890505768</v>
      </c>
      <c r="L76" s="13">
        <f>CRF_3[[#This Row],[Time Spent on Configuration]]+CRF_3[[#This Row],[Time Spent on Review/Testing]]</f>
        <v>0.020833333332120674</v>
      </c>
      <c r="M76" s="23"/>
      <c r="N76" s="23" t="s">
        <v>240</v>
      </c>
      <c r="O76" s="1" t="s">
        <v>32</v>
      </c>
      <c r="P76" s="23" t="s">
        <v>47</v>
      </c>
      <c r="Q76" s="24">
        <v>45819</v>
      </c>
      <c r="R76" s="1">
        <v>5</v>
      </c>
      <c r="S76" s="23"/>
      <c r="T76" s="25"/>
    </row>
    <row r="77" ht="45" customHeight="1" spans="1:20" x14ac:dyDescent="0.25">
      <c r="A77" s="26" t="s">
        <v>3663</v>
      </c>
      <c r="B77" s="27" t="s">
        <v>122</v>
      </c>
      <c r="C77" s="28" t="s">
        <v>123</v>
      </c>
      <c r="D77" s="28">
        <v>419069</v>
      </c>
      <c r="E77" s="28" t="s">
        <v>27</v>
      </c>
      <c r="F77" s="29">
        <v>45819</v>
      </c>
      <c r="G77" s="11" t="s">
        <v>38</v>
      </c>
      <c r="H77" s="27" t="s">
        <v>278</v>
      </c>
      <c r="I77" s="27" t="s">
        <v>3667</v>
      </c>
      <c r="J77" s="12">
        <v>0.006944444445252884</v>
      </c>
      <c r="K77" s="12">
        <v>0.013888888890505768</v>
      </c>
      <c r="L77" s="13">
        <f>CRF_3[[#This Row],[Time Spent on Configuration]]+CRF_3[[#This Row],[Time Spent on Review/Testing]]</f>
        <v>0.020833333332120674</v>
      </c>
      <c r="M77" s="28"/>
      <c r="N77" s="28" t="s">
        <v>240</v>
      </c>
      <c r="O77" s="1" t="s">
        <v>32</v>
      </c>
      <c r="P77" s="28" t="s">
        <v>47</v>
      </c>
      <c r="Q77" s="29">
        <v>45819</v>
      </c>
      <c r="R77" s="1">
        <v>5</v>
      </c>
      <c r="S77" s="28"/>
      <c r="T77" s="30"/>
    </row>
    <row r="78" ht="45" customHeight="1" spans="1:20" x14ac:dyDescent="0.25">
      <c r="A78" s="21" t="s">
        <v>3663</v>
      </c>
      <c r="B78" s="22" t="s">
        <v>170</v>
      </c>
      <c r="C78" s="23" t="s">
        <v>25</v>
      </c>
      <c r="D78" s="23">
        <v>419069</v>
      </c>
      <c r="E78" s="23" t="s">
        <v>27</v>
      </c>
      <c r="F78" s="24">
        <v>45819</v>
      </c>
      <c r="G78" s="11" t="s">
        <v>38</v>
      </c>
      <c r="H78" s="22" t="s">
        <v>278</v>
      </c>
      <c r="I78" s="22" t="s">
        <v>3667</v>
      </c>
      <c r="J78" s="12">
        <v>0.006944444445252884</v>
      </c>
      <c r="K78" s="12">
        <v>0.013888888890505768</v>
      </c>
      <c r="L78" s="13">
        <f>CRF_3[[#This Row],[Time Spent on Configuration]]+CRF_3[[#This Row],[Time Spent on Review/Testing]]</f>
        <v>0.020833333332120674</v>
      </c>
      <c r="M78" s="23"/>
      <c r="N78" s="23" t="s">
        <v>240</v>
      </c>
      <c r="O78" s="1" t="s">
        <v>32</v>
      </c>
      <c r="P78" s="23" t="s">
        <v>280</v>
      </c>
      <c r="Q78" s="24">
        <v>45819</v>
      </c>
      <c r="R78" s="1">
        <v>5</v>
      </c>
      <c r="S78" s="23"/>
      <c r="T78" s="25"/>
    </row>
    <row r="79" ht="45" customHeight="1" spans="1:20" x14ac:dyDescent="0.25">
      <c r="A79" s="26" t="s">
        <v>3663</v>
      </c>
      <c r="B79" s="27" t="s">
        <v>43</v>
      </c>
      <c r="C79" s="28" t="s">
        <v>236</v>
      </c>
      <c r="D79" s="28">
        <v>419069</v>
      </c>
      <c r="E79" s="28" t="s">
        <v>27</v>
      </c>
      <c r="F79" s="29">
        <v>45819</v>
      </c>
      <c r="G79" s="11" t="s">
        <v>38</v>
      </c>
      <c r="H79" s="27" t="s">
        <v>278</v>
      </c>
      <c r="I79" s="27" t="s">
        <v>3667</v>
      </c>
      <c r="J79" s="12">
        <v>0.006944444445252884</v>
      </c>
      <c r="K79" s="12">
        <v>0.013888888890505768</v>
      </c>
      <c r="L79" s="13">
        <f>CRF_3[[#This Row],[Time Spent on Configuration]]+CRF_3[[#This Row],[Time Spent on Review/Testing]]</f>
        <v>0.020833333332120674</v>
      </c>
      <c r="M79" s="28"/>
      <c r="N79" s="28" t="s">
        <v>240</v>
      </c>
      <c r="O79" s="1" t="s">
        <v>32</v>
      </c>
      <c r="P79" s="28" t="s">
        <v>47</v>
      </c>
      <c r="Q79" s="29">
        <v>45819</v>
      </c>
      <c r="R79" s="1">
        <v>5</v>
      </c>
      <c r="S79" s="28"/>
      <c r="T79" s="30"/>
    </row>
    <row r="80" ht="45" customHeight="1" spans="1:20" x14ac:dyDescent="0.25">
      <c r="A80" s="21" t="s">
        <v>3663</v>
      </c>
      <c r="B80" s="2" t="s">
        <v>260</v>
      </c>
      <c r="C80" s="23" t="s">
        <v>261</v>
      </c>
      <c r="D80" s="23">
        <v>419069</v>
      </c>
      <c r="E80" s="23" t="s">
        <v>27</v>
      </c>
      <c r="F80" s="24">
        <v>45819</v>
      </c>
      <c r="G80" s="11" t="s">
        <v>38</v>
      </c>
      <c r="H80" s="22" t="s">
        <v>278</v>
      </c>
      <c r="I80" s="22" t="s">
        <v>3667</v>
      </c>
      <c r="J80" s="12">
        <v>0.006944444445252884</v>
      </c>
      <c r="K80" s="12">
        <v>0.013888888890505768</v>
      </c>
      <c r="L80" s="13">
        <f>CRF_3[[#This Row],[Time Spent on Configuration]]+CRF_3[[#This Row],[Time Spent on Review/Testing]]</f>
        <v>0.020833333332120674</v>
      </c>
      <c r="M80" s="23"/>
      <c r="N80" s="23" t="s">
        <v>240</v>
      </c>
      <c r="O80" s="1" t="s">
        <v>32</v>
      </c>
      <c r="P80" s="23" t="s">
        <v>280</v>
      </c>
      <c r="Q80" s="24">
        <v>45819</v>
      </c>
      <c r="R80" s="1">
        <v>5</v>
      </c>
      <c r="S80" s="23"/>
      <c r="T80" s="25"/>
    </row>
    <row r="81" ht="45" customHeight="1" spans="1:20" x14ac:dyDescent="0.25">
      <c r="A81" s="26" t="s">
        <v>3663</v>
      </c>
      <c r="B81" s="27" t="s">
        <v>281</v>
      </c>
      <c r="C81" s="28" t="s">
        <v>282</v>
      </c>
      <c r="D81" s="28">
        <v>419069</v>
      </c>
      <c r="E81" s="28" t="s">
        <v>27</v>
      </c>
      <c r="F81" s="29">
        <v>45819</v>
      </c>
      <c r="G81" s="11" t="s">
        <v>38</v>
      </c>
      <c r="H81" s="27" t="s">
        <v>278</v>
      </c>
      <c r="I81" s="27" t="s">
        <v>3667</v>
      </c>
      <c r="J81" s="12">
        <v>0.006944444445252884</v>
      </c>
      <c r="K81" s="12">
        <v>0.013888888890505768</v>
      </c>
      <c r="L81" s="13">
        <f>CRF_3[[#This Row],[Time Spent on Configuration]]+CRF_3[[#This Row],[Time Spent on Review/Testing]]</f>
        <v>0.020833333332120674</v>
      </c>
      <c r="M81" s="28"/>
      <c r="N81" s="28" t="s">
        <v>240</v>
      </c>
      <c r="O81" s="1" t="s">
        <v>32</v>
      </c>
      <c r="P81" s="28" t="s">
        <v>244</v>
      </c>
      <c r="Q81" s="29">
        <v>45819</v>
      </c>
      <c r="R81" s="1">
        <v>5</v>
      </c>
      <c r="S81" s="28"/>
      <c r="T81" s="30"/>
    </row>
    <row r="82" ht="45" customHeight="1" spans="1:20" x14ac:dyDescent="0.25">
      <c r="A82" s="21" t="s">
        <v>3663</v>
      </c>
      <c r="B82" s="22" t="s">
        <v>283</v>
      </c>
      <c r="C82" s="23" t="s">
        <v>25</v>
      </c>
      <c r="D82" s="23">
        <v>419069</v>
      </c>
      <c r="E82" s="23" t="s">
        <v>27</v>
      </c>
      <c r="F82" s="24">
        <v>45819</v>
      </c>
      <c r="G82" s="11" t="s">
        <v>38</v>
      </c>
      <c r="H82" s="22" t="s">
        <v>278</v>
      </c>
      <c r="I82" s="22" t="s">
        <v>3667</v>
      </c>
      <c r="J82" s="12">
        <v>0.006944444445252884</v>
      </c>
      <c r="K82" s="12">
        <v>0.013888888890505768</v>
      </c>
      <c r="L82" s="13">
        <f>CRF_3[[#This Row],[Time Spent on Configuration]]+CRF_3[[#This Row],[Time Spent on Review/Testing]]</f>
        <v>0.020833333332120674</v>
      </c>
      <c r="M82" s="23"/>
      <c r="N82" s="23" t="s">
        <v>240</v>
      </c>
      <c r="O82" s="1" t="s">
        <v>32</v>
      </c>
      <c r="P82" s="23" t="s">
        <v>244</v>
      </c>
      <c r="Q82" s="24">
        <v>45819</v>
      </c>
      <c r="R82" s="1">
        <v>5</v>
      </c>
      <c r="S82" s="23"/>
      <c r="T82" s="25"/>
    </row>
    <row r="83" ht="45" customHeight="1" spans="1:20" x14ac:dyDescent="0.25">
      <c r="A83" s="26" t="s">
        <v>3663</v>
      </c>
      <c r="B83" s="27" t="s">
        <v>284</v>
      </c>
      <c r="C83" s="28" t="s">
        <v>285</v>
      </c>
      <c r="D83" s="28">
        <v>419069</v>
      </c>
      <c r="E83" s="28" t="s">
        <v>27</v>
      </c>
      <c r="F83" s="29">
        <v>45819</v>
      </c>
      <c r="G83" s="11" t="s">
        <v>38</v>
      </c>
      <c r="H83" s="27" t="s">
        <v>278</v>
      </c>
      <c r="I83" s="27" t="s">
        <v>3667</v>
      </c>
      <c r="J83" s="12">
        <v>0.006944444445252884</v>
      </c>
      <c r="K83" s="12">
        <v>0.013888888890505768</v>
      </c>
      <c r="L83" s="13">
        <f>CRF_3[[#This Row],[Time Spent on Configuration]]+CRF_3[[#This Row],[Time Spent on Review/Testing]]</f>
        <v>0.020833333332120674</v>
      </c>
      <c r="M83" s="28"/>
      <c r="N83" s="28" t="s">
        <v>240</v>
      </c>
      <c r="O83" s="1" t="s">
        <v>32</v>
      </c>
      <c r="P83" s="28" t="s">
        <v>47</v>
      </c>
      <c r="Q83" s="29">
        <v>45819</v>
      </c>
      <c r="R83" s="1">
        <v>5</v>
      </c>
      <c r="S83" s="28"/>
      <c r="T83" s="30"/>
    </row>
    <row r="84" ht="45" customHeight="1" spans="1:20" x14ac:dyDescent="0.25">
      <c r="A84" s="21" t="s">
        <v>3663</v>
      </c>
      <c r="B84" s="22" t="s">
        <v>286</v>
      </c>
      <c r="C84" s="23" t="s">
        <v>287</v>
      </c>
      <c r="D84" s="23">
        <v>419069</v>
      </c>
      <c r="E84" s="23" t="s">
        <v>27</v>
      </c>
      <c r="F84" s="24">
        <v>45819</v>
      </c>
      <c r="G84" s="11" t="s">
        <v>38</v>
      </c>
      <c r="H84" s="22" t="s">
        <v>278</v>
      </c>
      <c r="I84" s="22" t="s">
        <v>3667</v>
      </c>
      <c r="J84" s="12">
        <v>0.006944444445252884</v>
      </c>
      <c r="K84" s="12">
        <v>0.013888888890505768</v>
      </c>
      <c r="L84" s="13">
        <f>CRF_3[[#This Row],[Time Spent on Configuration]]+CRF_3[[#This Row],[Time Spent on Review/Testing]]</f>
        <v>0.020833333332120674</v>
      </c>
      <c r="M84" s="23"/>
      <c r="N84" s="23" t="s">
        <v>240</v>
      </c>
      <c r="O84" s="1" t="s">
        <v>32</v>
      </c>
      <c r="P84" s="23" t="s">
        <v>47</v>
      </c>
      <c r="Q84" s="24">
        <v>45819</v>
      </c>
      <c r="R84" s="1">
        <v>5</v>
      </c>
      <c r="S84" s="23"/>
      <c r="T84" s="25"/>
    </row>
    <row r="85" ht="45" customHeight="1" spans="1:20" x14ac:dyDescent="0.25">
      <c r="A85" s="26" t="s">
        <v>3663</v>
      </c>
      <c r="B85" s="27" t="s">
        <v>262</v>
      </c>
      <c r="C85" s="28" t="s">
        <v>25</v>
      </c>
      <c r="D85" s="28">
        <v>419069</v>
      </c>
      <c r="E85" s="28" t="s">
        <v>27</v>
      </c>
      <c r="F85" s="29">
        <v>45819</v>
      </c>
      <c r="G85" s="11" t="s">
        <v>38</v>
      </c>
      <c r="H85" s="27" t="s">
        <v>278</v>
      </c>
      <c r="I85" s="27" t="s">
        <v>3667</v>
      </c>
      <c r="J85" s="12">
        <v>0.006944444445252884</v>
      </c>
      <c r="K85" s="12">
        <v>0.013888888890505768</v>
      </c>
      <c r="L85" s="13">
        <f>CRF_3[[#This Row],[Time Spent on Configuration]]+CRF_3[[#This Row],[Time Spent on Review/Testing]]</f>
        <v>0.020833333332120674</v>
      </c>
      <c r="M85" s="28"/>
      <c r="N85" s="28" t="s">
        <v>240</v>
      </c>
      <c r="O85" s="1" t="s">
        <v>32</v>
      </c>
      <c r="P85" s="28" t="s">
        <v>280</v>
      </c>
      <c r="Q85" s="29">
        <v>45819</v>
      </c>
      <c r="R85" s="1">
        <v>5</v>
      </c>
      <c r="S85" s="28"/>
      <c r="T85" s="30"/>
    </row>
    <row r="86" ht="45" customHeight="1" spans="1:20" x14ac:dyDescent="0.25">
      <c r="A86" s="21" t="s">
        <v>3663</v>
      </c>
      <c r="B86" s="22" t="s">
        <v>288</v>
      </c>
      <c r="C86" s="23" t="s">
        <v>289</v>
      </c>
      <c r="D86" s="23">
        <v>419069</v>
      </c>
      <c r="E86" s="23" t="s">
        <v>27</v>
      </c>
      <c r="F86" s="24">
        <v>45819</v>
      </c>
      <c r="G86" s="11" t="s">
        <v>38</v>
      </c>
      <c r="H86" s="22" t="s">
        <v>278</v>
      </c>
      <c r="I86" s="22" t="s">
        <v>3667</v>
      </c>
      <c r="J86" s="12">
        <v>0.006944444445252884</v>
      </c>
      <c r="K86" s="12">
        <v>0.013888888890505768</v>
      </c>
      <c r="L86" s="13">
        <f>CRF_3[[#This Row],[Time Spent on Configuration]]+CRF_3[[#This Row],[Time Spent on Review/Testing]]</f>
        <v>0.020833333332120674</v>
      </c>
      <c r="M86" s="23"/>
      <c r="N86" s="23" t="s">
        <v>240</v>
      </c>
      <c r="O86" s="1" t="s">
        <v>32</v>
      </c>
      <c r="P86" s="23" t="s">
        <v>244</v>
      </c>
      <c r="Q86" s="24">
        <v>45819</v>
      </c>
      <c r="R86" s="1">
        <v>5</v>
      </c>
      <c r="S86" s="23"/>
      <c r="T86" s="25"/>
    </row>
    <row r="87" ht="45" customHeight="1" spans="1:20" x14ac:dyDescent="0.25">
      <c r="A87" s="26" t="s">
        <v>3663</v>
      </c>
      <c r="B87" s="27" t="s">
        <v>163</v>
      </c>
      <c r="C87" s="28" t="s">
        <v>25</v>
      </c>
      <c r="D87" s="28">
        <v>419069</v>
      </c>
      <c r="E87" s="28" t="s">
        <v>27</v>
      </c>
      <c r="F87" s="29">
        <v>45819</v>
      </c>
      <c r="G87" s="11" t="s">
        <v>38</v>
      </c>
      <c r="H87" s="27" t="s">
        <v>278</v>
      </c>
      <c r="I87" s="27" t="s">
        <v>3667</v>
      </c>
      <c r="J87" s="12">
        <v>0.006944444445252884</v>
      </c>
      <c r="K87" s="12">
        <v>0.013888888890505768</v>
      </c>
      <c r="L87" s="13">
        <f>CRF_3[[#This Row],[Time Spent on Configuration]]+CRF_3[[#This Row],[Time Spent on Review/Testing]]</f>
        <v>0.020833333332120674</v>
      </c>
      <c r="M87" s="28"/>
      <c r="N87" s="28" t="s">
        <v>240</v>
      </c>
      <c r="O87" s="1" t="s">
        <v>32</v>
      </c>
      <c r="P87" s="28" t="s">
        <v>47</v>
      </c>
      <c r="Q87" s="29">
        <v>45819</v>
      </c>
      <c r="R87" s="1">
        <v>5</v>
      </c>
      <c r="S87" s="28"/>
      <c r="T87" s="30"/>
    </row>
    <row r="88" ht="45" customHeight="1" spans="1:20" x14ac:dyDescent="0.25">
      <c r="A88" s="21" t="s">
        <v>3663</v>
      </c>
      <c r="B88" s="22" t="s">
        <v>247</v>
      </c>
      <c r="C88" s="23" t="s">
        <v>25</v>
      </c>
      <c r="D88" s="23">
        <v>419069</v>
      </c>
      <c r="E88" s="23" t="s">
        <v>27</v>
      </c>
      <c r="F88" s="24">
        <v>45819</v>
      </c>
      <c r="G88" s="11" t="s">
        <v>38</v>
      </c>
      <c r="H88" s="22" t="s">
        <v>278</v>
      </c>
      <c r="I88" s="22" t="s">
        <v>3667</v>
      </c>
      <c r="J88" s="12">
        <v>0.006944444445252884</v>
      </c>
      <c r="K88" s="12">
        <v>0.013888888890505768</v>
      </c>
      <c r="L88" s="13">
        <f>CRF_3[[#This Row],[Time Spent on Configuration]]+CRF_3[[#This Row],[Time Spent on Review/Testing]]</f>
        <v>0.020833333332120674</v>
      </c>
      <c r="M88" s="23"/>
      <c r="N88" s="23" t="s">
        <v>240</v>
      </c>
      <c r="O88" s="1" t="s">
        <v>32</v>
      </c>
      <c r="P88" s="23" t="s">
        <v>47</v>
      </c>
      <c r="Q88" s="24">
        <v>45819</v>
      </c>
      <c r="R88" s="1">
        <v>5</v>
      </c>
      <c r="S88" s="23"/>
      <c r="T88" s="25"/>
    </row>
    <row r="89" ht="45" customHeight="1" spans="1:20" x14ac:dyDescent="0.25">
      <c r="A89" s="26" t="s">
        <v>3663</v>
      </c>
      <c r="B89" s="27" t="s">
        <v>113</v>
      </c>
      <c r="C89" s="28" t="s">
        <v>25</v>
      </c>
      <c r="D89" s="28">
        <v>419069</v>
      </c>
      <c r="E89" s="28" t="s">
        <v>27</v>
      </c>
      <c r="F89" s="29">
        <v>45819</v>
      </c>
      <c r="G89" s="11" t="s">
        <v>38</v>
      </c>
      <c r="H89" s="27" t="s">
        <v>278</v>
      </c>
      <c r="I89" s="27" t="s">
        <v>3667</v>
      </c>
      <c r="J89" s="12">
        <v>0.006944444445252884</v>
      </c>
      <c r="K89" s="12">
        <v>0.013888888890505768</v>
      </c>
      <c r="L89" s="13">
        <f>CRF_3[[#This Row],[Time Spent on Configuration]]+CRF_3[[#This Row],[Time Spent on Review/Testing]]</f>
        <v>0.020833333332120674</v>
      </c>
      <c r="M89" s="28"/>
      <c r="N89" s="28" t="s">
        <v>240</v>
      </c>
      <c r="O89" s="1" t="s">
        <v>32</v>
      </c>
      <c r="P89" s="28" t="s">
        <v>47</v>
      </c>
      <c r="Q89" s="29">
        <v>45819</v>
      </c>
      <c r="R89" s="1">
        <v>5</v>
      </c>
      <c r="S89" s="28"/>
      <c r="T89" s="30"/>
    </row>
    <row r="90" ht="45" customHeight="1" spans="1:20" x14ac:dyDescent="0.25">
      <c r="A90" s="21" t="s">
        <v>3663</v>
      </c>
      <c r="B90" s="22" t="s">
        <v>142</v>
      </c>
      <c r="C90" s="23" t="s">
        <v>25</v>
      </c>
      <c r="D90" s="23">
        <v>419069</v>
      </c>
      <c r="E90" s="23" t="s">
        <v>27</v>
      </c>
      <c r="F90" s="24">
        <v>45819</v>
      </c>
      <c r="G90" s="11" t="s">
        <v>38</v>
      </c>
      <c r="H90" s="22" t="s">
        <v>278</v>
      </c>
      <c r="I90" s="22" t="s">
        <v>3667</v>
      </c>
      <c r="J90" s="12">
        <v>0.006944444445252884</v>
      </c>
      <c r="K90" s="12">
        <v>0.013888888890505768</v>
      </c>
      <c r="L90" s="13">
        <f>CRF_3[[#This Row],[Time Spent on Configuration]]+CRF_3[[#This Row],[Time Spent on Review/Testing]]</f>
        <v>0.020833333332120674</v>
      </c>
      <c r="M90" s="23"/>
      <c r="N90" s="23" t="s">
        <v>240</v>
      </c>
      <c r="O90" s="1" t="s">
        <v>32</v>
      </c>
      <c r="P90" s="23" t="s">
        <v>47</v>
      </c>
      <c r="Q90" s="24">
        <v>45819</v>
      </c>
      <c r="R90" s="1">
        <v>5</v>
      </c>
      <c r="S90" s="23"/>
      <c r="T90" s="25"/>
    </row>
    <row r="91" ht="45" customHeight="1" spans="1:20" x14ac:dyDescent="0.25">
      <c r="A91" s="26" t="s">
        <v>3663</v>
      </c>
      <c r="B91" s="27" t="s">
        <v>290</v>
      </c>
      <c r="C91" s="28" t="s">
        <v>25</v>
      </c>
      <c r="D91" s="28">
        <v>419069</v>
      </c>
      <c r="E91" s="28" t="s">
        <v>27</v>
      </c>
      <c r="F91" s="29">
        <v>45819</v>
      </c>
      <c r="G91" s="11" t="s">
        <v>38</v>
      </c>
      <c r="H91" s="27" t="s">
        <v>278</v>
      </c>
      <c r="I91" s="27" t="s">
        <v>3667</v>
      </c>
      <c r="J91" s="12">
        <v>0.006944444445252884</v>
      </c>
      <c r="K91" s="12">
        <v>0.013888888890505768</v>
      </c>
      <c r="L91" s="13">
        <f>CRF_3[[#This Row],[Time Spent on Configuration]]+CRF_3[[#This Row],[Time Spent on Review/Testing]]</f>
        <v>0.020833333332120674</v>
      </c>
      <c r="M91" s="28"/>
      <c r="N91" s="28" t="s">
        <v>240</v>
      </c>
      <c r="O91" s="1" t="s">
        <v>32</v>
      </c>
      <c r="P91" s="28" t="s">
        <v>244</v>
      </c>
      <c r="Q91" s="29">
        <v>45819</v>
      </c>
      <c r="R91" s="1">
        <v>5</v>
      </c>
      <c r="S91" s="28"/>
      <c r="T91" s="30"/>
    </row>
    <row r="92" ht="45" customHeight="1" spans="1:20" x14ac:dyDescent="0.25">
      <c r="A92" s="21" t="s">
        <v>3663</v>
      </c>
      <c r="B92" s="22" t="s">
        <v>291</v>
      </c>
      <c r="C92" s="23" t="s">
        <v>25</v>
      </c>
      <c r="D92" s="23">
        <v>419069</v>
      </c>
      <c r="E92" s="23" t="s">
        <v>27</v>
      </c>
      <c r="F92" s="24">
        <v>45819</v>
      </c>
      <c r="G92" s="11" t="s">
        <v>38</v>
      </c>
      <c r="H92" s="22" t="s">
        <v>278</v>
      </c>
      <c r="I92" s="22" t="s">
        <v>3667</v>
      </c>
      <c r="J92" s="12">
        <v>0.006944444445252884</v>
      </c>
      <c r="K92" s="12">
        <v>0.013888888890505768</v>
      </c>
      <c r="L92" s="13">
        <f>CRF_3[[#This Row],[Time Spent on Configuration]]+CRF_3[[#This Row],[Time Spent on Review/Testing]]</f>
        <v>0.020833333332120674</v>
      </c>
      <c r="M92" s="23"/>
      <c r="N92" s="23" t="s">
        <v>240</v>
      </c>
      <c r="O92" s="1" t="s">
        <v>32</v>
      </c>
      <c r="P92" s="23" t="s">
        <v>244</v>
      </c>
      <c r="Q92" s="24">
        <v>45819</v>
      </c>
      <c r="R92" s="1">
        <v>5</v>
      </c>
      <c r="S92" s="23"/>
      <c r="T92" s="25"/>
    </row>
    <row r="93" ht="45" customHeight="1" spans="1:20" x14ac:dyDescent="0.25">
      <c r="A93" s="26" t="s">
        <v>3663</v>
      </c>
      <c r="B93" s="27" t="s">
        <v>185</v>
      </c>
      <c r="C93" s="28" t="s">
        <v>147</v>
      </c>
      <c r="D93" s="28">
        <v>419069</v>
      </c>
      <c r="E93" s="28" t="s">
        <v>27</v>
      </c>
      <c r="F93" s="29">
        <v>45819</v>
      </c>
      <c r="G93" s="11" t="s">
        <v>38</v>
      </c>
      <c r="H93" s="27" t="s">
        <v>278</v>
      </c>
      <c r="I93" s="27" t="s">
        <v>3667</v>
      </c>
      <c r="J93" s="12">
        <v>0.006944444445252884</v>
      </c>
      <c r="K93" s="12">
        <v>0.013888888890505768</v>
      </c>
      <c r="L93" s="13">
        <f>CRF_3[[#This Row],[Time Spent on Configuration]]+CRF_3[[#This Row],[Time Spent on Review/Testing]]</f>
        <v>0.020833333332120674</v>
      </c>
      <c r="M93" s="28"/>
      <c r="N93" s="28" t="s">
        <v>240</v>
      </c>
      <c r="O93" s="1" t="s">
        <v>32</v>
      </c>
      <c r="P93" s="28" t="s">
        <v>47</v>
      </c>
      <c r="Q93" s="29">
        <v>45819</v>
      </c>
      <c r="R93" s="1">
        <v>5</v>
      </c>
      <c r="S93" s="28"/>
      <c r="T93" s="30"/>
    </row>
    <row r="94" ht="45" customHeight="1" spans="1:20" x14ac:dyDescent="0.25">
      <c r="A94" s="21" t="s">
        <v>3663</v>
      </c>
      <c r="B94" s="22" t="s">
        <v>77</v>
      </c>
      <c r="C94" s="23" t="s">
        <v>78</v>
      </c>
      <c r="D94" s="23">
        <v>419069</v>
      </c>
      <c r="E94" s="23" t="s">
        <v>27</v>
      </c>
      <c r="F94" s="24">
        <v>45819</v>
      </c>
      <c r="G94" s="11" t="s">
        <v>38</v>
      </c>
      <c r="H94" s="22" t="s">
        <v>278</v>
      </c>
      <c r="I94" s="22" t="s">
        <v>3667</v>
      </c>
      <c r="J94" s="12">
        <v>0.006944444445252884</v>
      </c>
      <c r="K94" s="12">
        <v>0.013888888890505768</v>
      </c>
      <c r="L94" s="13">
        <f>CRF_3[[#This Row],[Time Spent on Configuration]]+CRF_3[[#This Row],[Time Spent on Review/Testing]]</f>
        <v>0.020833333332120674</v>
      </c>
      <c r="M94" s="23"/>
      <c r="N94" s="23" t="s">
        <v>240</v>
      </c>
      <c r="O94" s="1" t="s">
        <v>32</v>
      </c>
      <c r="P94" s="23" t="s">
        <v>280</v>
      </c>
      <c r="Q94" s="24">
        <v>45819</v>
      </c>
      <c r="R94" s="1">
        <v>5</v>
      </c>
      <c r="S94" s="23"/>
      <c r="T94" s="25"/>
    </row>
    <row r="95" ht="45" customHeight="1" spans="1:20" x14ac:dyDescent="0.25">
      <c r="A95" s="26" t="s">
        <v>3663</v>
      </c>
      <c r="B95" s="27" t="s">
        <v>228</v>
      </c>
      <c r="C95" s="28" t="s">
        <v>229</v>
      </c>
      <c r="D95" s="28">
        <v>419069</v>
      </c>
      <c r="E95" s="28" t="s">
        <v>27</v>
      </c>
      <c r="F95" s="29">
        <v>45819</v>
      </c>
      <c r="G95" s="11" t="s">
        <v>38</v>
      </c>
      <c r="H95" s="27" t="s">
        <v>278</v>
      </c>
      <c r="I95" s="27" t="s">
        <v>3667</v>
      </c>
      <c r="J95" s="12">
        <v>0.006944444445252884</v>
      </c>
      <c r="K95" s="12">
        <v>0.013888888890505768</v>
      </c>
      <c r="L95" s="13">
        <f>CRF_3[[#This Row],[Time Spent on Configuration]]+CRF_3[[#This Row],[Time Spent on Review/Testing]]</f>
        <v>0.020833333332120674</v>
      </c>
      <c r="M95" s="28"/>
      <c r="N95" s="28" t="s">
        <v>240</v>
      </c>
      <c r="O95" s="1" t="s">
        <v>32</v>
      </c>
      <c r="P95" s="28" t="s">
        <v>280</v>
      </c>
      <c r="Q95" s="29">
        <v>45819</v>
      </c>
      <c r="R95" s="1">
        <v>5</v>
      </c>
      <c r="S95" s="28"/>
      <c r="T95" s="30"/>
    </row>
    <row r="96" ht="45" customHeight="1" spans="1:20" x14ac:dyDescent="0.25">
      <c r="A96" s="21" t="s">
        <v>3663</v>
      </c>
      <c r="B96" s="22" t="s">
        <v>72</v>
      </c>
      <c r="C96" s="23" t="s">
        <v>236</v>
      </c>
      <c r="D96" s="23">
        <v>419069</v>
      </c>
      <c r="E96" s="23" t="s">
        <v>27</v>
      </c>
      <c r="F96" s="24">
        <v>45819</v>
      </c>
      <c r="G96" s="11" t="s">
        <v>38</v>
      </c>
      <c r="H96" s="22" t="s">
        <v>278</v>
      </c>
      <c r="I96" s="22" t="s">
        <v>3667</v>
      </c>
      <c r="J96" s="12">
        <v>0.006944444445252884</v>
      </c>
      <c r="K96" s="12">
        <v>0.013888888890505768</v>
      </c>
      <c r="L96" s="13">
        <f>CRF_3[[#This Row],[Time Spent on Configuration]]+CRF_3[[#This Row],[Time Spent on Review/Testing]]</f>
        <v>0.020833333332120674</v>
      </c>
      <c r="M96" s="23"/>
      <c r="N96" s="23" t="s">
        <v>240</v>
      </c>
      <c r="O96" s="1" t="s">
        <v>32</v>
      </c>
      <c r="P96" s="23" t="s">
        <v>47</v>
      </c>
      <c r="Q96" s="24">
        <v>45819</v>
      </c>
      <c r="R96" s="1">
        <v>5</v>
      </c>
      <c r="S96" s="23"/>
      <c r="T96" s="25"/>
    </row>
    <row r="97" ht="45" customHeight="1" spans="1:20" x14ac:dyDescent="0.25">
      <c r="A97" s="31" t="s">
        <v>3663</v>
      </c>
      <c r="B97" s="32" t="s">
        <v>118</v>
      </c>
      <c r="C97" s="33" t="s">
        <v>25</v>
      </c>
      <c r="D97" s="33">
        <v>419069</v>
      </c>
      <c r="E97" s="33" t="s">
        <v>27</v>
      </c>
      <c r="F97" s="34">
        <v>45819</v>
      </c>
      <c r="G97" s="11" t="s">
        <v>38</v>
      </c>
      <c r="H97" s="32" t="s">
        <v>278</v>
      </c>
      <c r="I97" s="32" t="s">
        <v>3667</v>
      </c>
      <c r="J97" s="12">
        <v>0.006944444445252884</v>
      </c>
      <c r="K97" s="12">
        <v>0.013888888890505768</v>
      </c>
      <c r="L97" s="13">
        <f>CRF_3[[#This Row],[Time Spent on Configuration]]+CRF_3[[#This Row],[Time Spent on Review/Testing]]</f>
        <v>0.020833333332120674</v>
      </c>
      <c r="M97" s="33"/>
      <c r="N97" s="33" t="s">
        <v>240</v>
      </c>
      <c r="O97" s="1" t="s">
        <v>32</v>
      </c>
      <c r="P97" s="33" t="s">
        <v>47</v>
      </c>
      <c r="Q97" s="34">
        <v>45819</v>
      </c>
      <c r="R97" s="1">
        <v>5</v>
      </c>
      <c r="S97" s="33"/>
      <c r="T97" s="35"/>
    </row>
    <row r="98" ht="180" customHeight="1" spans="1:18" x14ac:dyDescent="0.25">
      <c r="A98" s="21" t="s">
        <v>3663</v>
      </c>
      <c r="B98" s="2" t="s">
        <v>108</v>
      </c>
      <c r="C98" s="1" t="str">
        <f>_xlfn.XLOOKUP(CRF_3[[#This Row],[Client Name]],B1:B97,C1:C97)</f>
        <v>LumberFi, Inc</v>
      </c>
      <c r="D98" s="1">
        <v>418029</v>
      </c>
      <c r="E98" s="23" t="s">
        <v>37</v>
      </c>
      <c r="F98" s="11">
        <v>45825</v>
      </c>
      <c r="G98" s="11" t="s">
        <v>38</v>
      </c>
      <c r="H98" s="2" t="s">
        <v>3668</v>
      </c>
      <c r="I98" s="2" t="s">
        <v>3669</v>
      </c>
      <c r="J98" s="12">
        <v>0.0625</v>
      </c>
      <c r="K98" s="12">
        <v>0.0625</v>
      </c>
      <c r="L98" s="13">
        <f>CRF_3[[#This Row],[Time Spent on Configuration]]+CRF_3[[#This Row],[Time Spent on Review/Testing]]</f>
        <v>0.125</v>
      </c>
      <c r="N98" s="1" t="s">
        <v>31</v>
      </c>
      <c r="O98" s="1" t="s">
        <v>32</v>
      </c>
      <c r="P98" s="1" t="s">
        <v>42</v>
      </c>
      <c r="Q98" s="11">
        <v>45826</v>
      </c>
      <c r="R98" s="1">
        <v>5</v>
      </c>
    </row>
    <row r="99" ht="330" customHeight="1" spans="1:18" x14ac:dyDescent="0.25">
      <c r="A99" s="1" t="s">
        <v>3663</v>
      </c>
      <c r="B99" s="2" t="s">
        <v>72</v>
      </c>
      <c r="C99" s="1" t="str">
        <f>_xlfn.XLOOKUP(CRF_3[[#This Row],[Client Name]],B2:B98,C2:C98)</f>
        <v>Johnson &amp; Dugan</v>
      </c>
      <c r="D99" s="1">
        <v>424347</v>
      </c>
      <c r="E99" s="23" t="s">
        <v>37</v>
      </c>
      <c r="F99" s="11">
        <v>45832</v>
      </c>
      <c r="G99" s="11" t="s">
        <v>296</v>
      </c>
      <c r="H99" s="2" t="s">
        <v>3670</v>
      </c>
      <c r="I99" s="2" t="s">
        <v>298</v>
      </c>
      <c r="J99" s="12">
        <v>0.013888888890505768</v>
      </c>
      <c r="K99" s="12">
        <v>0.020833333332120674</v>
      </c>
      <c r="L99" s="13">
        <f>CRF_3[[#This Row],[Time Spent on Configuration]]+CRF_3[[#This Row],[Time Spent on Review/Testing]]</f>
        <v>0.03472222222262644</v>
      </c>
      <c r="N99" s="1" t="s">
        <v>53</v>
      </c>
      <c r="O99" s="1" t="s">
        <v>32</v>
      </c>
      <c r="P99" s="1" t="s">
        <v>47</v>
      </c>
      <c r="Q99" s="11">
        <v>45832</v>
      </c>
      <c r="R99" s="1">
        <v>5</v>
      </c>
    </row>
    <row r="100" ht="300" customHeight="1" spans="1:18" x14ac:dyDescent="0.25">
      <c r="A100" s="1" t="s">
        <v>3663</v>
      </c>
      <c r="B100" s="2" t="s">
        <v>113</v>
      </c>
      <c r="C100" s="1" t="str">
        <f>_xlfn.XLOOKUP(CRF_3[[#This Row],[Client Name]],B3:B99,C3:C99)</f>
        <v>TrueNorth</v>
      </c>
      <c r="D100" s="1">
        <v>423487</v>
      </c>
      <c r="E100" s="23" t="s">
        <v>37</v>
      </c>
      <c r="F100" s="11">
        <v>45833</v>
      </c>
      <c r="G100" s="11" t="s">
        <v>28</v>
      </c>
      <c r="H100" s="2" t="s">
        <v>3671</v>
      </c>
      <c r="I100" s="2" t="s">
        <v>3672</v>
      </c>
      <c r="J100" s="12">
        <v>0.03125</v>
      </c>
      <c r="K100" s="12">
        <v>0.055555555554747116</v>
      </c>
      <c r="L100" s="13">
        <f>CRF_3[[#This Row],[Time Spent on Configuration]]+CRF_3[[#This Row],[Time Spent on Review/Testing]]</f>
        <v>0.08680555555474712</v>
      </c>
      <c r="N100" s="1" t="s">
        <v>31</v>
      </c>
      <c r="O100" s="1" t="s">
        <v>32</v>
      </c>
      <c r="P100" s="1" t="s">
        <v>47</v>
      </c>
      <c r="Q100" s="11">
        <v>45833</v>
      </c>
      <c r="R100" s="1">
        <v>4</v>
      </c>
    </row>
    <row r="101" ht="75" customHeight="1" spans="1:18" x14ac:dyDescent="0.25">
      <c r="A101" s="1" t="s">
        <v>3663</v>
      </c>
      <c r="B101" s="2" t="s">
        <v>65</v>
      </c>
      <c r="C101" s="1" t="str">
        <f>_xlfn.XLOOKUP(CRF_3[[#This Row],[Client Name]],B4:B100,C4:C100)</f>
        <v>TrueNorth</v>
      </c>
      <c r="D101" s="1">
        <v>422649</v>
      </c>
      <c r="E101" s="23" t="s">
        <v>27</v>
      </c>
      <c r="F101" s="11">
        <v>45832</v>
      </c>
      <c r="G101" s="11" t="s">
        <v>28</v>
      </c>
      <c r="H101" s="2" t="s">
        <v>3673</v>
      </c>
      <c r="I101" s="2" t="s">
        <v>3673</v>
      </c>
      <c r="J101" s="12">
        <v>0.020833333332120674</v>
      </c>
      <c r="K101" s="12">
        <v>0.03472222222262644</v>
      </c>
      <c r="L101" s="13">
        <f>CRF_3[[#This Row],[Time Spent on Configuration]]+CRF_3[[#This Row],[Time Spent on Review/Testing]]</f>
        <v>0.055555555554747116</v>
      </c>
      <c r="N101" s="1" t="s">
        <v>53</v>
      </c>
      <c r="O101" s="1" t="s">
        <v>32</v>
      </c>
      <c r="P101" s="1" t="s">
        <v>47</v>
      </c>
      <c r="Q101" s="11">
        <v>45832</v>
      </c>
      <c r="R101" s="1">
        <v>5</v>
      </c>
    </row>
    <row r="102" ht="45" customHeight="1" spans="1:18" x14ac:dyDescent="0.25">
      <c r="A102" s="1" t="s">
        <v>3663</v>
      </c>
      <c r="B102" s="2" t="s">
        <v>170</v>
      </c>
      <c r="C102" s="1" t="str">
        <f>_xlfn.XLOOKUP(CRF_3[[#This Row],[Client Name]],B5:B101,C5:C101)</f>
        <v>TrueNorth</v>
      </c>
      <c r="D102" s="1">
        <v>423715</v>
      </c>
      <c r="E102" s="23" t="s">
        <v>27</v>
      </c>
      <c r="F102" s="11">
        <v>45834</v>
      </c>
      <c r="G102" s="11" t="s">
        <v>133</v>
      </c>
      <c r="H102" s="2" t="s">
        <v>3674</v>
      </c>
      <c r="I102" s="17" t="s">
        <v>3675</v>
      </c>
      <c r="J102" s="12">
        <v>0.020833333332120674</v>
      </c>
      <c r="K102" s="12">
        <v>0.020833333332120674</v>
      </c>
      <c r="L102" s="13">
        <f>CRF_3[[#This Row],[Time Spent on Configuration]]+CRF_3[[#This Row],[Time Spent on Review/Testing]]</f>
        <v>0.041666666667879326</v>
      </c>
      <c r="N102" s="1" t="s">
        <v>31</v>
      </c>
      <c r="O102" s="1" t="s">
        <v>32</v>
      </c>
      <c r="P102" s="1" t="s">
        <v>42</v>
      </c>
      <c r="Q102" s="11">
        <v>45834</v>
      </c>
      <c r="R102" s="1">
        <v>5</v>
      </c>
    </row>
    <row r="103" ht="90" customHeight="1" spans="1:18" x14ac:dyDescent="0.25">
      <c r="A103" s="1" t="s">
        <v>3676</v>
      </c>
      <c r="B103" s="2" t="s">
        <v>308</v>
      </c>
      <c r="C103" s="1" t="s">
        <v>309</v>
      </c>
      <c r="D103" s="1">
        <v>418804</v>
      </c>
      <c r="E103" s="1" t="s">
        <v>37</v>
      </c>
      <c r="F103" s="11">
        <v>45839</v>
      </c>
      <c r="G103" s="11" t="s">
        <v>133</v>
      </c>
      <c r="H103" s="2" t="s">
        <v>3677</v>
      </c>
      <c r="I103" s="2" t="s">
        <v>3678</v>
      </c>
      <c r="J103" s="12">
        <v>0.013888888890505768</v>
      </c>
      <c r="K103" s="12">
        <v>0.03472222222262644</v>
      </c>
      <c r="L103" s="13">
        <f>CRF_3[[#This Row],[Time Spent on Configuration]]+CRF_3[[#This Row],[Time Spent on Review/Testing]]</f>
        <v>0.04861111110949423</v>
      </c>
      <c r="N103" s="1" t="s">
        <v>240</v>
      </c>
      <c r="O103" s="1" t="s">
        <v>32</v>
      </c>
      <c r="P103" s="1" t="s">
        <v>42</v>
      </c>
      <c r="Q103" s="11">
        <v>45839</v>
      </c>
      <c r="R103" s="1">
        <v>5</v>
      </c>
    </row>
    <row r="104" ht="90" customHeight="1" spans="1:18" x14ac:dyDescent="0.25">
      <c r="A104" s="1" t="s">
        <v>3676</v>
      </c>
      <c r="B104" s="2" t="s">
        <v>113</v>
      </c>
      <c r="C104" s="1" t="s">
        <v>25</v>
      </c>
      <c r="D104" s="1">
        <v>425457</v>
      </c>
      <c r="E104" s="23" t="s">
        <v>27</v>
      </c>
      <c r="F104" s="11">
        <v>45841</v>
      </c>
      <c r="G104" s="11" t="s">
        <v>74</v>
      </c>
      <c r="H104" s="2" t="s">
        <v>314</v>
      </c>
      <c r="I104" s="2" t="s">
        <v>3679</v>
      </c>
      <c r="J104" s="12">
        <v>0.013888888890505768</v>
      </c>
      <c r="K104" s="12">
        <v>0.03472222222262644</v>
      </c>
      <c r="L104" s="13">
        <f>CRF_3[[#This Row],[Time Spent on Configuration]]+CRF_3[[#This Row],[Time Spent on Review/Testing]]</f>
        <v>0.04861111110949423</v>
      </c>
      <c r="N104" s="1" t="s">
        <v>240</v>
      </c>
      <c r="O104" s="1" t="s">
        <v>32</v>
      </c>
      <c r="P104" s="1" t="s">
        <v>47</v>
      </c>
      <c r="Q104" s="11">
        <v>45841</v>
      </c>
      <c r="R104" s="1">
        <v>5</v>
      </c>
    </row>
    <row r="105" ht="75" customHeight="1" spans="1:18" x14ac:dyDescent="0.25">
      <c r="A105" s="1" t="s">
        <v>3676</v>
      </c>
      <c r="B105" s="2" t="s">
        <v>113</v>
      </c>
      <c r="C105" s="1" t="s">
        <v>25</v>
      </c>
      <c r="D105" s="1">
        <v>425761</v>
      </c>
      <c r="E105" s="23" t="s">
        <v>37</v>
      </c>
      <c r="F105" s="11">
        <v>45842</v>
      </c>
      <c r="G105" s="11" t="s">
        <v>38</v>
      </c>
      <c r="H105" s="2" t="s">
        <v>317</v>
      </c>
      <c r="I105" s="2" t="s">
        <v>3680</v>
      </c>
      <c r="J105" s="12">
        <v>0.01736111110949423</v>
      </c>
      <c r="K105" s="12">
        <v>0.03472222222262644</v>
      </c>
      <c r="L105" s="13">
        <f>CRF_3[[#This Row],[Time Spent on Configuration]]+CRF_3[[#This Row],[Time Spent on Review/Testing]]</f>
        <v>0.052083333332120674</v>
      </c>
      <c r="N105" s="1" t="s">
        <v>240</v>
      </c>
      <c r="O105" s="1" t="s">
        <v>32</v>
      </c>
      <c r="P105" s="1" t="s">
        <v>47</v>
      </c>
      <c r="Q105" s="11">
        <v>45842</v>
      </c>
      <c r="R105" s="1">
        <v>5</v>
      </c>
    </row>
    <row r="106" ht="120" customHeight="1" spans="1:18" x14ac:dyDescent="0.25">
      <c r="A106" s="1" t="s">
        <v>3676</v>
      </c>
      <c r="B106" s="2" t="s">
        <v>258</v>
      </c>
      <c r="C106" s="1" t="s">
        <v>25</v>
      </c>
      <c r="D106" s="1">
        <v>425582</v>
      </c>
      <c r="E106" s="23" t="s">
        <v>27</v>
      </c>
      <c r="F106" s="11">
        <v>45842</v>
      </c>
      <c r="G106" s="11" t="s">
        <v>38</v>
      </c>
      <c r="H106" s="2" t="s">
        <v>320</v>
      </c>
      <c r="I106" s="2" t="s">
        <v>321</v>
      </c>
      <c r="J106" s="12">
        <v>0.027777777777373558</v>
      </c>
      <c r="K106" s="12">
        <v>0.03472222222262644</v>
      </c>
      <c r="L106" s="13">
        <f>CRF_3[[#This Row],[Time Spent on Configuration]]+CRF_3[[#This Row],[Time Spent on Review/Testing]]</f>
        <v>0.0625</v>
      </c>
      <c r="N106" s="1" t="s">
        <v>240</v>
      </c>
      <c r="O106" s="1" t="s">
        <v>32</v>
      </c>
      <c r="P106" s="1" t="s">
        <v>47</v>
      </c>
      <c r="Q106" s="11">
        <v>45842</v>
      </c>
      <c r="R106" s="1">
        <v>5</v>
      </c>
    </row>
    <row r="107" ht="165" customHeight="1" spans="1:18" x14ac:dyDescent="0.25">
      <c r="A107" s="1" t="s">
        <v>3676</v>
      </c>
      <c r="B107" s="2" t="s">
        <v>163</v>
      </c>
      <c r="C107" s="1" t="s">
        <v>25</v>
      </c>
      <c r="D107" s="1">
        <v>424628</v>
      </c>
      <c r="E107" s="23" t="s">
        <v>27</v>
      </c>
      <c r="F107" s="11">
        <v>45842</v>
      </c>
      <c r="G107" s="11" t="s">
        <v>38</v>
      </c>
      <c r="H107" s="2" t="s">
        <v>323</v>
      </c>
      <c r="I107" s="2" t="s">
        <v>3681</v>
      </c>
      <c r="J107" s="12">
        <v>0.020833333332120674</v>
      </c>
      <c r="K107" s="12">
        <v>0.03472222222262644</v>
      </c>
      <c r="L107" s="13">
        <f>CRF_3[[#This Row],[Time Spent on Configuration]]+CRF_3[[#This Row],[Time Spent on Review/Testing]]</f>
        <v>0.055555555554747116</v>
      </c>
      <c r="N107" s="1" t="s">
        <v>240</v>
      </c>
      <c r="O107" s="1" t="s">
        <v>32</v>
      </c>
      <c r="P107" s="1" t="s">
        <v>47</v>
      </c>
      <c r="Q107" s="11">
        <v>45842</v>
      </c>
      <c r="R107" s="1">
        <v>5</v>
      </c>
    </row>
    <row r="108" ht="165" customHeight="1" spans="1:18" x14ac:dyDescent="0.25">
      <c r="A108" s="1" t="s">
        <v>3676</v>
      </c>
      <c r="B108" s="2" t="s">
        <v>43</v>
      </c>
      <c r="C108" s="1" t="s">
        <v>3682</v>
      </c>
      <c r="D108" s="1">
        <v>426191</v>
      </c>
      <c r="E108" s="23" t="s">
        <v>37</v>
      </c>
      <c r="F108" s="11">
        <v>45847</v>
      </c>
      <c r="G108" s="11" t="s">
        <v>28</v>
      </c>
      <c r="H108" s="2" t="s">
        <v>326</v>
      </c>
      <c r="I108" s="2" t="s">
        <v>3683</v>
      </c>
      <c r="J108" s="12">
        <v>0.020833333332120674</v>
      </c>
      <c r="K108" s="12">
        <v>0.03472222222262644</v>
      </c>
      <c r="L108" s="13">
        <f>CRF_3[[#This Row],[Time Spent on Configuration]]+CRF_3[[#This Row],[Time Spent on Review/Testing]]</f>
        <v>0.055555555554747116</v>
      </c>
      <c r="N108" s="1" t="s">
        <v>53</v>
      </c>
      <c r="O108" s="1" t="s">
        <v>240</v>
      </c>
      <c r="P108" s="1" t="s">
        <v>47</v>
      </c>
      <c r="Q108" s="11">
        <v>45847</v>
      </c>
      <c r="R108" s="1">
        <v>5</v>
      </c>
    </row>
    <row r="109" ht="165" customHeight="1" spans="1:18" x14ac:dyDescent="0.25">
      <c r="A109" s="1" t="s">
        <v>3676</v>
      </c>
      <c r="B109" s="2" t="s">
        <v>65</v>
      </c>
      <c r="C109" s="1" t="s">
        <v>25</v>
      </c>
      <c r="D109" s="1">
        <v>424905</v>
      </c>
      <c r="E109" s="23" t="s">
        <v>27</v>
      </c>
      <c r="F109" s="11">
        <v>45853</v>
      </c>
      <c r="G109" s="11" t="s">
        <v>38</v>
      </c>
      <c r="H109" s="2" t="s">
        <v>329</v>
      </c>
      <c r="I109" s="2" t="s">
        <v>3684</v>
      </c>
      <c r="J109" s="12">
        <v>0.013888888890505768</v>
      </c>
      <c r="K109" s="12">
        <v>0.0625</v>
      </c>
      <c r="L109" s="13">
        <f>CRF_3[[#This Row],[Time Spent on Configuration]]+CRF_3[[#This Row],[Time Spent on Review/Testing]]</f>
        <v>0.07638888889050577</v>
      </c>
      <c r="N109" s="1" t="s">
        <v>240</v>
      </c>
      <c r="O109" s="1" t="s">
        <v>32</v>
      </c>
      <c r="P109" s="1" t="s">
        <v>47</v>
      </c>
      <c r="Q109" s="11">
        <v>45853</v>
      </c>
      <c r="R109" s="1">
        <v>5</v>
      </c>
    </row>
    <row r="110" ht="90" customHeight="1" spans="1:18" x14ac:dyDescent="0.25">
      <c r="A110" s="1" t="s">
        <v>3676</v>
      </c>
      <c r="B110" s="2" t="s">
        <v>163</v>
      </c>
      <c r="C110" s="1" t="str">
        <f>_xlfn.XLOOKUP(CRF_3[[#This Row],[Client Name]],B13:B109,C13:C109)</f>
        <v>TrueNorth</v>
      </c>
      <c r="D110" s="1">
        <v>426872</v>
      </c>
      <c r="E110" s="23" t="s">
        <v>37</v>
      </c>
      <c r="F110" s="11">
        <v>45854</v>
      </c>
      <c r="G110" s="11" t="s">
        <v>28</v>
      </c>
      <c r="H110" s="2" t="s">
        <v>3685</v>
      </c>
      <c r="I110" s="2" t="s">
        <v>3686</v>
      </c>
      <c r="J110" s="12">
        <v>0.020833333332120674</v>
      </c>
      <c r="K110" s="12">
        <v>0.03472222222262644</v>
      </c>
      <c r="L110" s="13">
        <f>CRF_3[[#This Row],[Time Spent on Configuration]]+CRF_3[[#This Row],[Time Spent on Review/Testing]]</f>
        <v>0.055555555554747116</v>
      </c>
      <c r="N110" s="1" t="s">
        <v>31</v>
      </c>
      <c r="O110" s="1" t="s">
        <v>32</v>
      </c>
      <c r="P110" s="1" t="s">
        <v>47</v>
      </c>
      <c r="Q110" s="11">
        <v>45854</v>
      </c>
      <c r="R110" s="1">
        <v>5</v>
      </c>
    </row>
    <row r="111" ht="120" customHeight="1" spans="1:18" x14ac:dyDescent="0.25">
      <c r="A111" s="1" t="s">
        <v>3676</v>
      </c>
      <c r="B111" s="2" t="s">
        <v>334</v>
      </c>
      <c r="C111" s="1" t="s">
        <v>3687</v>
      </c>
      <c r="D111" s="1">
        <v>427043</v>
      </c>
      <c r="E111" s="1" t="s">
        <v>27</v>
      </c>
      <c r="F111" s="11">
        <v>45863</v>
      </c>
      <c r="G111" s="11" t="s">
        <v>133</v>
      </c>
      <c r="H111" s="2" t="s">
        <v>3688</v>
      </c>
      <c r="I111" s="2" t="s">
        <v>3689</v>
      </c>
      <c r="J111" s="12">
        <v>0.020833333332120674</v>
      </c>
      <c r="K111" s="12">
        <v>0.03472222222262644</v>
      </c>
      <c r="L111" s="13">
        <f>CRF_3[[#This Row],[Time Spent on Configuration]]+CRF_3[[#This Row],[Time Spent on Review/Testing]]</f>
        <v>0.055555555554747116</v>
      </c>
      <c r="N111" s="1" t="s">
        <v>240</v>
      </c>
      <c r="O111" s="1" t="s">
        <v>32</v>
      </c>
      <c r="P111" s="1" t="s">
        <v>42</v>
      </c>
      <c r="Q111" s="11">
        <v>45863</v>
      </c>
      <c r="R111" s="1">
        <v>5</v>
      </c>
    </row>
    <row r="112" ht="105" customHeight="1" spans="1:18" x14ac:dyDescent="0.25">
      <c r="A112" s="1" t="s">
        <v>3676</v>
      </c>
      <c r="B112" s="2" t="s">
        <v>339</v>
      </c>
      <c r="C112" s="1" t="s">
        <v>78</v>
      </c>
      <c r="D112" s="1">
        <v>423133</v>
      </c>
      <c r="E112" s="1" t="s">
        <v>37</v>
      </c>
      <c r="F112" s="11">
        <v>45869</v>
      </c>
      <c r="G112" s="11" t="s">
        <v>38</v>
      </c>
      <c r="H112" s="2" t="s">
        <v>341</v>
      </c>
      <c r="I112" s="2" t="s">
        <v>342</v>
      </c>
      <c r="J112" s="12">
        <v>0.006944444445252884</v>
      </c>
      <c r="K112" s="12">
        <v>0.04513888889050577</v>
      </c>
      <c r="L112" s="13">
        <f>CRF_3[[#This Row],[Time Spent on Configuration]]+CRF_3[[#This Row],[Time Spent on Review/Testing]]</f>
        <v>0.052083333332120674</v>
      </c>
      <c r="N112" s="1" t="s">
        <v>240</v>
      </c>
      <c r="O112" s="1" t="s">
        <v>32</v>
      </c>
      <c r="P112" s="1" t="s">
        <v>244</v>
      </c>
      <c r="Q112" s="11">
        <v>45869</v>
      </c>
      <c r="R112" s="1">
        <v>5</v>
      </c>
    </row>
    <row r="113" ht="407.25" customHeight="1" spans="1:18" x14ac:dyDescent="0.25">
      <c r="A113" s="1" t="s">
        <v>3690</v>
      </c>
      <c r="B113" s="2" t="s">
        <v>308</v>
      </c>
      <c r="C113" s="1" t="s">
        <v>309</v>
      </c>
      <c r="D113" s="1">
        <v>420654</v>
      </c>
      <c r="E113" s="1" t="s">
        <v>37</v>
      </c>
      <c r="F113" s="11">
        <v>45870</v>
      </c>
      <c r="G113" s="11" t="s">
        <v>28</v>
      </c>
      <c r="H113" s="2" t="s">
        <v>3691</v>
      </c>
      <c r="I113" s="2" t="s">
        <v>3692</v>
      </c>
      <c r="J113" s="12">
        <v>0.020833333332120674</v>
      </c>
      <c r="K113" s="12">
        <v>0.07291666666787933</v>
      </c>
      <c r="L113" s="13">
        <f>CRF_3[[#This Row],[Time Spent on Configuration]]+CRF_3[[#This Row],[Time Spent on Review/Testing]]</f>
        <v>0.09375</v>
      </c>
      <c r="N113" s="1" t="s">
        <v>347</v>
      </c>
      <c r="O113" s="1" t="s">
        <v>240</v>
      </c>
      <c r="P113" s="1" t="s">
        <v>42</v>
      </c>
      <c r="Q113" s="11">
        <v>45870</v>
      </c>
      <c r="R113" s="1">
        <v>5</v>
      </c>
    </row>
    <row r="114" ht="60" customHeight="1" spans="1:18" x14ac:dyDescent="0.25">
      <c r="A114" s="1" t="s">
        <v>3690</v>
      </c>
      <c r="B114" s="2" t="s">
        <v>348</v>
      </c>
      <c r="C114" s="1" t="s">
        <v>78</v>
      </c>
      <c r="D114" s="1">
        <v>429139</v>
      </c>
      <c r="E114" s="1" t="s">
        <v>37</v>
      </c>
      <c r="F114" s="11">
        <v>45874</v>
      </c>
      <c r="G114" s="11" t="s">
        <v>28</v>
      </c>
      <c r="H114" s="2" t="s">
        <v>350</v>
      </c>
      <c r="I114" s="2" t="s">
        <v>351</v>
      </c>
      <c r="J114" s="12">
        <v>0.01736111110949423</v>
      </c>
      <c r="K114" s="12">
        <v>0.041666666667879326</v>
      </c>
      <c r="L114" s="13">
        <f>CRF_3[[#This Row],[Time Spent on Configuration]]+CRF_3[[#This Row],[Time Spent on Review/Testing]]</f>
        <v>0.05902777777737356</v>
      </c>
      <c r="N114" s="1" t="s">
        <v>240</v>
      </c>
      <c r="O114" s="1" t="s">
        <v>32</v>
      </c>
      <c r="P114" s="1" t="s">
        <v>244</v>
      </c>
      <c r="Q114" s="11">
        <v>45874</v>
      </c>
      <c r="R114" s="1">
        <v>5</v>
      </c>
    </row>
    <row r="115" ht="150" customHeight="1" spans="1:18" x14ac:dyDescent="0.25">
      <c r="A115" s="1" t="s">
        <v>3690</v>
      </c>
      <c r="B115" s="2" t="s">
        <v>113</v>
      </c>
      <c r="C115" s="1" t="s">
        <v>25</v>
      </c>
      <c r="D115" s="1">
        <v>428742</v>
      </c>
      <c r="E115" s="1" t="s">
        <v>37</v>
      </c>
      <c r="F115" s="11">
        <v>45875</v>
      </c>
      <c r="G115" s="11" t="s">
        <v>353</v>
      </c>
      <c r="H115" s="2" t="s">
        <v>3693</v>
      </c>
      <c r="I115" s="2" t="s">
        <v>355</v>
      </c>
      <c r="J115" s="12">
        <v>0.020833333332120674</v>
      </c>
      <c r="K115" s="12">
        <v>0.038194444445252884</v>
      </c>
      <c r="L115" s="13">
        <f>CRF_3[[#This Row],[Time Spent on Configuration]]+CRF_3[[#This Row],[Time Spent on Review/Testing]]</f>
        <v>0.05902777777737356</v>
      </c>
      <c r="N115" s="1" t="s">
        <v>53</v>
      </c>
      <c r="O115" s="1" t="s">
        <v>240</v>
      </c>
      <c r="P115" s="1" t="s">
        <v>3694</v>
      </c>
      <c r="Q115" s="11">
        <v>45875</v>
      </c>
      <c r="R115" s="1">
        <v>5</v>
      </c>
    </row>
    <row r="116" ht="90" customHeight="1" spans="1:18" x14ac:dyDescent="0.25">
      <c r="A116" s="1" t="s">
        <v>3690</v>
      </c>
      <c r="B116" s="2" t="s">
        <v>65</v>
      </c>
      <c r="C116" s="1" t="s">
        <v>25</v>
      </c>
      <c r="D116" s="1">
        <v>431217</v>
      </c>
      <c r="E116" s="1" t="s">
        <v>27</v>
      </c>
      <c r="F116" s="11">
        <v>45889</v>
      </c>
      <c r="G116" s="11" t="s">
        <v>28</v>
      </c>
      <c r="H116" s="2" t="s">
        <v>357</v>
      </c>
      <c r="I116" s="2" t="s">
        <v>358</v>
      </c>
      <c r="J116" s="12">
        <v>0.020833333332120674</v>
      </c>
      <c r="K116" s="12">
        <v>0.055555555554747116</v>
      </c>
      <c r="L116" s="13">
        <f>CRF_3[[#This Row],[Time Spent on Configuration]]+CRF_3[[#This Row],[Time Spent on Review/Testing]]</f>
        <v>0.07638888889050577</v>
      </c>
      <c r="N116" s="1" t="s">
        <v>240</v>
      </c>
      <c r="O116" s="1" t="s">
        <v>32</v>
      </c>
      <c r="P116" s="1" t="s">
        <v>3694</v>
      </c>
      <c r="Q116" s="11">
        <v>45889</v>
      </c>
      <c r="R116" s="1">
        <v>5</v>
      </c>
    </row>
    <row r="117" ht="30" customHeight="1" spans="1:18" x14ac:dyDescent="0.25">
      <c r="A117" s="1" t="s">
        <v>3690</v>
      </c>
      <c r="B117" s="2" t="s">
        <v>83</v>
      </c>
      <c r="C117" s="1" t="s">
        <v>78</v>
      </c>
      <c r="D117" s="1">
        <v>431720</v>
      </c>
      <c r="E117" s="1" t="s">
        <v>37</v>
      </c>
      <c r="F117" s="11">
        <v>45891</v>
      </c>
      <c r="G117" s="11" t="s">
        <v>80</v>
      </c>
      <c r="H117" s="2" t="s">
        <v>3695</v>
      </c>
      <c r="I117" s="2" t="s">
        <v>3695</v>
      </c>
      <c r="J117" s="12">
        <v>0.020833333332120674</v>
      </c>
      <c r="K117" s="12">
        <v>0.020833333332120674</v>
      </c>
      <c r="L117" s="13">
        <f>CRF_3[[#This Row],[Time Spent on Configuration]]+CRF_3[[#This Row],[Time Spent on Review/Testing]]</f>
        <v>0.041666666667879326</v>
      </c>
      <c r="N117" s="1" t="s">
        <v>53</v>
      </c>
      <c r="O117" s="1" t="s">
        <v>32</v>
      </c>
      <c r="P117" s="1" t="s">
        <v>42</v>
      </c>
      <c r="Q117" s="11">
        <v>45891</v>
      </c>
      <c r="R117" s="1">
        <v>5</v>
      </c>
    </row>
    <row r="118" ht="105" customHeight="1" spans="1:18" x14ac:dyDescent="0.25">
      <c r="A118" s="1" t="s">
        <v>3690</v>
      </c>
      <c r="B118" s="2" t="s">
        <v>339</v>
      </c>
      <c r="C118" s="1" t="s">
        <v>78</v>
      </c>
      <c r="D118" s="1">
        <v>432172</v>
      </c>
      <c r="E118" s="1" t="s">
        <v>37</v>
      </c>
      <c r="F118" s="11">
        <v>45895</v>
      </c>
      <c r="G118" s="11" t="s">
        <v>38</v>
      </c>
      <c r="H118" s="2" t="s">
        <v>362</v>
      </c>
      <c r="I118" s="2" t="s">
        <v>3696</v>
      </c>
      <c r="J118" s="12">
        <v>0.020833333332120674</v>
      </c>
      <c r="K118" s="12">
        <v>0</v>
      </c>
      <c r="L118" s="13">
        <f>CRF_3[[#This Row],[Time Spent on Configuration]]+CRF_3[[#This Row],[Time Spent on Review/Testing]]</f>
        <v>0.020833333332120674</v>
      </c>
      <c r="N118" s="1" t="s">
        <v>53</v>
      </c>
      <c r="O118" s="1" t="s">
        <v>31</v>
      </c>
      <c r="P118" s="1" t="s">
        <v>42</v>
      </c>
      <c r="Q118" s="11">
        <v>45895</v>
      </c>
      <c r="R118" s="1">
        <v>5</v>
      </c>
    </row>
    <row r="119" ht="90" customHeight="1" spans="1:18" x14ac:dyDescent="0.25">
      <c r="A119" s="1" t="s">
        <v>3690</v>
      </c>
      <c r="B119" s="2" t="s">
        <v>258</v>
      </c>
      <c r="C119" s="1" t="s">
        <v>25</v>
      </c>
      <c r="D119" s="1">
        <v>431166</v>
      </c>
      <c r="E119" s="1" t="s">
        <v>27</v>
      </c>
      <c r="F119" s="11">
        <v>45895</v>
      </c>
      <c r="G119" s="11" t="s">
        <v>133</v>
      </c>
      <c r="H119" s="2" t="s">
        <v>365</v>
      </c>
      <c r="I119" s="2" t="s">
        <v>366</v>
      </c>
      <c r="J119" s="12">
        <v>0.020833333332120674</v>
      </c>
      <c r="K119" s="12">
        <v>0</v>
      </c>
      <c r="L119" s="13">
        <f>CRF_3[[#This Row],[Time Spent on Configuration]]+CRF_3[[#This Row],[Time Spent on Review/Testing]]</f>
        <v>0.020833333332120674</v>
      </c>
      <c r="N119" s="1" t="s">
        <v>53</v>
      </c>
      <c r="O119" s="1" t="s">
        <v>367</v>
      </c>
      <c r="P119" s="1" t="s">
        <v>42</v>
      </c>
      <c r="Q119" s="11">
        <v>45895</v>
      </c>
      <c r="R119" s="1">
        <v>5</v>
      </c>
    </row>
    <row r="120" ht="165" customHeight="1" spans="1:18" x14ac:dyDescent="0.25">
      <c r="A120" s="1" t="s">
        <v>3690</v>
      </c>
      <c r="B120" s="2" t="s">
        <v>113</v>
      </c>
      <c r="C120" s="1" t="s">
        <v>25</v>
      </c>
      <c r="D120" s="1">
        <v>432492</v>
      </c>
      <c r="E120" s="1" t="s">
        <v>27</v>
      </c>
      <c r="F120" s="11">
        <v>45897</v>
      </c>
      <c r="G120" s="11" t="s">
        <v>133</v>
      </c>
      <c r="H120" s="2" t="s">
        <v>3697</v>
      </c>
      <c r="I120" s="2" t="s">
        <v>370</v>
      </c>
      <c r="J120" s="12">
        <v>0.020833333332120674</v>
      </c>
      <c r="K120" s="12">
        <v>0.020833333332120674</v>
      </c>
      <c r="L120" s="13">
        <f>CRF_3[[#This Row],[Time Spent on Configuration]]+CRF_3[[#This Row],[Time Spent on Review/Testing]]</f>
        <v>0.041666666667879326</v>
      </c>
      <c r="N120" s="1" t="s">
        <v>53</v>
      </c>
      <c r="O120" s="1" t="s">
        <v>32</v>
      </c>
      <c r="P120" s="1" t="s">
        <v>47</v>
      </c>
      <c r="Q120" s="11">
        <v>45897</v>
      </c>
      <c r="R120" s="1">
        <v>5</v>
      </c>
    </row>
    <row r="121" ht="255" customHeight="1" spans="1:18" x14ac:dyDescent="0.25">
      <c r="A121" s="1" t="s">
        <v>3690</v>
      </c>
      <c r="B121" s="2" t="s">
        <v>77</v>
      </c>
      <c r="C121" s="1" t="s">
        <v>78</v>
      </c>
      <c r="D121" s="1">
        <v>429124</v>
      </c>
      <c r="E121" s="1" t="s">
        <v>37</v>
      </c>
      <c r="F121" s="11">
        <v>45897</v>
      </c>
      <c r="G121" s="11" t="s">
        <v>38</v>
      </c>
      <c r="H121" s="2" t="s">
        <v>372</v>
      </c>
      <c r="I121" s="2" t="s">
        <v>3698</v>
      </c>
      <c r="J121" s="12">
        <v>0.020833333332120674</v>
      </c>
      <c r="K121" s="12">
        <v>0.03472222222262644</v>
      </c>
      <c r="L121" s="13">
        <f>CRF_3[[#This Row],[Time Spent on Configuration]]+CRF_3[[#This Row],[Time Spent on Review/Testing]]</f>
        <v>0.055555555554747116</v>
      </c>
      <c r="N121" s="1" t="s">
        <v>53</v>
      </c>
      <c r="O121" s="1" t="s">
        <v>32</v>
      </c>
      <c r="P121" s="1" t="s">
        <v>42</v>
      </c>
      <c r="Q121" s="11">
        <v>45897</v>
      </c>
      <c r="R121" s="1">
        <v>5</v>
      </c>
    </row>
    <row r="122" ht="75" customHeight="1" spans="1:18" x14ac:dyDescent="0.25">
      <c r="A122" s="1" t="s">
        <v>3699</v>
      </c>
      <c r="B122" s="2" t="s">
        <v>91</v>
      </c>
      <c r="C122" s="1" t="s">
        <v>25</v>
      </c>
      <c r="D122" s="1">
        <v>433069</v>
      </c>
      <c r="E122" s="1" t="s">
        <v>27</v>
      </c>
      <c r="F122" s="11">
        <v>45902</v>
      </c>
      <c r="G122" s="11" t="s">
        <v>28</v>
      </c>
      <c r="H122" s="2" t="s">
        <v>3700</v>
      </c>
      <c r="I122" s="2" t="s">
        <v>377</v>
      </c>
      <c r="J122" s="12">
        <v>0.020833333332120674</v>
      </c>
      <c r="K122" s="12">
        <v>0.0625</v>
      </c>
      <c r="L122" s="13">
        <f>CRF_3[[#This Row],[Time Spent on Configuration]]+CRF_3[[#This Row],[Time Spent on Review/Testing]]</f>
        <v>0.08333333333212067</v>
      </c>
      <c r="N122" s="1" t="s">
        <v>378</v>
      </c>
      <c r="O122" s="1" t="s">
        <v>379</v>
      </c>
      <c r="P122" s="1" t="s">
        <v>47</v>
      </c>
      <c r="Q122" s="11">
        <v>45902</v>
      </c>
      <c r="R122" s="1">
        <v>5</v>
      </c>
    </row>
    <row r="123" ht="150" customHeight="1" spans="1:18" x14ac:dyDescent="0.25">
      <c r="A123" s="1" t="s">
        <v>3699</v>
      </c>
      <c r="B123" s="2" t="s">
        <v>185</v>
      </c>
      <c r="C123" s="1" t="str">
        <f>_xlfn.XLOOKUP(CRF_3[[#This Row],[Client Name]],B26:B122,C26:C122)</f>
        <v>The Benefit Company</v>
      </c>
      <c r="D123" s="1">
        <v>431601</v>
      </c>
      <c r="E123" s="1" t="s">
        <v>27</v>
      </c>
      <c r="F123" s="11">
        <v>45908</v>
      </c>
      <c r="G123" s="11" t="s">
        <v>38</v>
      </c>
      <c r="H123" s="2" t="s">
        <v>3701</v>
      </c>
      <c r="I123" s="2" t="s">
        <v>3701</v>
      </c>
      <c r="J123" s="12">
        <v>0.03125</v>
      </c>
      <c r="K123" s="12">
        <v>0.041666666667879326</v>
      </c>
      <c r="L123" s="13">
        <f>CRF_3[[#This Row],[Time Spent on Configuration]]+CRF_3[[#This Row],[Time Spent on Review/Testing]]</f>
        <v>0.07291666666787933</v>
      </c>
      <c r="N123" s="1" t="s">
        <v>31</v>
      </c>
      <c r="O123" s="1" t="s">
        <v>240</v>
      </c>
      <c r="P123" s="1" t="s">
        <v>47</v>
      </c>
      <c r="Q123" s="11">
        <v>45908</v>
      </c>
      <c r="R123" s="1">
        <v>5</v>
      </c>
    </row>
    <row r="124" ht="45" customHeight="1" spans="1:18" x14ac:dyDescent="0.25">
      <c r="A124" s="1" t="s">
        <v>3699</v>
      </c>
      <c r="B124" s="2" t="s">
        <v>65</v>
      </c>
      <c r="C124" s="1" t="s">
        <v>25</v>
      </c>
      <c r="D124" s="1">
        <v>434177</v>
      </c>
      <c r="E124" s="1" t="s">
        <v>27</v>
      </c>
      <c r="F124" s="11">
        <v>45911</v>
      </c>
      <c r="G124" s="11" t="s">
        <v>28</v>
      </c>
      <c r="H124" s="2" t="s">
        <v>383</v>
      </c>
      <c r="I124" s="2" t="s">
        <v>384</v>
      </c>
      <c r="J124" s="12">
        <v>0.020833333332120674</v>
      </c>
      <c r="K124" s="12">
        <v>0.041666666667879326</v>
      </c>
      <c r="L124" s="13">
        <f>CRF_3[[#This Row],[Time Spent on Configuration]]+CRF_3[[#This Row],[Time Spent on Review/Testing]]</f>
        <v>0.0625</v>
      </c>
      <c r="N124" s="1" t="s">
        <v>385</v>
      </c>
      <c r="O124" s="1" t="s">
        <v>240</v>
      </c>
      <c r="P124" s="1" t="s">
        <v>47</v>
      </c>
      <c r="Q124" s="11">
        <v>45911</v>
      </c>
      <c r="R124" s="1">
        <v>5</v>
      </c>
    </row>
    <row r="125" ht="180" customHeight="1" spans="1:18" x14ac:dyDescent="0.25">
      <c r="A125" s="1" t="s">
        <v>3699</v>
      </c>
      <c r="B125" s="2" t="s">
        <v>146</v>
      </c>
      <c r="C125" s="1" t="s">
        <v>147</v>
      </c>
      <c r="D125" s="1">
        <v>433308</v>
      </c>
      <c r="E125" s="1" t="s">
        <v>27</v>
      </c>
      <c r="F125" s="11">
        <v>45912</v>
      </c>
      <c r="G125" s="11" t="s">
        <v>50</v>
      </c>
      <c r="H125" s="2" t="s">
        <v>3702</v>
      </c>
      <c r="I125" s="2" t="s">
        <v>3703</v>
      </c>
      <c r="J125" s="12">
        <v>0.020833333332120674</v>
      </c>
      <c r="K125" s="12">
        <v>0.03472222222262644</v>
      </c>
      <c r="L125" s="13">
        <f>CRF_3[[#This Row],[Time Spent on Configuration]]+CRF_3[[#This Row],[Time Spent on Review/Testing]]</f>
        <v>0.055555555554747116</v>
      </c>
      <c r="N125" s="1" t="s">
        <v>53</v>
      </c>
      <c r="O125" s="1" t="s">
        <v>240</v>
      </c>
      <c r="P125" s="1" t="s">
        <v>47</v>
      </c>
      <c r="Q125" s="11">
        <v>45912</v>
      </c>
      <c r="R125" s="1">
        <v>5</v>
      </c>
    </row>
    <row r="126" ht="75" customHeight="1" spans="1:18" x14ac:dyDescent="0.25">
      <c r="A126" s="1" t="s">
        <v>3699</v>
      </c>
      <c r="B126" s="2" t="s">
        <v>308</v>
      </c>
      <c r="C126" s="1" t="str">
        <f>_xlfn.XLOOKUP(CRF_3[[#This Row],[Client Name]],B29:B125,C29:C125)</f>
        <v>Tribridge Partners</v>
      </c>
      <c r="D126" s="1">
        <v>422029</v>
      </c>
      <c r="E126" s="1" t="s">
        <v>37</v>
      </c>
      <c r="F126" s="11">
        <v>45913</v>
      </c>
      <c r="G126" s="11" t="s">
        <v>28</v>
      </c>
      <c r="H126" s="2" t="s">
        <v>3704</v>
      </c>
      <c r="I126" s="2" t="s">
        <v>3704</v>
      </c>
      <c r="J126" s="12">
        <v>0.020833333332120674</v>
      </c>
      <c r="K126" s="12">
        <v>0.03472222222262644</v>
      </c>
      <c r="L126" s="13">
        <f>CRF_3[[#This Row],[Time Spent on Configuration]]+CRF_3[[#This Row],[Time Spent on Review/Testing]]</f>
        <v>0.055555555554747116</v>
      </c>
      <c r="N126" s="1" t="s">
        <v>31</v>
      </c>
      <c r="O126" s="1" t="s">
        <v>32</v>
      </c>
      <c r="P126" s="1" t="s">
        <v>42</v>
      </c>
      <c r="Q126" s="11">
        <v>45913</v>
      </c>
      <c r="R126" s="1">
        <v>5</v>
      </c>
    </row>
    <row r="127" ht="330" customHeight="1" spans="1:18" x14ac:dyDescent="0.25">
      <c r="A127" s="1" t="s">
        <v>3699</v>
      </c>
      <c r="B127" s="2" t="s">
        <v>35</v>
      </c>
      <c r="C127" s="1" t="s">
        <v>25</v>
      </c>
      <c r="D127" s="1">
        <v>433679</v>
      </c>
      <c r="E127" s="1" t="s">
        <v>27</v>
      </c>
      <c r="F127" s="11">
        <v>45916</v>
      </c>
      <c r="G127" s="11" t="s">
        <v>38</v>
      </c>
      <c r="H127" s="2" t="s">
        <v>391</v>
      </c>
      <c r="I127" s="2" t="s">
        <v>3705</v>
      </c>
      <c r="J127" s="12">
        <v>0.041666666667879326</v>
      </c>
      <c r="K127" s="12">
        <v>0.04513888889050577</v>
      </c>
      <c r="L127" s="13">
        <f>CRF_3[[#This Row],[Time Spent on Configuration]]+CRF_3[[#This Row],[Time Spent on Review/Testing]]</f>
        <v>0.08680555555474712</v>
      </c>
      <c r="N127" s="1" t="s">
        <v>31</v>
      </c>
      <c r="O127" s="1" t="s">
        <v>32</v>
      </c>
      <c r="P127" s="1" t="s">
        <v>42</v>
      </c>
      <c r="Q127" s="11">
        <v>45916</v>
      </c>
      <c r="R127" s="1">
        <v>5</v>
      </c>
    </row>
    <row r="128" ht="225" customHeight="1" spans="1:18" x14ac:dyDescent="0.25">
      <c r="A128" s="1" t="s">
        <v>3699</v>
      </c>
      <c r="B128" s="2" t="s">
        <v>77</v>
      </c>
      <c r="C128" s="1" t="str">
        <f>_xlfn.XLOOKUP(CRF_3[[#This Row],[Client Name]],B31:B127,C31:C127)</f>
        <v>LumberFi, Inc</v>
      </c>
      <c r="D128" s="1">
        <v>429124</v>
      </c>
      <c r="E128" s="1" t="s">
        <v>37</v>
      </c>
      <c r="F128" s="11">
        <v>45917</v>
      </c>
      <c r="G128" s="11" t="s">
        <v>28</v>
      </c>
      <c r="H128" s="2" t="s">
        <v>3706</v>
      </c>
      <c r="I128" s="2" t="s">
        <v>3707</v>
      </c>
      <c r="J128" s="12">
        <v>0.03125</v>
      </c>
      <c r="K128" s="12">
        <v>0.06944444444525288</v>
      </c>
      <c r="L128" s="13">
        <f>CRF_3[[#This Row],[Time Spent on Configuration]]+CRF_3[[#This Row],[Time Spent on Review/Testing]]</f>
        <v>0.10069444444525288</v>
      </c>
      <c r="N128" s="1" t="s">
        <v>31</v>
      </c>
      <c r="O128" s="1" t="s">
        <v>240</v>
      </c>
      <c r="P128" s="1" t="s">
        <v>42</v>
      </c>
      <c r="Q128" s="11">
        <v>45917</v>
      </c>
      <c r="R128" s="1">
        <v>5</v>
      </c>
    </row>
    <row r="129" ht="30" customHeight="1" spans="1:18" x14ac:dyDescent="0.25">
      <c r="A129" s="1" t="s">
        <v>3699</v>
      </c>
      <c r="B129" s="2" t="s">
        <v>334</v>
      </c>
      <c r="C129" s="1" t="s">
        <v>3687</v>
      </c>
      <c r="D129" s="1">
        <v>435336</v>
      </c>
      <c r="E129" s="1" t="s">
        <v>37</v>
      </c>
      <c r="F129" s="11">
        <v>45924</v>
      </c>
      <c r="G129" s="11" t="s">
        <v>133</v>
      </c>
      <c r="H129" s="2" t="s">
        <v>396</v>
      </c>
      <c r="I129" s="2" t="s">
        <v>396</v>
      </c>
      <c r="J129" s="12">
        <v>0.006944444445252884</v>
      </c>
      <c r="K129" s="12">
        <v>0.020833333332120674</v>
      </c>
      <c r="L129" s="13">
        <f>CRF_3[[#This Row],[Time Spent on Configuration]]+CRF_3[[#This Row],[Time Spent on Review/Testing]]</f>
        <v>0.027777777777373558</v>
      </c>
      <c r="N129" s="1" t="s">
        <v>240</v>
      </c>
      <c r="O129" s="1" t="s">
        <v>32</v>
      </c>
      <c r="P129" s="1" t="s">
        <v>42</v>
      </c>
      <c r="Q129" s="11">
        <v>45924</v>
      </c>
      <c r="R129" s="1">
        <v>5</v>
      </c>
    </row>
    <row r="130" ht="30" customHeight="1" spans="1:18" x14ac:dyDescent="0.25">
      <c r="A130" s="1" t="s">
        <v>3699</v>
      </c>
      <c r="B130" s="2" t="s">
        <v>65</v>
      </c>
      <c r="C130" s="1" t="s">
        <v>25</v>
      </c>
      <c r="D130" s="1">
        <v>435939</v>
      </c>
      <c r="E130" s="1" t="s">
        <v>27</v>
      </c>
      <c r="F130" s="11">
        <v>45925</v>
      </c>
      <c r="G130" s="11" t="s">
        <v>28</v>
      </c>
      <c r="H130" s="2" t="s">
        <v>398</v>
      </c>
      <c r="I130" s="2" t="s">
        <v>398</v>
      </c>
      <c r="J130" s="12">
        <v>0.020833333332120674</v>
      </c>
      <c r="K130" s="12">
        <v>0.041666666667879326</v>
      </c>
      <c r="L130" s="13">
        <f>CRF_3[[#This Row],[Time Spent on Configuration]]+CRF_3[[#This Row],[Time Spent on Review/Testing]]</f>
        <v>0.0625</v>
      </c>
      <c r="N130" s="1" t="s">
        <v>378</v>
      </c>
      <c r="O130" s="1" t="s">
        <v>379</v>
      </c>
      <c r="P130" s="1" t="s">
        <v>47</v>
      </c>
      <c r="Q130" s="11">
        <v>45925</v>
      </c>
      <c r="R130" s="1">
        <v>5</v>
      </c>
    </row>
    <row r="131" ht="270" customHeight="1" spans="1:18" x14ac:dyDescent="0.25">
      <c r="A131" s="1" t="s">
        <v>3708</v>
      </c>
      <c r="B131" s="2" t="s">
        <v>60</v>
      </c>
      <c r="C131" s="1" t="s">
        <v>61</v>
      </c>
      <c r="D131" s="1">
        <v>435183</v>
      </c>
      <c r="E131" s="1" t="s">
        <v>37</v>
      </c>
      <c r="F131" s="11">
        <v>45938</v>
      </c>
      <c r="G131" s="11" t="s">
        <v>80</v>
      </c>
      <c r="H131" s="2" t="s">
        <v>3709</v>
      </c>
      <c r="I131" s="2" t="s">
        <v>3710</v>
      </c>
      <c r="J131" s="12">
        <v>0.006944444445252884</v>
      </c>
      <c r="K131" s="12">
        <v>0.020833333332120674</v>
      </c>
      <c r="L131" s="13">
        <f>CRF_3[[#This Row],[Time Spent on Configuration]]+CRF_3[[#This Row],[Time Spent on Review/Testing]]</f>
        <v>0.027777777777373558</v>
      </c>
      <c r="N131" s="1" t="s">
        <v>240</v>
      </c>
      <c r="O131" s="1" t="s">
        <v>32</v>
      </c>
      <c r="P131" s="1" t="s">
        <v>47</v>
      </c>
      <c r="Q131" s="11">
        <v>45938</v>
      </c>
      <c r="R131" s="1">
        <v>5</v>
      </c>
    </row>
    <row r="132" ht="225" customHeight="1" spans="1:18" x14ac:dyDescent="0.25">
      <c r="A132" s="1" t="s">
        <v>3708</v>
      </c>
      <c r="B132" s="2" t="s">
        <v>288</v>
      </c>
      <c r="C132" s="1" t="s">
        <v>289</v>
      </c>
      <c r="D132" s="1">
        <v>438264</v>
      </c>
      <c r="E132" s="1" t="s">
        <v>27</v>
      </c>
      <c r="F132" s="11">
        <v>45946</v>
      </c>
      <c r="G132" s="11" t="s">
        <v>38</v>
      </c>
      <c r="H132" s="2" t="s">
        <v>3711</v>
      </c>
      <c r="I132" s="2" t="s">
        <v>3712</v>
      </c>
      <c r="J132" s="12">
        <v>0.020833333332120674</v>
      </c>
      <c r="K132" s="12">
        <v>0.020833333332120674</v>
      </c>
      <c r="L132" s="13">
        <f>CRF_3[[#This Row],[Time Spent on Configuration]]+CRF_3[[#This Row],[Time Spent on Review/Testing]]</f>
        <v>0.041666666667879326</v>
      </c>
      <c r="N132" s="1" t="s">
        <v>53</v>
      </c>
      <c r="O132" s="1" t="s">
        <v>32</v>
      </c>
      <c r="P132" s="1" t="s">
        <v>112</v>
      </c>
      <c r="Q132" s="11">
        <v>45946</v>
      </c>
      <c r="R132" s="1">
        <v>5</v>
      </c>
    </row>
    <row r="133" ht="30" customHeight="1" spans="1:18" x14ac:dyDescent="0.25">
      <c r="A133" s="1" t="s">
        <v>3708</v>
      </c>
      <c r="B133" s="2" t="s">
        <v>406</v>
      </c>
      <c r="C133" s="1" t="s">
        <v>78</v>
      </c>
      <c r="D133" s="1">
        <v>438870</v>
      </c>
      <c r="E133" s="1" t="s">
        <v>37</v>
      </c>
      <c r="F133" s="14">
        <v>45951</v>
      </c>
      <c r="G133" s="11" t="s">
        <v>80</v>
      </c>
      <c r="H133" s="2" t="s">
        <v>3713</v>
      </c>
      <c r="I133" s="2" t="s">
        <v>3714</v>
      </c>
      <c r="J133" s="12">
        <v>0.010416666667879326</v>
      </c>
      <c r="K133" s="12">
        <v>0.027777777777373558</v>
      </c>
      <c r="L133" s="13">
        <f>CRF_3[[#This Row],[Time Spent on Configuration]]+CRF_3[[#This Row],[Time Spent on Review/Testing]]</f>
        <v>0.038194444445252884</v>
      </c>
      <c r="N133" s="1" t="s">
        <v>240</v>
      </c>
      <c r="O133" s="1" t="s">
        <v>32</v>
      </c>
      <c r="P133" s="1" t="s">
        <v>42</v>
      </c>
      <c r="Q133" s="11">
        <v>45951</v>
      </c>
      <c r="R133" s="1">
        <v>5</v>
      </c>
    </row>
    <row r="134" ht="135" customHeight="1" spans="1:18" x14ac:dyDescent="0.25">
      <c r="A134" s="1" t="s">
        <v>3708</v>
      </c>
      <c r="B134" s="2" t="s">
        <v>411</v>
      </c>
      <c r="C134" s="1" t="s">
        <v>78</v>
      </c>
      <c r="D134" s="1">
        <v>438743</v>
      </c>
      <c r="E134" s="1" t="s">
        <v>27</v>
      </c>
      <c r="F134" s="1" t="s">
        <v>27</v>
      </c>
      <c r="G134" s="11" t="s">
        <v>74</v>
      </c>
      <c r="H134" s="2" t="s">
        <v>3715</v>
      </c>
      <c r="I134" s="2" t="s">
        <v>3716</v>
      </c>
      <c r="J134" s="12">
        <v>0.020833333332120674</v>
      </c>
      <c r="K134" s="12">
        <v>0.052083333332120674</v>
      </c>
      <c r="L134" s="13">
        <f>CRF_3[[#This Row],[Time Spent on Configuration]]+CRF_3[[#This Row],[Time Spent on Review/Testing]]</f>
        <v>0.07291666666787933</v>
      </c>
      <c r="N134" s="1" t="s">
        <v>31</v>
      </c>
      <c r="O134" s="1" t="s">
        <v>240</v>
      </c>
      <c r="P134" s="1" t="s">
        <v>42</v>
      </c>
      <c r="Q134" s="11">
        <v>45951</v>
      </c>
      <c r="R134" s="1">
        <v>5</v>
      </c>
    </row>
    <row r="135" ht="45" customHeight="1" spans="1:18" x14ac:dyDescent="0.25">
      <c r="A135" s="1" t="s">
        <v>3708</v>
      </c>
      <c r="B135" s="2" t="s">
        <v>258</v>
      </c>
      <c r="C135" s="1" t="s">
        <v>25</v>
      </c>
      <c r="D135" s="1">
        <v>435333</v>
      </c>
      <c r="E135" s="1" t="s">
        <v>27</v>
      </c>
      <c r="F135" s="11">
        <v>45947</v>
      </c>
      <c r="G135" s="11" t="s">
        <v>28</v>
      </c>
      <c r="H135" s="2" t="s">
        <v>3717</v>
      </c>
      <c r="I135" s="2" t="s">
        <v>417</v>
      </c>
      <c r="J135" s="12">
        <v>0.03472222222262644</v>
      </c>
      <c r="K135" s="12">
        <v>0.03472222222262644</v>
      </c>
      <c r="L135" s="13">
        <f>CRF_3[[#This Row],[Time Spent on Configuration]]+CRF_3[[#This Row],[Time Spent on Review/Testing]]</f>
        <v>0.06944444444525288</v>
      </c>
      <c r="M135" s="12"/>
      <c r="N135" s="1" t="s">
        <v>378</v>
      </c>
      <c r="O135" s="1" t="s">
        <v>240</v>
      </c>
      <c r="P135" s="1" t="s">
        <v>42</v>
      </c>
      <c r="Q135" s="11">
        <v>45951</v>
      </c>
      <c r="R135" s="1">
        <v>5</v>
      </c>
    </row>
    <row r="136" ht="409.5" customHeight="1" spans="1:18" x14ac:dyDescent="0.25">
      <c r="A136" s="1" t="s">
        <v>3708</v>
      </c>
      <c r="B136" s="2" t="s">
        <v>284</v>
      </c>
      <c r="C136" s="1" t="str">
        <f>_xlfn.XLOOKUP(CRF_3[[#This Row],[Client Name]],B39:B135,C39:C135)</f>
        <v>Dillingham Benefits</v>
      </c>
      <c r="D136" s="1">
        <v>436074</v>
      </c>
      <c r="E136" s="1" t="s">
        <v>27</v>
      </c>
      <c r="F136" s="11">
        <v>45954</v>
      </c>
      <c r="G136" s="11" t="s">
        <v>28</v>
      </c>
      <c r="H136" s="2" t="s">
        <v>3718</v>
      </c>
      <c r="I136" s="2" t="s">
        <v>3719</v>
      </c>
      <c r="J136" s="12">
        <v>0.09375</v>
      </c>
      <c r="K136" s="12"/>
      <c r="L136" s="13">
        <f>CRF_3[[#This Row],[Time Spent on Configuration]]+CRF_3[[#This Row],[Time Spent on Review/Testing]]</f>
        <v>0.09375</v>
      </c>
      <c r="N136" s="1" t="s">
        <v>31</v>
      </c>
      <c r="O136" s="1" t="s">
        <v>240</v>
      </c>
      <c r="P136" s="1" t="s">
        <v>47</v>
      </c>
      <c r="Q136" s="11">
        <v>45954</v>
      </c>
      <c r="R136" s="1">
        <v>4</v>
      </c>
    </row>
    <row r="137" ht="120" customHeight="1" spans="1:18" x14ac:dyDescent="0.25">
      <c r="A137" s="1" t="s">
        <v>3708</v>
      </c>
      <c r="B137" s="2" t="s">
        <v>199</v>
      </c>
      <c r="C137" s="1" t="s">
        <v>200</v>
      </c>
      <c r="D137" s="1">
        <v>436723</v>
      </c>
      <c r="E137" s="1" t="s">
        <v>37</v>
      </c>
      <c r="F137" s="11">
        <v>45957</v>
      </c>
      <c r="G137" s="11" t="s">
        <v>38</v>
      </c>
      <c r="H137" s="2" t="s">
        <v>422</v>
      </c>
      <c r="I137" s="2" t="s">
        <v>3720</v>
      </c>
      <c r="J137" s="12">
        <v>0.041666666667879326</v>
      </c>
      <c r="K137" s="12">
        <v>0.041666666667879326</v>
      </c>
      <c r="L137" s="13">
        <f>CRF_3[[#This Row],[Time Spent on Configuration]]+CRF_3[[#This Row],[Time Spent on Review/Testing]]</f>
        <v>0.08333333333212067</v>
      </c>
      <c r="N137" s="1" t="s">
        <v>385</v>
      </c>
      <c r="O137" s="1" t="s">
        <v>32</v>
      </c>
      <c r="P137" s="1" t="s">
        <v>42</v>
      </c>
      <c r="Q137" s="11">
        <v>45957</v>
      </c>
      <c r="R137" s="1">
        <v>5</v>
      </c>
    </row>
    <row r="138" ht="409.5" customHeight="1" spans="1:18" x14ac:dyDescent="0.25">
      <c r="A138" s="1" t="s">
        <v>3708</v>
      </c>
      <c r="B138" s="2" t="s">
        <v>113</v>
      </c>
      <c r="C138" s="1" t="s">
        <v>25</v>
      </c>
      <c r="D138" s="1">
        <v>432492</v>
      </c>
      <c r="E138" s="1" t="s">
        <v>37</v>
      </c>
      <c r="F138" s="11">
        <v>45958</v>
      </c>
      <c r="G138" s="11" t="s">
        <v>424</v>
      </c>
      <c r="H138" s="2" t="s">
        <v>3721</v>
      </c>
      <c r="I138" s="2" t="s">
        <v>3722</v>
      </c>
      <c r="J138" s="12">
        <v>0.013888888890505768</v>
      </c>
      <c r="K138" s="12">
        <v>0.03125</v>
      </c>
      <c r="L138" s="13">
        <f>CRF_3[[#This Row],[Time Spent on Configuration]]+CRF_3[[#This Row],[Time Spent on Review/Testing]]</f>
        <v>0.04513888889050577</v>
      </c>
      <c r="N138" s="1" t="s">
        <v>385</v>
      </c>
      <c r="O138" s="1" t="s">
        <v>240</v>
      </c>
      <c r="P138" s="1" t="s">
        <v>47</v>
      </c>
      <c r="Q138" s="11">
        <v>45958</v>
      </c>
      <c r="R138" s="1">
        <v>4</v>
      </c>
    </row>
    <row r="139" ht="45" customHeight="1" spans="1:18" x14ac:dyDescent="0.25">
      <c r="A139" s="1" t="s">
        <v>3708</v>
      </c>
      <c r="B139" s="2" t="s">
        <v>118</v>
      </c>
      <c r="C139" s="1" t="s">
        <v>25</v>
      </c>
      <c r="D139" s="1">
        <v>440157</v>
      </c>
      <c r="E139" s="1" t="s">
        <v>37</v>
      </c>
      <c r="F139" s="11">
        <v>45961</v>
      </c>
      <c r="G139" s="11" t="s">
        <v>28</v>
      </c>
      <c r="H139" s="2" t="s">
        <v>3723</v>
      </c>
      <c r="I139" s="2" t="s">
        <v>3724</v>
      </c>
      <c r="J139" s="12">
        <v>0.013888888890505768</v>
      </c>
      <c r="K139" s="12">
        <v>0.03472222222262644</v>
      </c>
      <c r="L139" s="13">
        <f>CRF_3[[#This Row],[Time Spent on Configuration]]+CRF_3[[#This Row],[Time Spent on Review/Testing]]</f>
        <v>0.04861111110949423</v>
      </c>
      <c r="N139" s="1" t="s">
        <v>31</v>
      </c>
      <c r="O139" s="1" t="s">
        <v>240</v>
      </c>
      <c r="P139" s="1" t="s">
        <v>47</v>
      </c>
      <c r="Q139" s="11">
        <v>45961</v>
      </c>
      <c r="R139" s="1">
        <v>5</v>
      </c>
    </row>
    <row r="140" ht="240" customHeight="1" spans="1:18" x14ac:dyDescent="0.25">
      <c r="A140" s="1" t="s">
        <v>3725</v>
      </c>
      <c r="B140" s="2" t="s">
        <v>113</v>
      </c>
      <c r="C140" s="1" t="s">
        <v>25</v>
      </c>
      <c r="D140" s="1">
        <v>440774</v>
      </c>
      <c r="E140" s="1" t="s">
        <v>37</v>
      </c>
      <c r="F140" s="11">
        <v>45966</v>
      </c>
      <c r="G140" s="11" t="s">
        <v>38</v>
      </c>
      <c r="H140" s="2" t="s">
        <v>3726</v>
      </c>
      <c r="I140" s="2" t="s">
        <v>433</v>
      </c>
      <c r="J140" s="12">
        <v>0.006944444445252884</v>
      </c>
      <c r="K140" s="12">
        <v>0.041666666667879326</v>
      </c>
      <c r="L140" s="13">
        <f>CRF_3[[#This Row],[Time Spent on Configuration]]+CRF_3[[#This Row],[Time Spent on Review/Testing]]</f>
        <v>0.04861111110949423</v>
      </c>
      <c r="N140" s="1" t="s">
        <v>53</v>
      </c>
      <c r="O140" s="1" t="s">
        <v>240</v>
      </c>
      <c r="P140" s="1" t="s">
        <v>47</v>
      </c>
      <c r="Q140" s="11">
        <v>45966</v>
      </c>
      <c r="R140" s="1">
        <v>5</v>
      </c>
    </row>
    <row r="141" ht="60" customHeight="1" spans="1:18" x14ac:dyDescent="0.25">
      <c r="A141" s="1" t="s">
        <v>3725</v>
      </c>
      <c r="B141" s="2" t="s">
        <v>434</v>
      </c>
      <c r="C141" s="1" t="s">
        <v>78</v>
      </c>
      <c r="D141" s="1">
        <v>440604</v>
      </c>
      <c r="E141" s="1" t="s">
        <v>27</v>
      </c>
      <c r="F141" s="11">
        <v>45968</v>
      </c>
      <c r="G141" s="11" t="s">
        <v>38</v>
      </c>
      <c r="H141" s="2" t="s">
        <v>436</v>
      </c>
      <c r="I141" s="2" t="s">
        <v>437</v>
      </c>
      <c r="J141" s="12">
        <v>0.013888888890505768</v>
      </c>
      <c r="K141" s="12">
        <v>0.041666666667879326</v>
      </c>
      <c r="L141" s="13">
        <f>CRF_3[[#This Row],[Time Spent on Configuration]]+CRF_3[[#This Row],[Time Spent on Review/Testing]]</f>
        <v>0.055555555554747116</v>
      </c>
      <c r="N141" s="1" t="s">
        <v>54</v>
      </c>
      <c r="O141" s="1" t="s">
        <v>240</v>
      </c>
      <c r="P141" s="1" t="s">
        <v>42</v>
      </c>
      <c r="Q141" s="11">
        <v>45969</v>
      </c>
      <c r="R141" s="1">
        <v>5</v>
      </c>
    </row>
    <row r="142" ht="165" customHeight="1" spans="1:18" x14ac:dyDescent="0.25">
      <c r="A142" s="1" t="s">
        <v>3725</v>
      </c>
      <c r="B142" s="2" t="s">
        <v>35</v>
      </c>
      <c r="C142" s="1" t="s">
        <v>25</v>
      </c>
      <c r="D142" s="1">
        <v>433679</v>
      </c>
      <c r="E142" s="1" t="s">
        <v>27</v>
      </c>
      <c r="F142" s="11">
        <v>45975</v>
      </c>
      <c r="G142" s="11" t="s">
        <v>38</v>
      </c>
      <c r="H142" s="2" t="s">
        <v>3727</v>
      </c>
      <c r="I142" s="2" t="s">
        <v>3728</v>
      </c>
      <c r="J142" s="12">
        <v>0.006944444445252884</v>
      </c>
      <c r="K142" s="12">
        <v>0.045833333333575865</v>
      </c>
      <c r="L142" s="13">
        <f>CRF_3[[#This Row],[Time Spent on Configuration]]+CRF_3[[#This Row],[Time Spent on Review/Testing]]</f>
        <v>0.05277777777882875</v>
      </c>
      <c r="N142" s="1" t="s">
        <v>378</v>
      </c>
      <c r="O142" s="1" t="s">
        <v>32</v>
      </c>
      <c r="P142" s="1" t="s">
        <v>42</v>
      </c>
      <c r="Q142" s="11">
        <v>45976</v>
      </c>
      <c r="R142" s="1">
        <v>4</v>
      </c>
    </row>
    <row r="143" ht="180" customHeight="1" spans="1:18" x14ac:dyDescent="0.25">
      <c r="A143" s="1" t="s">
        <v>3725</v>
      </c>
      <c r="B143" s="2" t="s">
        <v>113</v>
      </c>
      <c r="C143" s="1" t="s">
        <v>25</v>
      </c>
      <c r="D143" s="1">
        <v>443185</v>
      </c>
      <c r="E143" s="1" t="s">
        <v>37</v>
      </c>
      <c r="F143" s="11">
        <v>45979</v>
      </c>
      <c r="G143" s="11" t="s">
        <v>80</v>
      </c>
      <c r="H143" s="36" t="s">
        <v>3729</v>
      </c>
      <c r="I143" s="37" t="s">
        <v>3730</v>
      </c>
      <c r="J143" s="12">
        <v>0.006944444445252884</v>
      </c>
      <c r="K143" s="12">
        <v>0.020833333332120674</v>
      </c>
      <c r="L143" s="13">
        <f>CRF_3[[#This Row],[Time Spent on Configuration]]+CRF_3[[#This Row],[Time Spent on Review/Testing]]</f>
        <v>0.027777777777373558</v>
      </c>
      <c r="N143" s="1" t="s">
        <v>378</v>
      </c>
      <c r="O143" s="1" t="s">
        <v>32</v>
      </c>
      <c r="P143" s="1" t="s">
        <v>47</v>
      </c>
      <c r="Q143" s="11">
        <v>45979</v>
      </c>
      <c r="R143" s="1">
        <v>4</v>
      </c>
    </row>
    <row r="144" ht="150" customHeight="1" spans="1:18" x14ac:dyDescent="0.25">
      <c r="A144" s="1" t="s">
        <v>3725</v>
      </c>
      <c r="B144" s="2" t="s">
        <v>185</v>
      </c>
      <c r="C144" s="1" t="str">
        <f>_xlfn.XLOOKUP(CRF_3[[#This Row],[Client Name]],B47:B143,C47:C143)</f>
        <v>IMA Financial Group</v>
      </c>
      <c r="D144" s="1">
        <v>443191</v>
      </c>
      <c r="E144" s="1" t="s">
        <v>27</v>
      </c>
      <c r="F144" s="11">
        <v>45981</v>
      </c>
      <c r="G144" s="11" t="s">
        <v>38</v>
      </c>
      <c r="H144" s="2" t="s">
        <v>3731</v>
      </c>
      <c r="I144" s="2" t="s">
        <v>3732</v>
      </c>
      <c r="J144" s="12">
        <v>0.020833333332120674</v>
      </c>
      <c r="K144" s="12">
        <v>0.03472222222262644</v>
      </c>
      <c r="L144" s="13">
        <f>CRF_3[[#This Row],[Time Spent on Configuration]]+CRF_3[[#This Row],[Time Spent on Review/Testing]]</f>
        <v>0.055555555554747116</v>
      </c>
      <c r="N144" s="1" t="s">
        <v>31</v>
      </c>
      <c r="O144" s="1" t="s">
        <v>32</v>
      </c>
      <c r="P144" s="1" t="s">
        <v>47</v>
      </c>
      <c r="Q144" s="11">
        <v>45981</v>
      </c>
      <c r="R144" s="1">
        <v>5</v>
      </c>
    </row>
    <row r="145" ht="30" customHeight="1" spans="1:18" x14ac:dyDescent="0.25">
      <c r="A145" s="1" t="s">
        <v>3733</v>
      </c>
      <c r="B145" s="2" t="s">
        <v>199</v>
      </c>
      <c r="C145" s="1" t="s">
        <v>200</v>
      </c>
      <c r="D145" s="1">
        <v>436723</v>
      </c>
      <c r="E145" s="1" t="s">
        <v>37</v>
      </c>
      <c r="F145" s="11">
        <v>45997</v>
      </c>
      <c r="G145" s="11" t="s">
        <v>38</v>
      </c>
      <c r="H145" s="2" t="s">
        <v>3734</v>
      </c>
      <c r="I145" s="2" t="s">
        <v>3735</v>
      </c>
      <c r="J145" s="12">
        <v>0.006944444445252884</v>
      </c>
      <c r="K145" s="12">
        <v>0.06944444444525288</v>
      </c>
      <c r="L145" s="13">
        <f>CRF_3[[#This Row],[Time Spent on Configuration]]+CRF_3[[#This Row],[Time Spent on Review/Testing]]</f>
        <v>0.07638888889050577</v>
      </c>
      <c r="N145" s="1" t="s">
        <v>31</v>
      </c>
      <c r="O145" s="1" t="s">
        <v>240</v>
      </c>
      <c r="P145" s="1" t="s">
        <v>42</v>
      </c>
      <c r="Q145" s="11">
        <v>45997</v>
      </c>
      <c r="R145" s="1">
        <v>5</v>
      </c>
    </row>
    <row r="146" ht="105" customHeight="1" spans="1:18" x14ac:dyDescent="0.25">
      <c r="A146" s="1" t="s">
        <v>3733</v>
      </c>
      <c r="B146" s="2" t="s">
        <v>65</v>
      </c>
      <c r="C146" s="1" t="s">
        <v>25</v>
      </c>
      <c r="D146" s="1">
        <v>447100</v>
      </c>
      <c r="E146" s="1" t="s">
        <v>27</v>
      </c>
      <c r="F146" s="11">
        <v>46003</v>
      </c>
      <c r="G146" s="11" t="s">
        <v>74</v>
      </c>
      <c r="H146" s="2" t="s">
        <v>3736</v>
      </c>
      <c r="I146" s="2" t="s">
        <v>3737</v>
      </c>
      <c r="J146" s="12">
        <v>0.006944444445252884</v>
      </c>
      <c r="K146" s="12"/>
      <c r="L146" s="13">
        <f>CRF_3[[#This Row],[Time Spent on Configuration]]+CRF_3[[#This Row],[Time Spent on Review/Testing]]</f>
        <v>0.006944444445252884</v>
      </c>
      <c r="N146" s="1" t="s">
        <v>378</v>
      </c>
      <c r="O146" s="1" t="s">
        <v>240</v>
      </c>
      <c r="P146" s="1" t="s">
        <v>47</v>
      </c>
      <c r="Q146" s="11">
        <v>46003</v>
      </c>
      <c r="R146" s="1">
        <v>5</v>
      </c>
    </row>
    <row r="147" ht="45" customHeight="1" spans="1:18" x14ac:dyDescent="0.25">
      <c r="A147" s="1" t="s">
        <v>3733</v>
      </c>
      <c r="B147" s="38" t="s">
        <v>339</v>
      </c>
      <c r="C147" s="1" t="s">
        <v>78</v>
      </c>
      <c r="D147" s="1">
        <v>446752</v>
      </c>
      <c r="E147" s="1" t="s">
        <v>37</v>
      </c>
      <c r="F147" s="11">
        <v>46003</v>
      </c>
      <c r="G147" s="11" t="s">
        <v>38</v>
      </c>
      <c r="H147" s="2" t="s">
        <v>453</v>
      </c>
      <c r="I147" s="2" t="s">
        <v>454</v>
      </c>
      <c r="J147" s="12">
        <v>0.020833333332120674</v>
      </c>
      <c r="K147" s="12">
        <v>0.013888888890505768</v>
      </c>
      <c r="L147" s="13">
        <f>CRF_3[[#This Row],[Time Spent on Configuration]]+CRF_3[[#This Row],[Time Spent on Review/Testing]]</f>
        <v>0.03472222222262644</v>
      </c>
      <c r="N147" s="1" t="s">
        <v>53</v>
      </c>
      <c r="O147" s="1" t="s">
        <v>32</v>
      </c>
      <c r="P147" s="1" t="s">
        <v>42</v>
      </c>
      <c r="Q147" s="11">
        <v>46003</v>
      </c>
      <c r="R147" s="1">
        <v>5</v>
      </c>
    </row>
    <row r="148" ht="45" customHeight="1" spans="1:18" x14ac:dyDescent="0.25">
      <c r="A148" s="1" t="s">
        <v>3733</v>
      </c>
      <c r="B148" s="2" t="s">
        <v>455</v>
      </c>
      <c r="C148" s="1" t="s">
        <v>78</v>
      </c>
      <c r="D148" s="1">
        <v>447104</v>
      </c>
      <c r="E148" s="1" t="s">
        <v>37</v>
      </c>
      <c r="F148" s="11">
        <v>46007</v>
      </c>
      <c r="G148" s="11" t="s">
        <v>74</v>
      </c>
      <c r="H148" s="2" t="s">
        <v>457</v>
      </c>
      <c r="I148" s="2" t="s">
        <v>458</v>
      </c>
      <c r="J148" s="12">
        <v>0.020833333332120674</v>
      </c>
      <c r="K148" s="12">
        <v>0.041666666667879326</v>
      </c>
      <c r="L148" s="13">
        <f>CRF_3[[#This Row],[Time Spent on Configuration]]+CRF_3[[#This Row],[Time Spent on Review/Testing]]</f>
        <v>0.0625</v>
      </c>
      <c r="N148" s="1" t="s">
        <v>347</v>
      </c>
      <c r="O148" s="1" t="s">
        <v>240</v>
      </c>
      <c r="P148" s="1" t="s">
        <v>3738</v>
      </c>
      <c r="Q148" s="11">
        <v>46007</v>
      </c>
      <c r="R148" s="1">
        <v>5</v>
      </c>
    </row>
    <row r="149" ht="255" customHeight="1" spans="1:18" x14ac:dyDescent="0.25">
      <c r="A149" s="1" t="s">
        <v>3733</v>
      </c>
      <c r="B149" s="2" t="s">
        <v>65</v>
      </c>
      <c r="C149" s="1" t="s">
        <v>25</v>
      </c>
      <c r="D149" s="1">
        <v>447420</v>
      </c>
      <c r="E149" s="1" t="s">
        <v>27</v>
      </c>
      <c r="F149" s="11">
        <v>46007</v>
      </c>
      <c r="G149" s="11" t="s">
        <v>38</v>
      </c>
      <c r="H149" s="2" t="s">
        <v>3739</v>
      </c>
      <c r="I149" s="2" t="s">
        <v>461</v>
      </c>
      <c r="J149" s="12">
        <v>0.020833333332120674</v>
      </c>
      <c r="K149" s="12">
        <v>0.03472222222262644</v>
      </c>
      <c r="L149" s="13">
        <f>CRF_3[[#This Row],[Time Spent on Configuration]]+CRF_3[[#This Row],[Time Spent on Review/Testing]]</f>
        <v>0.055555555554747116</v>
      </c>
      <c r="N149" s="1" t="s">
        <v>32</v>
      </c>
      <c r="O149" s="1" t="s">
        <v>240</v>
      </c>
      <c r="P149" s="1" t="s">
        <v>47</v>
      </c>
      <c r="Q149" s="11">
        <v>46007</v>
      </c>
      <c r="R149" s="1">
        <v>5</v>
      </c>
    </row>
    <row r="150" ht="180" customHeight="1" spans="1:18" x14ac:dyDescent="0.25">
      <c r="A150" s="1" t="s">
        <v>3733</v>
      </c>
      <c r="B150" s="2" t="s">
        <v>199</v>
      </c>
      <c r="C150" s="1" t="s">
        <v>200</v>
      </c>
      <c r="D150" s="1">
        <v>446546</v>
      </c>
      <c r="E150" s="1" t="s">
        <v>27</v>
      </c>
      <c r="F150" s="11">
        <v>46017</v>
      </c>
      <c r="G150" s="11" t="s">
        <v>38</v>
      </c>
      <c r="H150" s="2" t="s">
        <v>3740</v>
      </c>
      <c r="I150" s="2" t="s">
        <v>3741</v>
      </c>
      <c r="J150" s="12">
        <v>0.013888888890505768</v>
      </c>
      <c r="K150" s="12">
        <v>0.03472222222262644</v>
      </c>
      <c r="L150" s="13">
        <f>CRF_3[[#This Row],[Time Spent on Configuration]]+CRF_3[[#This Row],[Time Spent on Review/Testing]]</f>
        <v>0.04861111110949423</v>
      </c>
      <c r="N150" s="1" t="s">
        <v>240</v>
      </c>
      <c r="O150" s="1" t="s">
        <v>32</v>
      </c>
      <c r="P150" s="1" t="s">
        <v>42</v>
      </c>
      <c r="Q150" s="11">
        <v>46017</v>
      </c>
      <c r="R150" s="1">
        <v>5</v>
      </c>
    </row>
    <row r="151" ht="330" customHeight="1" spans="1:18" x14ac:dyDescent="0.25">
      <c r="A151" s="1" t="s">
        <v>3733</v>
      </c>
      <c r="B151" s="2" t="s">
        <v>465</v>
      </c>
      <c r="C151" s="1" t="s">
        <v>78</v>
      </c>
      <c r="D151" s="1">
        <v>447679</v>
      </c>
      <c r="E151" s="1" t="s">
        <v>37</v>
      </c>
      <c r="F151" s="11">
        <v>46017</v>
      </c>
      <c r="G151" s="11" t="s">
        <v>38</v>
      </c>
      <c r="H151" s="2" t="s">
        <v>3742</v>
      </c>
      <c r="I151" s="2" t="s">
        <v>3743</v>
      </c>
      <c r="J151" s="12">
        <v>0.041666666667879326</v>
      </c>
      <c r="K151" s="12">
        <v>0.0625</v>
      </c>
      <c r="L151" s="13">
        <f>CRF_3[[#This Row],[Time Spent on Configuration]]+CRF_3[[#This Row],[Time Spent on Review/Testing]]</f>
        <v>0.10416666666787933</v>
      </c>
      <c r="N151" s="1" t="s">
        <v>31</v>
      </c>
      <c r="O151" s="1" t="s">
        <v>32</v>
      </c>
      <c r="P151" s="1" t="s">
        <v>42</v>
      </c>
      <c r="Q151" s="11">
        <v>46017</v>
      </c>
      <c r="R151" s="1">
        <v>5</v>
      </c>
    </row>
    <row r="152" ht="409.5" customHeight="1" spans="1:18" x14ac:dyDescent="0.25">
      <c r="A152" s="1" t="s">
        <v>3733</v>
      </c>
      <c r="B152" s="2" t="s">
        <v>469</v>
      </c>
      <c r="C152" s="1" t="s">
        <v>78</v>
      </c>
      <c r="D152" s="1">
        <v>448761</v>
      </c>
      <c r="E152" s="1" t="s">
        <v>37</v>
      </c>
      <c r="F152" s="11">
        <v>46017</v>
      </c>
      <c r="G152" s="11" t="s">
        <v>28</v>
      </c>
      <c r="H152" s="2" t="s">
        <v>3744</v>
      </c>
      <c r="I152" s="2" t="s">
        <v>3745</v>
      </c>
      <c r="J152" s="12">
        <v>0.020833333332120674</v>
      </c>
      <c r="K152" s="12">
        <v>0.055555555554747116</v>
      </c>
      <c r="L152" s="13">
        <f>CRF_3[[#This Row],[Time Spent on Configuration]]+CRF_3[[#This Row],[Time Spent on Review/Testing]]</f>
        <v>0.07638888889050577</v>
      </c>
      <c r="N152" s="1" t="s">
        <v>53</v>
      </c>
      <c r="O152" s="1" t="s">
        <v>32</v>
      </c>
      <c r="P152" s="1" t="s">
        <v>42</v>
      </c>
      <c r="Q152" s="11">
        <v>46017</v>
      </c>
      <c r="R152" s="1">
        <v>5</v>
      </c>
    </row>
    <row r="153" ht="30" customHeight="1" spans="1:18" x14ac:dyDescent="0.25">
      <c r="A153" s="1" t="s">
        <v>3733</v>
      </c>
      <c r="B153" s="2" t="s">
        <v>83</v>
      </c>
      <c r="C153" s="1" t="s">
        <v>78</v>
      </c>
      <c r="D153" s="1">
        <v>449288</v>
      </c>
      <c r="E153" s="1" t="s">
        <v>37</v>
      </c>
      <c r="F153" s="11">
        <v>46022</v>
      </c>
      <c r="G153" s="11" t="s">
        <v>38</v>
      </c>
      <c r="H153" s="2" t="s">
        <v>474</v>
      </c>
      <c r="I153" s="2" t="s">
        <v>474</v>
      </c>
      <c r="J153" s="12">
        <v>0.020833333332120674</v>
      </c>
      <c r="K153" s="12">
        <v>0.03472222222262644</v>
      </c>
      <c r="L153" s="13">
        <f>CRF_3[[#This Row],[Time Spent on Configuration]]+CRF_3[[#This Row],[Time Spent on Review/Testing]]</f>
        <v>0.055555555554747116</v>
      </c>
      <c r="N153" s="1" t="s">
        <v>53</v>
      </c>
      <c r="O153" s="1" t="s">
        <v>32</v>
      </c>
      <c r="P153" s="1" t="s">
        <v>42</v>
      </c>
      <c r="Q153" s="11">
        <v>46022</v>
      </c>
      <c r="R153" s="1">
        <v>5</v>
      </c>
    </row>
    <row r="154" ht="60" customHeight="1" spans="1:18" x14ac:dyDescent="0.25">
      <c r="A154" s="1" t="s">
        <v>3733</v>
      </c>
      <c r="B154" s="2" t="s">
        <v>35</v>
      </c>
      <c r="C154" s="1" t="s">
        <v>25</v>
      </c>
      <c r="D154" s="1">
        <v>448601</v>
      </c>
      <c r="E154" s="1" t="s">
        <v>27</v>
      </c>
      <c r="F154" s="11">
        <v>46022</v>
      </c>
      <c r="G154" s="11" t="s">
        <v>38</v>
      </c>
      <c r="H154" s="2" t="s">
        <v>476</v>
      </c>
      <c r="I154" s="2" t="s">
        <v>477</v>
      </c>
      <c r="J154" s="12">
        <v>0.020833333332120674</v>
      </c>
      <c r="K154" s="12">
        <v>0.020833333332120674</v>
      </c>
      <c r="L154" s="13">
        <f>CRF_3[[#This Row],[Time Spent on Configuration]]+CRF_3[[#This Row],[Time Spent on Review/Testing]]</f>
        <v>0.041666666667879326</v>
      </c>
      <c r="N154" s="1" t="s">
        <v>53</v>
      </c>
      <c r="O154" s="1" t="s">
        <v>32</v>
      </c>
      <c r="P154" s="1" t="s">
        <v>42</v>
      </c>
      <c r="Q154" s="11">
        <v>46022</v>
      </c>
      <c r="R154" s="1">
        <v>5</v>
      </c>
    </row>
    <row r="155" spans="6:17" x14ac:dyDescent="0.25">
      <c r="F155" s="11"/>
      <c r="G155" s="11"/>
      <c r="H155" s="2"/>
      <c r="J155" s="12"/>
      <c r="K155" s="12"/>
      <c r="L155" s="13"/>
      <c r="Q155" s="11"/>
    </row>
  </sheetData>
  <hyperlinks>
    <hyperlink ref="D4" r:id="rId1"/>
    <hyperlink ref="D6" r:id="rId2"/>
  </hyperlinks>
  <pageMargins left="0.7" right="0.7" top="0.75" bottom="0.75" header="0.3" footer="0.3"/>
  <pageSetup paperSize="9" orientation="portrait" horizontalDpi="4294967295" verticalDpi="4294967295" scale="100" fitToWidth="1" fitToHeight="1" firstPageNumber="1" useFirstPageNumber="1" copies="1"/>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562"/>
  <sheetViews>
    <sheetView workbookViewId="0" zoomScale="100" zoomScaleNormal="100">
      <selection activeCell="A2" sqref="A2"/>
    </sheetView>
  </sheetViews>
  <sheetFormatPr defaultRowHeight="15" outlineLevelRow="0" outlineLevelCol="0" x14ac:dyDescent="0.25" defaultColWidth="9.140625"/>
  <cols>
    <col min="1" max="1" width="10.85546875" style="1" customWidth="1"/>
    <col min="2" max="2" width="24.7109375" style="2" customWidth="1"/>
    <col min="3" max="3" width="13.5703125" style="1" customWidth="1"/>
    <col min="4" max="4" width="13.140625" style="1" customWidth="1"/>
    <col min="5" max="5" width="13.28515625" style="1" customWidth="1"/>
    <col min="6" max="6" width="14.85546875" style="1" customWidth="1"/>
    <col min="7" max="7" width="13.28515625" style="1" customWidth="1"/>
    <col min="8" max="8" width="66" customWidth="1"/>
    <col min="9" max="9" width="53" style="2" customWidth="1"/>
    <col min="10" max="10" width="13.85546875" style="2" customWidth="1"/>
    <col min="11" max="11" width="17.28515625" style="1" customWidth="1"/>
    <col min="12" max="12" width="10.28515625" style="1" customWidth="1"/>
    <col min="13" max="13" width="6.42578125" style="1" customWidth="1"/>
    <col min="14" max="14" width="13.28515625" style="1" customWidth="1"/>
    <col min="15" max="15" width="15" style="1" customWidth="1"/>
    <col min="16" max="17" width="15.5703125" style="1" customWidth="1"/>
    <col min="18" max="18" width="8.85546875" style="1" customWidth="1"/>
    <col min="19" max="19" width="11" style="1" customWidth="1"/>
    <col min="20" max="16384" width="9.140625" style="1" customWidth="1"/>
  </cols>
  <sheetData>
    <row r="1" spans="1:20" x14ac:dyDescent="0.25">
      <c r="A1" s="3" t="s">
        <v>0</v>
      </c>
      <c r="B1" s="4"/>
      <c r="C1" s="4"/>
      <c r="D1" s="4"/>
      <c r="E1" s="4"/>
      <c r="F1" s="4"/>
      <c r="G1" s="4"/>
      <c r="H1" s="5"/>
      <c r="I1" s="5"/>
      <c r="J1" s="4"/>
      <c r="K1" s="4"/>
      <c r="L1" s="4"/>
      <c r="M1" s="4"/>
      <c r="N1" s="4"/>
      <c r="O1" s="4"/>
      <c r="P1" s="4"/>
      <c r="Q1" s="4"/>
      <c r="R1" s="6"/>
      <c r="S1" s="6"/>
      <c r="T1" s="6"/>
    </row>
    <row r="2" ht="45" customHeight="1" spans="1:20" x14ac:dyDescent="0.25">
      <c r="A2" s="7" t="s">
        <v>1</v>
      </c>
      <c r="B2" s="7" t="s">
        <v>2</v>
      </c>
      <c r="C2" s="7" t="s">
        <v>3</v>
      </c>
      <c r="D2" s="7" t="s">
        <v>4</v>
      </c>
      <c r="E2" s="7" t="s">
        <v>5</v>
      </c>
      <c r="F2" s="7" t="s">
        <v>6</v>
      </c>
      <c r="G2" s="7" t="s">
        <v>7</v>
      </c>
      <c r="H2" s="7" t="s">
        <v>8</v>
      </c>
      <c r="I2" s="7" t="s">
        <v>9</v>
      </c>
      <c r="J2" s="7" t="s">
        <v>10</v>
      </c>
      <c r="K2" s="7" t="s">
        <v>11</v>
      </c>
      <c r="L2" s="7" t="s">
        <v>12</v>
      </c>
      <c r="M2" s="7" t="s">
        <v>13</v>
      </c>
      <c r="N2" s="7" t="s">
        <v>14</v>
      </c>
      <c r="O2" s="7" t="s">
        <v>15</v>
      </c>
      <c r="P2" s="7" t="s">
        <v>16</v>
      </c>
      <c r="Q2" s="7" t="s">
        <v>17</v>
      </c>
      <c r="R2" s="8" t="s">
        <v>18</v>
      </c>
      <c r="S2" s="9" t="s">
        <v>19</v>
      </c>
      <c r="T2" s="10" t="s">
        <v>20</v>
      </c>
    </row>
    <row r="3" ht="165" customHeight="1" spans="1:21" x14ac:dyDescent="0.25">
      <c r="A3" s="1" t="s">
        <v>21</v>
      </c>
      <c r="B3" s="1" t="s">
        <v>22</v>
      </c>
      <c r="C3" s="1" t="s">
        <v>22</v>
      </c>
      <c r="D3" s="1" t="s">
        <v>22</v>
      </c>
      <c r="E3" s="1" t="s">
        <v>22</v>
      </c>
      <c r="F3" s="11" t="s">
        <v>22</v>
      </c>
      <c r="G3" s="11" t="s">
        <v>22</v>
      </c>
      <c r="H3" s="2" t="s">
        <v>22</v>
      </c>
      <c r="I3" s="2" t="s">
        <v>22</v>
      </c>
      <c r="J3" s="12" t="s">
        <v>22</v>
      </c>
      <c r="K3" s="12" t="s">
        <v>22</v>
      </c>
      <c r="L3" s="13" t="s">
        <v>22</v>
      </c>
      <c r="M3" s="1" t="s">
        <v>22</v>
      </c>
      <c r="N3" s="1" t="s">
        <v>22</v>
      </c>
      <c r="O3" s="1" t="s">
        <v>22</v>
      </c>
      <c r="P3" s="1" t="s">
        <v>22</v>
      </c>
      <c r="Q3" s="11" t="s">
        <v>22</v>
      </c>
      <c r="R3" s="1" t="s">
        <v>22</v>
      </c>
      <c r="S3" s="1" t="s">
        <v>22</v>
      </c>
      <c r="T3" s="1" t="s">
        <v>22</v>
      </c>
      <c r="U3" s="1"/>
    </row>
    <row r="4" spans="1:21" x14ac:dyDescent="0.25">
      <c r="A4" s="1" t="s">
        <v>21</v>
      </c>
      <c r="B4" s="2" t="s">
        <v>22</v>
      </c>
      <c r="C4" s="1" t="s">
        <v>22</v>
      </c>
      <c r="D4" s="1" t="s">
        <v>22</v>
      </c>
      <c r="E4" s="1" t="s">
        <v>22</v>
      </c>
      <c r="F4" s="1" t="s">
        <v>22</v>
      </c>
      <c r="G4" s="1" t="s">
        <v>22</v>
      </c>
      <c r="H4" t="s">
        <v>22</v>
      </c>
      <c r="I4" s="2" t="s">
        <v>22</v>
      </c>
      <c r="J4" s="2" t="s">
        <v>22</v>
      </c>
      <c r="K4" s="1" t="s">
        <v>22</v>
      </c>
      <c r="L4" s="1" t="s">
        <v>22</v>
      </c>
      <c r="M4" s="1" t="s">
        <v>22</v>
      </c>
      <c r="N4" s="1" t="s">
        <v>22</v>
      </c>
      <c r="O4" s="1" t="s">
        <v>22</v>
      </c>
      <c r="P4" s="1" t="s">
        <v>22</v>
      </c>
      <c r="Q4" s="1" t="s">
        <v>22</v>
      </c>
      <c r="R4" s="1" t="s">
        <v>22</v>
      </c>
      <c r="S4" s="1" t="s">
        <v>22</v>
      </c>
      <c r="T4" s="1" t="s">
        <v>22</v>
      </c>
      <c r="U4" s="1"/>
    </row>
    <row r="5" spans="1:21" x14ac:dyDescent="0.25">
      <c r="A5" s="1" t="s">
        <v>21</v>
      </c>
      <c r="B5" s="2" t="s">
        <v>22</v>
      </c>
      <c r="C5" s="1" t="s">
        <v>22</v>
      </c>
      <c r="D5" s="1" t="s">
        <v>22</v>
      </c>
      <c r="E5" s="1" t="s">
        <v>22</v>
      </c>
      <c r="F5" s="1" t="s">
        <v>22</v>
      </c>
      <c r="G5" s="1" t="s">
        <v>22</v>
      </c>
      <c r="H5" t="s">
        <v>22</v>
      </c>
      <c r="I5" s="2" t="s">
        <v>22</v>
      </c>
      <c r="J5" s="2" t="s">
        <v>22</v>
      </c>
      <c r="K5" s="1" t="s">
        <v>22</v>
      </c>
      <c r="L5" s="1" t="s">
        <v>22</v>
      </c>
      <c r="M5" s="1" t="s">
        <v>22</v>
      </c>
      <c r="N5" s="1" t="s">
        <v>22</v>
      </c>
      <c r="O5" s="1" t="s">
        <v>22</v>
      </c>
      <c r="P5" s="1" t="s">
        <v>22</v>
      </c>
      <c r="Q5" s="1" t="s">
        <v>22</v>
      </c>
      <c r="R5" s="1" t="s">
        <v>22</v>
      </c>
      <c r="S5" s="1" t="s">
        <v>22</v>
      </c>
      <c r="T5" s="1" t="s">
        <v>22</v>
      </c>
      <c r="U5" s="1"/>
    </row>
    <row r="6" spans="1:21" x14ac:dyDescent="0.25">
      <c r="A6" s="1" t="s">
        <v>21</v>
      </c>
      <c r="B6" s="2" t="s">
        <v>22</v>
      </c>
      <c r="C6" s="1" t="s">
        <v>22</v>
      </c>
      <c r="D6" s="1" t="s">
        <v>22</v>
      </c>
      <c r="E6" s="1" t="s">
        <v>22</v>
      </c>
      <c r="F6" s="1" t="s">
        <v>22</v>
      </c>
      <c r="G6" s="1" t="s">
        <v>22</v>
      </c>
      <c r="H6" t="s">
        <v>22</v>
      </c>
      <c r="I6" s="2" t="s">
        <v>22</v>
      </c>
      <c r="J6" s="2" t="s">
        <v>22</v>
      </c>
      <c r="K6" s="1" t="s">
        <v>22</v>
      </c>
      <c r="L6" s="1" t="s">
        <v>22</v>
      </c>
      <c r="M6" s="1" t="s">
        <v>22</v>
      </c>
      <c r="N6" s="1" t="s">
        <v>22</v>
      </c>
      <c r="O6" s="1" t="s">
        <v>22</v>
      </c>
      <c r="P6" s="1" t="s">
        <v>22</v>
      </c>
      <c r="Q6" s="1" t="s">
        <v>22</v>
      </c>
      <c r="R6" s="1" t="s">
        <v>22</v>
      </c>
      <c r="S6" s="1" t="s">
        <v>22</v>
      </c>
      <c r="T6" s="1" t="s">
        <v>22</v>
      </c>
      <c r="U6" s="1"/>
    </row>
    <row r="7" spans="1:21" x14ac:dyDescent="0.25">
      <c r="A7" s="1" t="s">
        <v>21</v>
      </c>
      <c r="B7" s="2" t="s">
        <v>22</v>
      </c>
      <c r="C7" s="1" t="s">
        <v>22</v>
      </c>
      <c r="D7" s="1" t="s">
        <v>22</v>
      </c>
      <c r="E7" s="1" t="s">
        <v>22</v>
      </c>
      <c r="F7" s="1" t="s">
        <v>22</v>
      </c>
      <c r="G7" s="1" t="s">
        <v>22</v>
      </c>
      <c r="H7" t="s">
        <v>22</v>
      </c>
      <c r="I7" s="2" t="s">
        <v>22</v>
      </c>
      <c r="J7" s="2" t="s">
        <v>22</v>
      </c>
      <c r="K7" s="1" t="s">
        <v>22</v>
      </c>
      <c r="L7" s="1" t="s">
        <v>22</v>
      </c>
      <c r="M7" s="1" t="s">
        <v>22</v>
      </c>
      <c r="N7" s="1" t="s">
        <v>22</v>
      </c>
      <c r="O7" s="1" t="s">
        <v>22</v>
      </c>
      <c r="P7" s="1" t="s">
        <v>22</v>
      </c>
      <c r="Q7" s="1" t="s">
        <v>22</v>
      </c>
      <c r="R7" s="1" t="s">
        <v>22</v>
      </c>
      <c r="S7" s="1" t="s">
        <v>22</v>
      </c>
      <c r="T7" s="1" t="s">
        <v>22</v>
      </c>
      <c r="U7" s="1"/>
    </row>
    <row r="8" spans="1:21" x14ac:dyDescent="0.25">
      <c r="A8" s="1" t="s">
        <v>21</v>
      </c>
      <c r="B8" s="2" t="s">
        <v>22</v>
      </c>
      <c r="C8" s="1" t="s">
        <v>22</v>
      </c>
      <c r="D8" s="1" t="s">
        <v>22</v>
      </c>
      <c r="E8" s="1" t="s">
        <v>22</v>
      </c>
      <c r="F8" s="1" t="s">
        <v>22</v>
      </c>
      <c r="G8" s="1" t="s">
        <v>22</v>
      </c>
      <c r="H8" t="s">
        <v>22</v>
      </c>
      <c r="I8" s="2" t="s">
        <v>22</v>
      </c>
      <c r="J8" s="2" t="s">
        <v>22</v>
      </c>
      <c r="K8" s="1" t="s">
        <v>22</v>
      </c>
      <c r="L8" s="1" t="s">
        <v>22</v>
      </c>
      <c r="M8" s="1" t="s">
        <v>22</v>
      </c>
      <c r="N8" s="1" t="s">
        <v>22</v>
      </c>
      <c r="O8" s="1" t="s">
        <v>22</v>
      </c>
      <c r="P8" s="1" t="s">
        <v>22</v>
      </c>
      <c r="Q8" s="1" t="s">
        <v>22</v>
      </c>
      <c r="R8" s="1" t="s">
        <v>22</v>
      </c>
      <c r="S8" s="1" t="s">
        <v>22</v>
      </c>
      <c r="T8" s="1" t="s">
        <v>22</v>
      </c>
      <c r="U8" s="1"/>
    </row>
    <row r="9" spans="1:21" x14ac:dyDescent="0.25">
      <c r="A9" s="1" t="s">
        <v>21</v>
      </c>
      <c r="B9" s="2" t="s">
        <v>22</v>
      </c>
      <c r="C9" s="1" t="s">
        <v>22</v>
      </c>
      <c r="D9" s="1" t="s">
        <v>22</v>
      </c>
      <c r="E9" s="1" t="s">
        <v>22</v>
      </c>
      <c r="F9" s="1" t="s">
        <v>22</v>
      </c>
      <c r="G9" s="1" t="s">
        <v>22</v>
      </c>
      <c r="H9" t="s">
        <v>22</v>
      </c>
      <c r="I9" s="2" t="s">
        <v>22</v>
      </c>
      <c r="J9" s="2" t="s">
        <v>22</v>
      </c>
      <c r="K9" s="1" t="s">
        <v>22</v>
      </c>
      <c r="L9" s="1" t="s">
        <v>22</v>
      </c>
      <c r="M9" s="1" t="s">
        <v>22</v>
      </c>
      <c r="N9" s="1" t="s">
        <v>22</v>
      </c>
      <c r="O9" s="1" t="s">
        <v>22</v>
      </c>
      <c r="P9" s="1" t="s">
        <v>22</v>
      </c>
      <c r="Q9" s="1" t="s">
        <v>22</v>
      </c>
      <c r="R9" s="1" t="s">
        <v>22</v>
      </c>
      <c r="S9" s="1" t="s">
        <v>22</v>
      </c>
      <c r="T9" s="1" t="s">
        <v>22</v>
      </c>
      <c r="U9" s="1"/>
    </row>
    <row r="10" spans="1:21" x14ac:dyDescent="0.25">
      <c r="A10" s="1" t="s">
        <v>21</v>
      </c>
      <c r="B10" s="2" t="s">
        <v>22</v>
      </c>
      <c r="C10" s="1" t="s">
        <v>22</v>
      </c>
      <c r="D10" s="1" t="s">
        <v>22</v>
      </c>
      <c r="E10" s="1" t="s">
        <v>22</v>
      </c>
      <c r="F10" s="1" t="s">
        <v>22</v>
      </c>
      <c r="G10" s="1" t="s">
        <v>22</v>
      </c>
      <c r="H10" t="s">
        <v>22</v>
      </c>
      <c r="I10" s="2" t="s">
        <v>22</v>
      </c>
      <c r="J10" s="2" t="s">
        <v>22</v>
      </c>
      <c r="K10" s="1" t="s">
        <v>22</v>
      </c>
      <c r="L10" s="1" t="s">
        <v>22</v>
      </c>
      <c r="M10" s="1" t="s">
        <v>22</v>
      </c>
      <c r="N10" s="1" t="s">
        <v>22</v>
      </c>
      <c r="O10" s="1" t="s">
        <v>22</v>
      </c>
      <c r="P10" s="1" t="s">
        <v>22</v>
      </c>
      <c r="Q10" s="1" t="s">
        <v>22</v>
      </c>
      <c r="R10" s="1" t="s">
        <v>22</v>
      </c>
      <c r="S10" s="1" t="s">
        <v>22</v>
      </c>
      <c r="T10" s="1" t="s">
        <v>22</v>
      </c>
      <c r="U10" s="1"/>
    </row>
    <row r="11" spans="1:21" x14ac:dyDescent="0.25">
      <c r="A11" s="1" t="s">
        <v>21</v>
      </c>
      <c r="B11" s="2" t="s">
        <v>22</v>
      </c>
      <c r="C11" s="1" t="s">
        <v>22</v>
      </c>
      <c r="D11" s="1" t="s">
        <v>22</v>
      </c>
      <c r="E11" s="1" t="s">
        <v>22</v>
      </c>
      <c r="F11" s="1" t="s">
        <v>22</v>
      </c>
      <c r="G11" s="1" t="s">
        <v>22</v>
      </c>
      <c r="H11" t="s">
        <v>22</v>
      </c>
      <c r="I11" s="2" t="s">
        <v>22</v>
      </c>
      <c r="J11" s="2" t="s">
        <v>22</v>
      </c>
      <c r="K11" s="1" t="s">
        <v>22</v>
      </c>
      <c r="L11" s="1" t="s">
        <v>22</v>
      </c>
      <c r="M11" s="1" t="s">
        <v>22</v>
      </c>
      <c r="N11" s="1" t="s">
        <v>22</v>
      </c>
      <c r="O11" s="1" t="s">
        <v>22</v>
      </c>
      <c r="P11" s="1" t="s">
        <v>22</v>
      </c>
      <c r="Q11" s="1" t="s">
        <v>22</v>
      </c>
      <c r="R11" s="1" t="s">
        <v>22</v>
      </c>
      <c r="S11" s="1" t="s">
        <v>22</v>
      </c>
      <c r="T11" s="1" t="s">
        <v>22</v>
      </c>
      <c r="U11" s="1"/>
    </row>
    <row r="12" spans="1:21" x14ac:dyDescent="0.25">
      <c r="A12" s="1" t="s">
        <v>21</v>
      </c>
      <c r="B12" s="2" t="s">
        <v>22</v>
      </c>
      <c r="C12" s="1" t="s">
        <v>22</v>
      </c>
      <c r="D12" s="1" t="s">
        <v>22</v>
      </c>
      <c r="E12" s="1" t="s">
        <v>22</v>
      </c>
      <c r="F12" s="1" t="s">
        <v>22</v>
      </c>
      <c r="G12" s="1" t="s">
        <v>22</v>
      </c>
      <c r="H12" t="s">
        <v>22</v>
      </c>
      <c r="I12" s="2" t="s">
        <v>22</v>
      </c>
      <c r="J12" s="2" t="s">
        <v>22</v>
      </c>
      <c r="K12" s="1" t="s">
        <v>22</v>
      </c>
      <c r="L12" s="1" t="s">
        <v>22</v>
      </c>
      <c r="M12" s="1" t="s">
        <v>22</v>
      </c>
      <c r="N12" s="1" t="s">
        <v>22</v>
      </c>
      <c r="O12" s="1" t="s">
        <v>22</v>
      </c>
      <c r="P12" s="1" t="s">
        <v>22</v>
      </c>
      <c r="Q12" s="1" t="s">
        <v>22</v>
      </c>
      <c r="R12" s="1" t="s">
        <v>22</v>
      </c>
      <c r="S12" s="1" t="s">
        <v>22</v>
      </c>
      <c r="T12" s="1" t="s">
        <v>22</v>
      </c>
      <c r="U12" s="1"/>
    </row>
    <row r="13" spans="1:21" x14ac:dyDescent="0.25">
      <c r="A13" s="1" t="s">
        <v>21</v>
      </c>
      <c r="B13" s="2" t="s">
        <v>22</v>
      </c>
      <c r="C13" s="1" t="s">
        <v>22</v>
      </c>
      <c r="D13" s="1" t="s">
        <v>22</v>
      </c>
      <c r="E13" s="1" t="s">
        <v>22</v>
      </c>
      <c r="F13" s="1" t="s">
        <v>22</v>
      </c>
      <c r="G13" s="1" t="s">
        <v>22</v>
      </c>
      <c r="H13" t="s">
        <v>22</v>
      </c>
      <c r="I13" s="2" t="s">
        <v>22</v>
      </c>
      <c r="J13" s="2" t="s">
        <v>22</v>
      </c>
      <c r="K13" s="1" t="s">
        <v>22</v>
      </c>
      <c r="L13" s="1" t="s">
        <v>22</v>
      </c>
      <c r="M13" s="1" t="s">
        <v>22</v>
      </c>
      <c r="N13" s="1" t="s">
        <v>22</v>
      </c>
      <c r="O13" s="1" t="s">
        <v>22</v>
      </c>
      <c r="P13" s="1" t="s">
        <v>22</v>
      </c>
      <c r="Q13" s="1" t="s">
        <v>22</v>
      </c>
      <c r="R13" s="1" t="s">
        <v>22</v>
      </c>
      <c r="S13" s="1" t="s">
        <v>22</v>
      </c>
      <c r="T13" s="1" t="s">
        <v>22</v>
      </c>
      <c r="U13" s="1"/>
    </row>
    <row r="14" spans="1:21" x14ac:dyDescent="0.25">
      <c r="A14" s="1" t="s">
        <v>23</v>
      </c>
      <c r="B14" s="2" t="s">
        <v>24</v>
      </c>
      <c r="C14" s="1" t="s">
        <v>25</v>
      </c>
      <c r="D14" s="1" t="s">
        <v>26</v>
      </c>
      <c r="E14" s="1" t="s">
        <v>27</v>
      </c>
      <c r="F14" s="1">
        <v>46191</v>
      </c>
      <c r="G14" s="14" t="s">
        <v>28</v>
      </c>
      <c r="H14" t="s">
        <v>29</v>
      </c>
      <c r="I14" s="2" t="s">
        <v>30</v>
      </c>
      <c r="J14" s="2">
        <v>0.041666666666666664</v>
      </c>
      <c r="K14" s="1">
        <v>0.041666666666666664</v>
      </c>
      <c r="L14" s="1">
        <v>0.08333333333333333</v>
      </c>
      <c r="M14" s="1" t="s">
        <v>22</v>
      </c>
      <c r="N14" s="1" t="s">
        <v>31</v>
      </c>
      <c r="O14" s="1" t="s">
        <v>32</v>
      </c>
      <c r="P14" s="1" t="s">
        <v>33</v>
      </c>
      <c r="Q14" s="1">
        <v>46191</v>
      </c>
      <c r="R14" s="14">
        <v>5</v>
      </c>
      <c r="S14" s="1" t="s">
        <v>22</v>
      </c>
      <c r="T14" s="1" t="s">
        <v>22</v>
      </c>
      <c r="U14" s="1" t="s">
        <v>22</v>
      </c>
    </row>
    <row r="15" spans="1:21" x14ac:dyDescent="0.25">
      <c r="A15" s="1" t="s">
        <v>34</v>
      </c>
      <c r="B15" s="2" t="s">
        <v>35</v>
      </c>
      <c r="C15" s="1" t="s">
        <v>25</v>
      </c>
      <c r="D15" s="1" t="s">
        <v>36</v>
      </c>
      <c r="E15" s="1" t="s">
        <v>37</v>
      </c>
      <c r="F15" s="1">
        <v>45660</v>
      </c>
      <c r="G15" s="14" t="s">
        <v>38</v>
      </c>
      <c r="H15" t="s">
        <v>39</v>
      </c>
      <c r="I15" s="2" t="s">
        <v>40</v>
      </c>
      <c r="J15" s="2">
        <v>0.041666666666666664</v>
      </c>
      <c r="K15" s="1">
        <v>0.06944444444444445</v>
      </c>
      <c r="L15" s="1">
        <v>0.1111111111111111</v>
      </c>
      <c r="M15" s="1" t="s">
        <v>22</v>
      </c>
      <c r="N15" s="1" t="s">
        <v>31</v>
      </c>
      <c r="O15" s="1" t="s">
        <v>41</v>
      </c>
      <c r="P15" s="1" t="s">
        <v>42</v>
      </c>
      <c r="Q15" s="1">
        <v>45660</v>
      </c>
      <c r="R15" s="14">
        <v>5</v>
      </c>
      <c r="S15" s="1" t="s">
        <v>22</v>
      </c>
      <c r="T15" s="1" t="s">
        <v>22</v>
      </c>
      <c r="U15" s="1" t="s">
        <v>22</v>
      </c>
    </row>
    <row r="16" spans="1:21" x14ac:dyDescent="0.25">
      <c r="A16" s="1" t="s">
        <v>34</v>
      </c>
      <c r="B16" s="2" t="s">
        <v>43</v>
      </c>
      <c r="C16" s="1" t="s">
        <v>44</v>
      </c>
      <c r="D16" s="1" t="s">
        <v>45</v>
      </c>
      <c r="E16" s="1" t="s">
        <v>37</v>
      </c>
      <c r="F16" s="1">
        <v>45663</v>
      </c>
      <c r="G16" s="14" t="s">
        <v>28</v>
      </c>
      <c r="H16" t="s">
        <v>46</v>
      </c>
      <c r="I16" s="2" t="s">
        <v>46</v>
      </c>
      <c r="J16" s="2">
        <v>0.041666666666666664</v>
      </c>
      <c r="K16" s="1">
        <v>0.041666666666666664</v>
      </c>
      <c r="L16" s="1">
        <v>0.08333333333333333</v>
      </c>
      <c r="M16" s="1" t="s">
        <v>22</v>
      </c>
      <c r="N16" s="1" t="s">
        <v>31</v>
      </c>
      <c r="O16" s="1" t="s">
        <v>32</v>
      </c>
      <c r="P16" s="1" t="s">
        <v>47</v>
      </c>
      <c r="Q16" s="1">
        <v>45663</v>
      </c>
      <c r="R16" s="14">
        <v>5</v>
      </c>
      <c r="S16" s="1" t="s">
        <v>22</v>
      </c>
      <c r="T16" s="1" t="s">
        <v>22</v>
      </c>
      <c r="U16" s="1" t="s">
        <v>22</v>
      </c>
    </row>
    <row r="17" spans="1:21" x14ac:dyDescent="0.25">
      <c r="A17" s="1" t="s">
        <v>34</v>
      </c>
      <c r="B17" s="2" t="s">
        <v>48</v>
      </c>
      <c r="C17" s="1" t="s">
        <v>25</v>
      </c>
      <c r="D17" s="1" t="s">
        <v>49</v>
      </c>
      <c r="E17" s="1" t="s">
        <v>37</v>
      </c>
      <c r="F17" s="1">
        <v>45664</v>
      </c>
      <c r="G17" s="14" t="s">
        <v>50</v>
      </c>
      <c r="H17" t="s">
        <v>51</v>
      </c>
      <c r="I17" s="2" t="s">
        <v>52</v>
      </c>
      <c r="J17" s="2">
        <v>0.020833333333333332</v>
      </c>
      <c r="K17" s="1">
        <v>0.041666666666666664</v>
      </c>
      <c r="L17" s="1">
        <v>0.0625</v>
      </c>
      <c r="M17" s="1" t="s">
        <v>22</v>
      </c>
      <c r="N17" s="1" t="s">
        <v>53</v>
      </c>
      <c r="O17" s="1" t="s">
        <v>54</v>
      </c>
      <c r="P17" s="1" t="s">
        <v>47</v>
      </c>
      <c r="Q17" s="1">
        <v>45664</v>
      </c>
      <c r="R17" s="14">
        <v>5</v>
      </c>
      <c r="S17" s="1" t="s">
        <v>22</v>
      </c>
      <c r="T17" s="1" t="s">
        <v>22</v>
      </c>
      <c r="U17" s="1" t="s">
        <v>22</v>
      </c>
    </row>
    <row r="18" spans="1:21" x14ac:dyDescent="0.25">
      <c r="A18" s="1" t="s">
        <v>34</v>
      </c>
      <c r="B18" s="2" t="s">
        <v>43</v>
      </c>
      <c r="C18" s="1" t="s">
        <v>44</v>
      </c>
      <c r="D18" s="1" t="s">
        <v>55</v>
      </c>
      <c r="E18" s="1" t="s">
        <v>37</v>
      </c>
      <c r="F18" s="1">
        <v>45667</v>
      </c>
      <c r="G18" s="14" t="s">
        <v>28</v>
      </c>
      <c r="H18" t="s">
        <v>56</v>
      </c>
      <c r="I18" s="2" t="s">
        <v>56</v>
      </c>
      <c r="J18" s="2">
        <v>0.041666666666666664</v>
      </c>
      <c r="K18" s="1">
        <v>0</v>
      </c>
      <c r="L18" s="1">
        <v>0.041666666666666664</v>
      </c>
      <c r="M18" s="1" t="s">
        <v>22</v>
      </c>
      <c r="N18" s="1" t="s">
        <v>31</v>
      </c>
      <c r="O18" s="1" t="s">
        <v>32</v>
      </c>
      <c r="P18" s="1" t="s">
        <v>47</v>
      </c>
      <c r="Q18" s="1">
        <v>45667</v>
      </c>
      <c r="R18" s="14">
        <v>5</v>
      </c>
      <c r="S18" s="1" t="s">
        <v>22</v>
      </c>
      <c r="T18" s="1" t="s">
        <v>22</v>
      </c>
      <c r="U18" s="1" t="s">
        <v>22</v>
      </c>
    </row>
    <row r="19" spans="1:21" x14ac:dyDescent="0.25">
      <c r="A19" s="1" t="s">
        <v>34</v>
      </c>
      <c r="B19" s="2" t="s">
        <v>43</v>
      </c>
      <c r="C19" s="1" t="s">
        <v>44</v>
      </c>
      <c r="D19" s="1" t="s">
        <v>57</v>
      </c>
      <c r="E19" s="1" t="s">
        <v>27</v>
      </c>
      <c r="F19" s="1">
        <v>45672</v>
      </c>
      <c r="G19" s="14" t="s">
        <v>50</v>
      </c>
      <c r="H19" t="s">
        <v>58</v>
      </c>
      <c r="I19" s="2" t="s">
        <v>59</v>
      </c>
      <c r="J19" s="2">
        <v>0.020833333333333332</v>
      </c>
      <c r="K19" s="1">
        <v>0.027777777777777776</v>
      </c>
      <c r="L19" s="1">
        <v>0.048611111111111105</v>
      </c>
      <c r="M19" s="1" t="s">
        <v>22</v>
      </c>
      <c r="N19" s="1" t="s">
        <v>53</v>
      </c>
      <c r="O19" s="1" t="s">
        <v>32</v>
      </c>
      <c r="P19" s="1" t="s">
        <v>47</v>
      </c>
      <c r="Q19" s="1">
        <v>45672</v>
      </c>
      <c r="R19" s="14">
        <v>5</v>
      </c>
      <c r="S19" s="1" t="s">
        <v>22</v>
      </c>
      <c r="T19" s="1" t="s">
        <v>22</v>
      </c>
      <c r="U19" s="1" t="s">
        <v>22</v>
      </c>
    </row>
    <row r="20" spans="1:21" x14ac:dyDescent="0.25">
      <c r="A20" s="1" t="s">
        <v>34</v>
      </c>
      <c r="B20" s="2" t="s">
        <v>60</v>
      </c>
      <c r="C20" s="1" t="s">
        <v>61</v>
      </c>
      <c r="D20" s="1" t="s">
        <v>62</v>
      </c>
      <c r="E20" s="1" t="s">
        <v>37</v>
      </c>
      <c r="F20" s="1">
        <v>45672</v>
      </c>
      <c r="G20" s="14" t="s">
        <v>50</v>
      </c>
      <c r="H20" t="s">
        <v>63</v>
      </c>
      <c r="I20" s="2" t="s">
        <v>64</v>
      </c>
      <c r="J20" s="2">
        <v>0.020833333333333332</v>
      </c>
      <c r="K20" s="1">
        <v>0.027777777777777776</v>
      </c>
      <c r="L20" s="1">
        <v>0.048611111111111105</v>
      </c>
      <c r="M20" s="1" t="s">
        <v>22</v>
      </c>
      <c r="N20" s="1" t="s">
        <v>53</v>
      </c>
      <c r="O20" s="1" t="s">
        <v>32</v>
      </c>
      <c r="P20" s="1" t="s">
        <v>47</v>
      </c>
      <c r="Q20" s="1">
        <v>45672</v>
      </c>
      <c r="R20" s="14">
        <v>5</v>
      </c>
      <c r="S20" s="1" t="s">
        <v>22</v>
      </c>
      <c r="T20" s="1" t="s">
        <v>22</v>
      </c>
      <c r="U20" s="1" t="s">
        <v>22</v>
      </c>
    </row>
    <row r="21" spans="1:21" x14ac:dyDescent="0.25">
      <c r="A21" s="1" t="s">
        <v>34</v>
      </c>
      <c r="B21" s="2" t="s">
        <v>65</v>
      </c>
      <c r="C21" s="1" t="s">
        <v>25</v>
      </c>
      <c r="D21" s="1" t="s">
        <v>66</v>
      </c>
      <c r="E21" s="1" t="s">
        <v>27</v>
      </c>
      <c r="F21" s="1">
        <v>45672</v>
      </c>
      <c r="G21" s="14" t="s">
        <v>38</v>
      </c>
      <c r="H21" t="s">
        <v>67</v>
      </c>
      <c r="I21" s="2" t="s">
        <v>68</v>
      </c>
      <c r="J21" s="2">
        <v>0.020833333333333332</v>
      </c>
      <c r="K21" s="1">
        <v>0.027777777777777776</v>
      </c>
      <c r="L21" s="1">
        <v>0.048611111111111105</v>
      </c>
      <c r="M21" s="1" t="s">
        <v>22</v>
      </c>
      <c r="N21" s="1" t="s">
        <v>53</v>
      </c>
      <c r="O21" s="1" t="s">
        <v>32</v>
      </c>
      <c r="P21" s="1" t="s">
        <v>47</v>
      </c>
      <c r="Q21" s="1">
        <v>45672</v>
      </c>
      <c r="R21" s="14">
        <v>5</v>
      </c>
      <c r="S21" s="1" t="s">
        <v>22</v>
      </c>
      <c r="T21" s="1" t="s">
        <v>22</v>
      </c>
      <c r="U21" s="1" t="s">
        <v>22</v>
      </c>
    </row>
    <row r="22" spans="1:21" x14ac:dyDescent="0.25">
      <c r="A22" s="1" t="s">
        <v>34</v>
      </c>
      <c r="B22" s="2" t="s">
        <v>65</v>
      </c>
      <c r="C22" s="1" t="s">
        <v>25</v>
      </c>
      <c r="D22" s="1" t="s">
        <v>69</v>
      </c>
      <c r="E22" s="1" t="s">
        <v>37</v>
      </c>
      <c r="F22" s="1">
        <v>45674</v>
      </c>
      <c r="G22" s="14" t="s">
        <v>38</v>
      </c>
      <c r="H22" t="s">
        <v>70</v>
      </c>
      <c r="I22" s="2" t="s">
        <v>71</v>
      </c>
      <c r="J22" s="2">
        <v>0.013888888888888888</v>
      </c>
      <c r="K22" s="1">
        <v>0.024305555555555556</v>
      </c>
      <c r="L22" s="1">
        <v>0.03819444444444445</v>
      </c>
      <c r="M22" s="1" t="s">
        <v>22</v>
      </c>
      <c r="N22" s="1" t="s">
        <v>31</v>
      </c>
      <c r="O22" s="1" t="s">
        <v>41</v>
      </c>
      <c r="P22" s="1" t="s">
        <v>47</v>
      </c>
      <c r="Q22" s="1">
        <v>45674</v>
      </c>
      <c r="R22" s="14">
        <v>5</v>
      </c>
      <c r="S22" s="1" t="s">
        <v>22</v>
      </c>
      <c r="T22" s="1" t="s">
        <v>22</v>
      </c>
      <c r="U22" s="1" t="s">
        <v>22</v>
      </c>
    </row>
    <row r="23" spans="1:21" x14ac:dyDescent="0.25">
      <c r="A23" s="1" t="s">
        <v>34</v>
      </c>
      <c r="B23" s="2" t="s">
        <v>72</v>
      </c>
      <c r="C23" s="1" t="s">
        <v>44</v>
      </c>
      <c r="D23" s="1" t="s">
        <v>73</v>
      </c>
      <c r="E23" s="1" t="s">
        <v>27</v>
      </c>
      <c r="F23" s="1">
        <v>45679</v>
      </c>
      <c r="G23" s="14" t="s">
        <v>74</v>
      </c>
      <c r="H23" t="s">
        <v>75</v>
      </c>
      <c r="I23" s="2" t="s">
        <v>76</v>
      </c>
      <c r="J23" s="2">
        <v>0.020833333333333332</v>
      </c>
      <c r="K23" s="1">
        <v>0.027777777777777776</v>
      </c>
      <c r="L23" s="1">
        <v>0.048611111111111105</v>
      </c>
      <c r="M23" s="1" t="s">
        <v>22</v>
      </c>
      <c r="N23" s="1" t="s">
        <v>31</v>
      </c>
      <c r="O23" s="1" t="s">
        <v>32</v>
      </c>
      <c r="P23" s="1" t="s">
        <v>47</v>
      </c>
      <c r="Q23" s="1">
        <v>45679</v>
      </c>
      <c r="R23" s="14">
        <v>5</v>
      </c>
      <c r="S23" s="1" t="s">
        <v>22</v>
      </c>
      <c r="T23" s="1" t="s">
        <v>22</v>
      </c>
      <c r="U23" s="1" t="s">
        <v>22</v>
      </c>
    </row>
    <row r="24" spans="1:21" x14ac:dyDescent="0.25">
      <c r="A24" s="1" t="s">
        <v>34</v>
      </c>
      <c r="B24" s="2" t="s">
        <v>77</v>
      </c>
      <c r="C24" s="1" t="s">
        <v>78</v>
      </c>
      <c r="D24" s="1" t="s">
        <v>79</v>
      </c>
      <c r="E24" s="1" t="s">
        <v>27</v>
      </c>
      <c r="F24" s="1">
        <v>45679</v>
      </c>
      <c r="G24" s="14" t="s">
        <v>80</v>
      </c>
      <c r="H24" t="s">
        <v>81</v>
      </c>
      <c r="I24" s="2" t="s">
        <v>82</v>
      </c>
      <c r="J24" s="2">
        <v>0.020833333333333332</v>
      </c>
      <c r="K24" s="1">
        <v>0.027777777777777776</v>
      </c>
      <c r="L24" s="1">
        <v>0.048611111111111105</v>
      </c>
      <c r="M24" s="1" t="s">
        <v>22</v>
      </c>
      <c r="N24" s="1" t="s">
        <v>31</v>
      </c>
      <c r="O24" s="1" t="s">
        <v>32</v>
      </c>
      <c r="P24" s="1" t="s">
        <v>42</v>
      </c>
      <c r="Q24" s="1">
        <v>45679</v>
      </c>
      <c r="R24" s="14">
        <v>5</v>
      </c>
      <c r="S24" s="1" t="s">
        <v>22</v>
      </c>
      <c r="T24" s="1" t="s">
        <v>22</v>
      </c>
      <c r="U24" s="1" t="s">
        <v>22</v>
      </c>
    </row>
    <row r="25" spans="1:21" x14ac:dyDescent="0.25">
      <c r="A25" s="1" t="s">
        <v>34</v>
      </c>
      <c r="B25" s="2" t="s">
        <v>83</v>
      </c>
      <c r="C25" s="1" t="s">
        <v>78</v>
      </c>
      <c r="D25" s="1" t="s">
        <v>84</v>
      </c>
      <c r="E25" s="1" t="s">
        <v>27</v>
      </c>
      <c r="F25" s="1">
        <v>45681</v>
      </c>
      <c r="G25" s="14" t="s">
        <v>38</v>
      </c>
      <c r="H25" t="s">
        <v>85</v>
      </c>
      <c r="I25" s="2" t="s">
        <v>86</v>
      </c>
      <c r="J25" s="2">
        <v>0.020833333333333332</v>
      </c>
      <c r="K25" s="1">
        <v>0.020833333333333332</v>
      </c>
      <c r="L25" s="1">
        <v>0.041666666666666664</v>
      </c>
      <c r="M25" s="1" t="s">
        <v>22</v>
      </c>
      <c r="N25" s="1" t="s">
        <v>53</v>
      </c>
      <c r="O25" s="1" t="s">
        <v>32</v>
      </c>
      <c r="P25" s="1" t="s">
        <v>42</v>
      </c>
      <c r="Q25" s="1">
        <v>45681</v>
      </c>
      <c r="R25" s="14">
        <v>5</v>
      </c>
      <c r="S25" s="1" t="s">
        <v>22</v>
      </c>
      <c r="T25" s="1" t="s">
        <v>22</v>
      </c>
      <c r="U25" s="1" t="s">
        <v>22</v>
      </c>
    </row>
    <row r="26" spans="1:21" x14ac:dyDescent="0.25">
      <c r="A26" s="1" t="s">
        <v>34</v>
      </c>
      <c r="B26" s="2" t="s">
        <v>65</v>
      </c>
      <c r="C26" s="1" t="s">
        <v>25</v>
      </c>
      <c r="D26" s="1" t="s">
        <v>87</v>
      </c>
      <c r="E26" s="1" t="s">
        <v>27</v>
      </c>
      <c r="F26" s="1">
        <v>45685</v>
      </c>
      <c r="G26" s="14" t="s">
        <v>88</v>
      </c>
      <c r="H26" t="s">
        <v>89</v>
      </c>
      <c r="I26" s="2" t="s">
        <v>90</v>
      </c>
      <c r="J26" s="2">
        <v>0.020833333333333332</v>
      </c>
      <c r="K26" s="1">
        <v>0.04861111111111111</v>
      </c>
      <c r="L26" s="1">
        <v>0.06944444444444445</v>
      </c>
      <c r="M26" s="1" t="s">
        <v>22</v>
      </c>
      <c r="N26" s="1" t="s">
        <v>32</v>
      </c>
      <c r="O26" s="1" t="s">
        <v>41</v>
      </c>
      <c r="P26" s="1" t="s">
        <v>47</v>
      </c>
      <c r="Q26" s="1">
        <v>45685</v>
      </c>
      <c r="R26" s="14">
        <v>5</v>
      </c>
      <c r="S26" s="1" t="s">
        <v>22</v>
      </c>
      <c r="T26" s="1" t="s">
        <v>22</v>
      </c>
      <c r="U26" s="1" t="s">
        <v>22</v>
      </c>
    </row>
    <row r="27" spans="1:21" x14ac:dyDescent="0.25">
      <c r="A27" s="1" t="s">
        <v>34</v>
      </c>
      <c r="B27" s="2" t="s">
        <v>91</v>
      </c>
      <c r="C27" s="1" t="s">
        <v>25</v>
      </c>
      <c r="D27" s="1" t="s">
        <v>92</v>
      </c>
      <c r="E27" s="1" t="s">
        <v>37</v>
      </c>
      <c r="F27" s="1">
        <v>45685</v>
      </c>
      <c r="G27" s="14" t="s">
        <v>28</v>
      </c>
      <c r="H27" t="s">
        <v>93</v>
      </c>
      <c r="I27" s="2" t="s">
        <v>94</v>
      </c>
      <c r="J27" s="2">
        <v>0.020833333333333332</v>
      </c>
      <c r="K27" s="1">
        <v>0.03819444444444445</v>
      </c>
      <c r="L27" s="1">
        <v>0.059027777777777776</v>
      </c>
      <c r="M27" s="1" t="s">
        <v>22</v>
      </c>
      <c r="N27" s="1" t="s">
        <v>31</v>
      </c>
      <c r="O27" s="1" t="s">
        <v>32</v>
      </c>
      <c r="P27" s="1" t="s">
        <v>47</v>
      </c>
      <c r="Q27" s="1">
        <v>45685</v>
      </c>
      <c r="R27" s="14">
        <v>5</v>
      </c>
      <c r="S27" s="1" t="s">
        <v>22</v>
      </c>
      <c r="T27" s="1" t="s">
        <v>22</v>
      </c>
      <c r="U27" s="1" t="s">
        <v>22</v>
      </c>
    </row>
    <row r="28" spans="1:21" x14ac:dyDescent="0.25">
      <c r="A28" s="1" t="s">
        <v>34</v>
      </c>
      <c r="B28" s="2" t="s">
        <v>60</v>
      </c>
      <c r="C28" s="1" t="s">
        <v>61</v>
      </c>
      <c r="D28" s="1" t="s">
        <v>95</v>
      </c>
      <c r="E28" s="1" t="s">
        <v>37</v>
      </c>
      <c r="F28" s="1">
        <v>45685</v>
      </c>
      <c r="G28" s="14" t="s">
        <v>96</v>
      </c>
      <c r="H28" t="s">
        <v>97</v>
      </c>
      <c r="I28" s="2" t="s">
        <v>98</v>
      </c>
      <c r="J28" s="2">
        <v>0.020833333333333332</v>
      </c>
      <c r="K28" s="1">
        <v>0.034722222222222224</v>
      </c>
      <c r="L28" s="1">
        <v>0.05555555555555555</v>
      </c>
      <c r="M28" s="1" t="s">
        <v>22</v>
      </c>
      <c r="N28" s="1" t="s">
        <v>31</v>
      </c>
      <c r="O28" s="1" t="s">
        <v>32</v>
      </c>
      <c r="P28" s="1" t="s">
        <v>47</v>
      </c>
      <c r="Q28" s="1">
        <v>45685</v>
      </c>
      <c r="R28" s="14">
        <v>5</v>
      </c>
      <c r="S28" s="1" t="s">
        <v>22</v>
      </c>
      <c r="T28" s="1" t="s">
        <v>22</v>
      </c>
      <c r="U28" s="1" t="s">
        <v>22</v>
      </c>
    </row>
    <row r="29" spans="1:21" x14ac:dyDescent="0.25">
      <c r="A29" s="1" t="s">
        <v>34</v>
      </c>
      <c r="B29" s="2" t="s">
        <v>99</v>
      </c>
      <c r="C29" s="1" t="s">
        <v>25</v>
      </c>
      <c r="D29" s="1" t="s">
        <v>100</v>
      </c>
      <c r="E29" s="1" t="s">
        <v>27</v>
      </c>
      <c r="F29" s="1">
        <v>45685</v>
      </c>
      <c r="G29" s="14" t="s">
        <v>88</v>
      </c>
      <c r="H29" t="s">
        <v>101</v>
      </c>
      <c r="I29" s="2" t="s">
        <v>102</v>
      </c>
      <c r="J29" s="2">
        <v>0.020833333333333332</v>
      </c>
      <c r="K29" s="1">
        <v>0.020833333333333332</v>
      </c>
      <c r="L29" s="1">
        <v>0.041666666666666664</v>
      </c>
      <c r="M29" s="1" t="s">
        <v>22</v>
      </c>
      <c r="N29" s="1" t="s">
        <v>31</v>
      </c>
      <c r="O29" s="1" t="s">
        <v>32</v>
      </c>
      <c r="P29" s="1" t="s">
        <v>47</v>
      </c>
      <c r="Q29" s="1">
        <v>45685</v>
      </c>
      <c r="R29" s="14">
        <v>5</v>
      </c>
      <c r="S29" s="1" t="s">
        <v>22</v>
      </c>
      <c r="T29" s="1" t="s">
        <v>22</v>
      </c>
      <c r="U29" s="1" t="s">
        <v>22</v>
      </c>
    </row>
    <row r="30" spans="1:21" x14ac:dyDescent="0.25">
      <c r="A30" s="1" t="s">
        <v>34</v>
      </c>
      <c r="B30" s="2" t="s">
        <v>24</v>
      </c>
      <c r="C30" s="1" t="s">
        <v>25</v>
      </c>
      <c r="D30" s="1" t="s">
        <v>103</v>
      </c>
      <c r="E30" s="1" t="s">
        <v>27</v>
      </c>
      <c r="F30" s="1">
        <v>45685</v>
      </c>
      <c r="G30" s="14" t="s">
        <v>88</v>
      </c>
      <c r="H30" t="s">
        <v>104</v>
      </c>
      <c r="I30" s="2" t="s">
        <v>104</v>
      </c>
      <c r="J30" s="2">
        <v>0.020833333333333332</v>
      </c>
      <c r="K30" s="1">
        <v>0.041666666666666664</v>
      </c>
      <c r="L30" s="1">
        <v>0.0625</v>
      </c>
      <c r="M30" s="1" t="s">
        <v>22</v>
      </c>
      <c r="N30" s="1" t="s">
        <v>31</v>
      </c>
      <c r="O30" s="1" t="s">
        <v>41</v>
      </c>
      <c r="P30" s="1" t="s">
        <v>47</v>
      </c>
      <c r="Q30" s="1">
        <v>45685</v>
      </c>
      <c r="R30" s="14">
        <v>5</v>
      </c>
      <c r="S30" s="1" t="s">
        <v>22</v>
      </c>
      <c r="T30" s="1" t="s">
        <v>22</v>
      </c>
      <c r="U30" s="1" t="s">
        <v>22</v>
      </c>
    </row>
    <row r="31" spans="1:21" x14ac:dyDescent="0.25">
      <c r="A31" s="1" t="s">
        <v>105</v>
      </c>
      <c r="B31" s="2" t="s">
        <v>83</v>
      </c>
      <c r="C31" s="1" t="s">
        <v>78</v>
      </c>
      <c r="D31" s="1" t="s">
        <v>106</v>
      </c>
      <c r="E31" s="1" t="s">
        <v>27</v>
      </c>
      <c r="F31" s="1">
        <v>45694</v>
      </c>
      <c r="G31" s="14" t="s">
        <v>88</v>
      </c>
      <c r="H31" t="s">
        <v>107</v>
      </c>
      <c r="I31" s="2" t="s">
        <v>107</v>
      </c>
      <c r="J31" s="2">
        <v>0.013888888888888888</v>
      </c>
      <c r="K31" s="1">
        <v>0.020833333333333332</v>
      </c>
      <c r="L31" s="1">
        <v>0.034722222222222224</v>
      </c>
      <c r="M31" s="1" t="s">
        <v>22</v>
      </c>
      <c r="N31" s="1" t="s">
        <v>31</v>
      </c>
      <c r="O31" s="1" t="s">
        <v>32</v>
      </c>
      <c r="P31" s="1" t="s">
        <v>42</v>
      </c>
      <c r="Q31" s="1">
        <v>45694</v>
      </c>
      <c r="R31" s="14">
        <v>5</v>
      </c>
      <c r="S31" s="1" t="s">
        <v>22</v>
      </c>
      <c r="T31" s="1" t="s">
        <v>22</v>
      </c>
      <c r="U31" s="1" t="s">
        <v>22</v>
      </c>
    </row>
    <row r="32" spans="1:21" x14ac:dyDescent="0.25">
      <c r="A32" s="1" t="s">
        <v>105</v>
      </c>
      <c r="B32" s="2" t="s">
        <v>108</v>
      </c>
      <c r="C32" s="1" t="s">
        <v>78</v>
      </c>
      <c r="D32" s="1" t="s">
        <v>109</v>
      </c>
      <c r="E32" s="1" t="s">
        <v>27</v>
      </c>
      <c r="F32" s="1">
        <v>45694</v>
      </c>
      <c r="G32" s="14" t="s">
        <v>88</v>
      </c>
      <c r="H32" t="s">
        <v>110</v>
      </c>
      <c r="I32" s="2" t="s">
        <v>111</v>
      </c>
      <c r="J32" s="2">
        <v>0.020833333333333332</v>
      </c>
      <c r="K32" s="1">
        <v>0.034722222222222224</v>
      </c>
      <c r="L32" s="1">
        <v>0.05555555555555555</v>
      </c>
      <c r="M32" s="1" t="s">
        <v>22</v>
      </c>
      <c r="N32" s="1" t="s">
        <v>53</v>
      </c>
      <c r="O32" s="1" t="s">
        <v>32</v>
      </c>
      <c r="P32" s="1" t="s">
        <v>112</v>
      </c>
      <c r="Q32" s="1">
        <v>45694</v>
      </c>
      <c r="R32" s="14">
        <v>5</v>
      </c>
      <c r="S32" s="1" t="s">
        <v>22</v>
      </c>
      <c r="T32" s="1" t="s">
        <v>22</v>
      </c>
      <c r="U32" s="1" t="s">
        <v>22</v>
      </c>
    </row>
    <row r="33" spans="1:21" x14ac:dyDescent="0.25">
      <c r="A33" s="1" t="s">
        <v>105</v>
      </c>
      <c r="B33" s="2" t="s">
        <v>113</v>
      </c>
      <c r="C33" s="1" t="s">
        <v>25</v>
      </c>
      <c r="D33" s="1" t="s">
        <v>114</v>
      </c>
      <c r="E33" s="1" t="s">
        <v>37</v>
      </c>
      <c r="F33" s="1">
        <v>45700</v>
      </c>
      <c r="G33" s="14" t="s">
        <v>28</v>
      </c>
      <c r="H33" t="s">
        <v>115</v>
      </c>
      <c r="I33" s="2" t="s">
        <v>116</v>
      </c>
      <c r="J33" s="2">
        <v>0.03125</v>
      </c>
      <c r="K33" s="1">
        <v>0.06597222222222222</v>
      </c>
      <c r="L33" s="1">
        <v>0.09722222222222222</v>
      </c>
      <c r="M33" s="1" t="s">
        <v>22</v>
      </c>
      <c r="N33" s="1" t="s">
        <v>31</v>
      </c>
      <c r="O33" s="1" t="s">
        <v>41</v>
      </c>
      <c r="P33" s="1" t="s">
        <v>117</v>
      </c>
      <c r="Q33" s="1">
        <v>45700</v>
      </c>
      <c r="R33" s="14">
        <v>5</v>
      </c>
      <c r="S33" s="1" t="s">
        <v>22</v>
      </c>
      <c r="T33" s="1" t="s">
        <v>22</v>
      </c>
      <c r="U33" s="1" t="s">
        <v>22</v>
      </c>
    </row>
    <row r="34" spans="1:21" x14ac:dyDescent="0.25">
      <c r="A34" s="1" t="s">
        <v>105</v>
      </c>
      <c r="B34" s="2" t="s">
        <v>118</v>
      </c>
      <c r="C34" s="1" t="s">
        <v>25</v>
      </c>
      <c r="D34" s="1" t="s">
        <v>119</v>
      </c>
      <c r="E34" s="1" t="s">
        <v>27</v>
      </c>
      <c r="F34" s="1">
        <v>45701</v>
      </c>
      <c r="G34" s="14" t="s">
        <v>88</v>
      </c>
      <c r="H34" t="s">
        <v>120</v>
      </c>
      <c r="I34" s="2" t="s">
        <v>121</v>
      </c>
      <c r="J34" s="2">
        <v>0.041666666666666664</v>
      </c>
      <c r="K34" s="1">
        <v>0.041666666666666664</v>
      </c>
      <c r="L34" s="1">
        <v>0.08333333333333333</v>
      </c>
      <c r="M34" s="1" t="s">
        <v>22</v>
      </c>
      <c r="N34" s="1" t="s">
        <v>31</v>
      </c>
      <c r="O34" s="1" t="s">
        <v>41</v>
      </c>
      <c r="P34" s="1" t="s">
        <v>47</v>
      </c>
      <c r="Q34" s="1">
        <v>45701</v>
      </c>
      <c r="R34" s="14">
        <v>5</v>
      </c>
      <c r="S34" s="1" t="s">
        <v>22</v>
      </c>
      <c r="T34" s="1" t="s">
        <v>22</v>
      </c>
      <c r="U34" s="1" t="s">
        <v>22</v>
      </c>
    </row>
    <row r="35" spans="1:21" x14ac:dyDescent="0.25">
      <c r="A35" s="1" t="s">
        <v>105</v>
      </c>
      <c r="B35" s="2" t="s">
        <v>122</v>
      </c>
      <c r="C35" s="1" t="s">
        <v>123</v>
      </c>
      <c r="D35" s="1" t="s">
        <v>124</v>
      </c>
      <c r="E35" s="1" t="s">
        <v>27</v>
      </c>
      <c r="F35" s="1">
        <v>45705</v>
      </c>
      <c r="G35" s="14" t="s">
        <v>88</v>
      </c>
      <c r="H35" t="s">
        <v>125</v>
      </c>
      <c r="I35" s="2" t="s">
        <v>126</v>
      </c>
      <c r="J35" s="2">
        <v>0.006944444444444444</v>
      </c>
      <c r="K35" s="1">
        <v>0.034722222222222224</v>
      </c>
      <c r="L35" s="1">
        <v>0.04166666666666667</v>
      </c>
      <c r="M35" s="1" t="s">
        <v>22</v>
      </c>
      <c r="N35" s="1" t="s">
        <v>31</v>
      </c>
      <c r="O35" s="1" t="s">
        <v>32</v>
      </c>
      <c r="P35" s="1" t="s">
        <v>47</v>
      </c>
      <c r="Q35" s="1">
        <v>45705</v>
      </c>
      <c r="R35" s="14">
        <v>5</v>
      </c>
      <c r="S35" s="1" t="s">
        <v>22</v>
      </c>
      <c r="T35" s="1" t="s">
        <v>22</v>
      </c>
      <c r="U35" s="1" t="s">
        <v>22</v>
      </c>
    </row>
    <row r="36" spans="1:21" x14ac:dyDescent="0.25">
      <c r="A36" s="1" t="s">
        <v>105</v>
      </c>
      <c r="B36" s="2" t="s">
        <v>108</v>
      </c>
      <c r="C36" s="1" t="s">
        <v>78</v>
      </c>
      <c r="D36" s="1" t="s">
        <v>109</v>
      </c>
      <c r="E36" s="1" t="s">
        <v>27</v>
      </c>
      <c r="F36" s="1">
        <v>45694</v>
      </c>
      <c r="G36" s="14" t="s">
        <v>88</v>
      </c>
      <c r="H36" t="s">
        <v>127</v>
      </c>
      <c r="I36" s="2" t="s">
        <v>128</v>
      </c>
      <c r="J36" s="2">
        <v>0.006944444444444444</v>
      </c>
      <c r="K36" s="1">
        <v>0.0625</v>
      </c>
      <c r="L36" s="1">
        <v>0.06944444444444445</v>
      </c>
      <c r="M36" s="1" t="s">
        <v>22</v>
      </c>
      <c r="N36" s="1" t="s">
        <v>31</v>
      </c>
      <c r="O36" s="1" t="s">
        <v>41</v>
      </c>
      <c r="P36" s="1" t="s">
        <v>112</v>
      </c>
      <c r="Q36" s="1">
        <v>45705</v>
      </c>
      <c r="R36" s="14">
        <v>5</v>
      </c>
      <c r="S36" s="1" t="s">
        <v>22</v>
      </c>
      <c r="T36" s="1" t="s">
        <v>22</v>
      </c>
      <c r="U36" s="1" t="s">
        <v>22</v>
      </c>
    </row>
    <row r="37" spans="1:21" x14ac:dyDescent="0.25">
      <c r="A37" s="1" t="s">
        <v>105</v>
      </c>
      <c r="B37" s="2" t="s">
        <v>43</v>
      </c>
      <c r="C37" s="1" t="s">
        <v>44</v>
      </c>
      <c r="D37" s="1" t="s">
        <v>129</v>
      </c>
      <c r="E37" s="1" t="s">
        <v>37</v>
      </c>
      <c r="F37" s="1">
        <v>45707</v>
      </c>
      <c r="G37" s="14" t="s">
        <v>88</v>
      </c>
      <c r="H37" t="s">
        <v>130</v>
      </c>
      <c r="I37" s="2" t="s">
        <v>131</v>
      </c>
      <c r="J37" s="2">
        <v>0.013888888888888888</v>
      </c>
      <c r="K37" s="1">
        <v>0.020833333333333332</v>
      </c>
      <c r="L37" s="1">
        <v>0.034722222222222224</v>
      </c>
      <c r="M37" s="1" t="s">
        <v>22</v>
      </c>
      <c r="N37" s="1" t="s">
        <v>53</v>
      </c>
      <c r="O37" s="1" t="s">
        <v>32</v>
      </c>
      <c r="P37" s="1" t="s">
        <v>47</v>
      </c>
      <c r="Q37" s="1">
        <v>45707</v>
      </c>
      <c r="R37" s="14">
        <v>5</v>
      </c>
      <c r="S37" s="1" t="s">
        <v>22</v>
      </c>
      <c r="T37" s="1" t="s">
        <v>22</v>
      </c>
      <c r="U37" s="1" t="s">
        <v>22</v>
      </c>
    </row>
    <row r="38" spans="1:21" x14ac:dyDescent="0.25">
      <c r="A38" s="1" t="s">
        <v>105</v>
      </c>
      <c r="B38" s="2" t="s">
        <v>113</v>
      </c>
      <c r="C38" s="1" t="s">
        <v>25</v>
      </c>
      <c r="D38" s="1" t="s">
        <v>132</v>
      </c>
      <c r="E38" s="1" t="s">
        <v>27</v>
      </c>
      <c r="F38" s="1">
        <v>45709</v>
      </c>
      <c r="G38" s="14" t="s">
        <v>133</v>
      </c>
      <c r="H38" t="s">
        <v>134</v>
      </c>
      <c r="I38" s="2" t="s">
        <v>135</v>
      </c>
      <c r="J38" s="2">
        <v>0.013888888888888888</v>
      </c>
      <c r="K38" s="1">
        <v>0.034722222222222224</v>
      </c>
      <c r="L38" s="1">
        <v>0.04861111111111111</v>
      </c>
      <c r="M38" s="1" t="s">
        <v>22</v>
      </c>
      <c r="N38" s="1" t="s">
        <v>31</v>
      </c>
      <c r="O38" s="1" t="s">
        <v>32</v>
      </c>
      <c r="P38" s="1" t="s">
        <v>47</v>
      </c>
      <c r="Q38" s="1">
        <v>45709</v>
      </c>
      <c r="R38" s="14">
        <v>5</v>
      </c>
      <c r="S38" s="1" t="s">
        <v>22</v>
      </c>
      <c r="T38" s="1" t="s">
        <v>22</v>
      </c>
      <c r="U38" s="1" t="s">
        <v>22</v>
      </c>
    </row>
    <row r="39" spans="1:21" x14ac:dyDescent="0.25">
      <c r="A39" s="1" t="s">
        <v>105</v>
      </c>
      <c r="B39" s="2" t="s">
        <v>65</v>
      </c>
      <c r="C39" s="1" t="s">
        <v>25</v>
      </c>
      <c r="D39" s="1" t="s">
        <v>136</v>
      </c>
      <c r="E39" s="1" t="s">
        <v>27</v>
      </c>
      <c r="F39" s="1">
        <v>45712</v>
      </c>
      <c r="G39" s="14" t="s">
        <v>88</v>
      </c>
      <c r="H39" t="s">
        <v>137</v>
      </c>
      <c r="I39" s="2" t="s">
        <v>138</v>
      </c>
      <c r="J39" s="2">
        <v>0.020833333333333332</v>
      </c>
      <c r="K39" s="1">
        <v>0.034722222222222224</v>
      </c>
      <c r="L39" s="1">
        <v>0.05555555555555555</v>
      </c>
      <c r="M39" s="1" t="s">
        <v>22</v>
      </c>
      <c r="N39" s="1" t="s">
        <v>53</v>
      </c>
      <c r="O39" s="1" t="s">
        <v>32</v>
      </c>
      <c r="P39" s="1" t="s">
        <v>47</v>
      </c>
      <c r="Q39" s="1">
        <v>45712</v>
      </c>
      <c r="R39" s="14">
        <v>5</v>
      </c>
      <c r="S39" s="1" t="s">
        <v>22</v>
      </c>
      <c r="T39" s="1" t="s">
        <v>22</v>
      </c>
      <c r="U39" s="1" t="s">
        <v>22</v>
      </c>
    </row>
    <row r="40" spans="1:21" x14ac:dyDescent="0.25">
      <c r="A40" s="1" t="s">
        <v>105</v>
      </c>
      <c r="B40" s="2" t="s">
        <v>60</v>
      </c>
      <c r="C40" s="1" t="s">
        <v>61</v>
      </c>
      <c r="D40" s="1" t="s">
        <v>139</v>
      </c>
      <c r="E40" s="1" t="s">
        <v>37</v>
      </c>
      <c r="F40" s="1">
        <v>45712</v>
      </c>
      <c r="G40" s="14" t="s">
        <v>88</v>
      </c>
      <c r="H40" t="s">
        <v>140</v>
      </c>
      <c r="I40" s="2" t="s">
        <v>141</v>
      </c>
      <c r="J40" s="2">
        <v>0.020833333333333332</v>
      </c>
      <c r="K40" s="1">
        <v>0.03819444444444445</v>
      </c>
      <c r="L40" s="1">
        <v>0.059027777777777776</v>
      </c>
      <c r="M40" s="1" t="s">
        <v>22</v>
      </c>
      <c r="N40" s="1" t="s">
        <v>53</v>
      </c>
      <c r="O40" s="1" t="s">
        <v>32</v>
      </c>
      <c r="P40" s="1" t="s">
        <v>47</v>
      </c>
      <c r="Q40" s="1">
        <v>45712</v>
      </c>
      <c r="R40" s="14">
        <v>5</v>
      </c>
      <c r="S40" s="1" t="s">
        <v>22</v>
      </c>
      <c r="T40" s="1" t="s">
        <v>22</v>
      </c>
      <c r="U40" s="1" t="s">
        <v>22</v>
      </c>
    </row>
    <row r="41" spans="1:21" x14ac:dyDescent="0.25">
      <c r="A41" s="1" t="s">
        <v>105</v>
      </c>
      <c r="B41" s="2" t="s">
        <v>142</v>
      </c>
      <c r="C41" s="1" t="s">
        <v>25</v>
      </c>
      <c r="D41" s="1" t="s">
        <v>143</v>
      </c>
      <c r="E41" s="1" t="s">
        <v>37</v>
      </c>
      <c r="F41" s="1">
        <v>45715</v>
      </c>
      <c r="G41" s="14" t="s">
        <v>88</v>
      </c>
      <c r="H41" t="s">
        <v>144</v>
      </c>
      <c r="I41" s="2" t="s">
        <v>144</v>
      </c>
      <c r="J41" s="2">
        <v>0.034722222222222224</v>
      </c>
      <c r="K41" s="1">
        <v>0.05555555555555555</v>
      </c>
      <c r="L41" s="1">
        <v>0.09027777777777778</v>
      </c>
      <c r="M41" s="1" t="s">
        <v>22</v>
      </c>
      <c r="N41" s="1" t="s">
        <v>31</v>
      </c>
      <c r="O41" s="1" t="s">
        <v>32</v>
      </c>
      <c r="P41" s="1" t="s">
        <v>47</v>
      </c>
      <c r="Q41" s="1">
        <v>45715</v>
      </c>
      <c r="R41" s="14">
        <v>5</v>
      </c>
      <c r="S41" s="1" t="s">
        <v>22</v>
      </c>
      <c r="T41" s="1" t="s">
        <v>22</v>
      </c>
      <c r="U41" s="1" t="s">
        <v>22</v>
      </c>
    </row>
    <row r="42" spans="1:21" x14ac:dyDescent="0.25">
      <c r="A42" s="1" t="s">
        <v>145</v>
      </c>
      <c r="B42" s="2" t="s">
        <v>146</v>
      </c>
      <c r="C42" s="1" t="s">
        <v>147</v>
      </c>
      <c r="D42" s="1" t="s">
        <v>148</v>
      </c>
      <c r="E42" s="1" t="s">
        <v>27</v>
      </c>
      <c r="F42" s="1">
        <v>45719</v>
      </c>
      <c r="G42" s="14" t="s">
        <v>88</v>
      </c>
      <c r="H42" t="s">
        <v>149</v>
      </c>
      <c r="I42" s="2" t="s">
        <v>150</v>
      </c>
      <c r="J42" s="2">
        <v>0.034722222222222224</v>
      </c>
      <c r="K42" s="1">
        <v>0.024305555555555556</v>
      </c>
      <c r="L42" s="1">
        <v>0.059027777777777776</v>
      </c>
      <c r="M42" s="1" t="s">
        <v>22</v>
      </c>
      <c r="N42" s="1" t="s">
        <v>31</v>
      </c>
      <c r="O42" s="1" t="s">
        <v>22</v>
      </c>
      <c r="P42" s="1" t="s">
        <v>112</v>
      </c>
      <c r="Q42" s="1">
        <v>45719</v>
      </c>
      <c r="R42" s="14">
        <v>5</v>
      </c>
      <c r="S42" s="1" t="s">
        <v>22</v>
      </c>
      <c r="T42" s="1" t="s">
        <v>22</v>
      </c>
      <c r="U42" s="1" t="s">
        <v>22</v>
      </c>
    </row>
    <row r="43" spans="1:21" x14ac:dyDescent="0.25">
      <c r="A43" s="1" t="s">
        <v>145</v>
      </c>
      <c r="B43" s="2" t="s">
        <v>65</v>
      </c>
      <c r="C43" s="1" t="s">
        <v>25</v>
      </c>
      <c r="D43" s="1" t="s">
        <v>151</v>
      </c>
      <c r="E43" s="1" t="s">
        <v>37</v>
      </c>
      <c r="F43" s="1">
        <v>45719</v>
      </c>
      <c r="G43" s="14" t="s">
        <v>88</v>
      </c>
      <c r="H43" t="s">
        <v>152</v>
      </c>
      <c r="I43" s="2" t="s">
        <v>153</v>
      </c>
      <c r="J43" s="2">
        <v>0.013888888888888888</v>
      </c>
      <c r="K43" s="1">
        <v>0.020833333333333332</v>
      </c>
      <c r="L43" s="1">
        <v>0.034722222222222224</v>
      </c>
      <c r="M43" s="1" t="s">
        <v>22</v>
      </c>
      <c r="N43" s="1" t="s">
        <v>31</v>
      </c>
      <c r="O43" s="1" t="s">
        <v>32</v>
      </c>
      <c r="P43" s="1" t="s">
        <v>112</v>
      </c>
      <c r="Q43" s="1">
        <v>45719</v>
      </c>
      <c r="R43" s="14">
        <v>5</v>
      </c>
      <c r="S43" s="1" t="s">
        <v>22</v>
      </c>
      <c r="T43" s="1" t="s">
        <v>22</v>
      </c>
      <c r="U43" s="1" t="s">
        <v>22</v>
      </c>
    </row>
    <row r="44" spans="1:21" x14ac:dyDescent="0.25">
      <c r="A44" s="1" t="s">
        <v>145</v>
      </c>
      <c r="B44" s="2" t="s">
        <v>35</v>
      </c>
      <c r="C44" s="1" t="s">
        <v>25</v>
      </c>
      <c r="D44" s="1" t="s">
        <v>154</v>
      </c>
      <c r="E44" s="1" t="s">
        <v>27</v>
      </c>
      <c r="F44" s="1">
        <v>45726</v>
      </c>
      <c r="G44" s="14" t="s">
        <v>38</v>
      </c>
      <c r="H44" t="s">
        <v>155</v>
      </c>
      <c r="I44" s="2" t="s">
        <v>156</v>
      </c>
      <c r="J44" s="2">
        <v>0.034722222222222224</v>
      </c>
      <c r="K44" s="1">
        <v>0.052083333333333336</v>
      </c>
      <c r="L44" s="1">
        <v>0.08680555555555555</v>
      </c>
      <c r="M44" s="1" t="s">
        <v>22</v>
      </c>
      <c r="N44" s="1" t="s">
        <v>32</v>
      </c>
      <c r="O44" s="1" t="s">
        <v>41</v>
      </c>
      <c r="P44" s="1" t="s">
        <v>42</v>
      </c>
      <c r="Q44" s="1">
        <v>45726</v>
      </c>
      <c r="R44" s="14">
        <v>5</v>
      </c>
      <c r="S44" s="1" t="s">
        <v>22</v>
      </c>
      <c r="T44" s="1" t="s">
        <v>22</v>
      </c>
      <c r="U44" s="1" t="s">
        <v>22</v>
      </c>
    </row>
    <row r="45" spans="1:21" x14ac:dyDescent="0.25">
      <c r="A45" s="1" t="s">
        <v>145</v>
      </c>
      <c r="B45" s="2" t="s">
        <v>24</v>
      </c>
      <c r="C45" s="1" t="s">
        <v>25</v>
      </c>
      <c r="D45" s="1" t="s">
        <v>157</v>
      </c>
      <c r="E45" s="1" t="s">
        <v>27</v>
      </c>
      <c r="F45" s="1">
        <v>45735</v>
      </c>
      <c r="G45" s="14" t="s">
        <v>38</v>
      </c>
      <c r="H45" t="s">
        <v>158</v>
      </c>
      <c r="I45" s="2" t="s">
        <v>159</v>
      </c>
      <c r="J45" s="2">
        <v>0.020833333333333332</v>
      </c>
      <c r="K45" s="1">
        <v>0.027777777777777776</v>
      </c>
      <c r="L45" s="1">
        <v>0.048611111111111105</v>
      </c>
      <c r="M45" s="1" t="s">
        <v>22</v>
      </c>
      <c r="N45" s="1" t="s">
        <v>31</v>
      </c>
      <c r="O45" s="1" t="s">
        <v>41</v>
      </c>
      <c r="P45" s="1" t="s">
        <v>112</v>
      </c>
      <c r="Q45" s="1">
        <v>45735</v>
      </c>
      <c r="R45" s="14">
        <v>5</v>
      </c>
      <c r="S45" s="1" t="s">
        <v>22</v>
      </c>
      <c r="T45" s="1" t="s">
        <v>22</v>
      </c>
      <c r="U45" s="1" t="s">
        <v>22</v>
      </c>
    </row>
    <row r="46" spans="1:21" x14ac:dyDescent="0.25">
      <c r="A46" s="1" t="s">
        <v>145</v>
      </c>
      <c r="B46" s="2" t="s">
        <v>122</v>
      </c>
      <c r="C46" s="1" t="s">
        <v>123</v>
      </c>
      <c r="D46" s="1" t="s">
        <v>160</v>
      </c>
      <c r="E46" s="1" t="s">
        <v>37</v>
      </c>
      <c r="F46" s="1">
        <v>45736</v>
      </c>
      <c r="G46" s="14" t="s">
        <v>38</v>
      </c>
      <c r="H46" t="s">
        <v>161</v>
      </c>
      <c r="I46" s="2" t="s">
        <v>162</v>
      </c>
      <c r="J46" s="2">
        <v>0.041666666666666664</v>
      </c>
      <c r="K46" s="1">
        <v>0.07291666666666667</v>
      </c>
      <c r="L46" s="1">
        <v>0.11458333333333334</v>
      </c>
      <c r="M46" s="1" t="s">
        <v>22</v>
      </c>
      <c r="N46" s="1" t="s">
        <v>31</v>
      </c>
      <c r="O46" s="1" t="s">
        <v>41</v>
      </c>
      <c r="P46" s="1" t="s">
        <v>47</v>
      </c>
      <c r="Q46" s="1">
        <v>45736</v>
      </c>
      <c r="R46" s="14">
        <v>5</v>
      </c>
      <c r="S46" s="1" t="s">
        <v>22</v>
      </c>
      <c r="T46" s="1" t="s">
        <v>22</v>
      </c>
      <c r="U46" s="1" t="s">
        <v>22</v>
      </c>
    </row>
    <row r="47" spans="1:21" x14ac:dyDescent="0.25">
      <c r="A47" s="1" t="s">
        <v>145</v>
      </c>
      <c r="B47" s="2" t="s">
        <v>163</v>
      </c>
      <c r="C47" s="1" t="s">
        <v>25</v>
      </c>
      <c r="D47" s="1" t="s">
        <v>164</v>
      </c>
      <c r="E47" s="1" t="s">
        <v>27</v>
      </c>
      <c r="F47" s="1">
        <v>45741</v>
      </c>
      <c r="G47" s="14" t="s">
        <v>38</v>
      </c>
      <c r="H47" t="s">
        <v>165</v>
      </c>
      <c r="I47" s="2" t="s">
        <v>166</v>
      </c>
      <c r="J47" s="2">
        <v>0.03125</v>
      </c>
      <c r="K47" s="1">
        <v>0.034722222222222224</v>
      </c>
      <c r="L47" s="1">
        <v>0.06597222222222222</v>
      </c>
      <c r="M47" s="1" t="s">
        <v>22</v>
      </c>
      <c r="N47" s="1" t="s">
        <v>31</v>
      </c>
      <c r="O47" s="1" t="s">
        <v>32</v>
      </c>
      <c r="P47" s="1" t="s">
        <v>47</v>
      </c>
      <c r="Q47" s="1">
        <v>45741</v>
      </c>
      <c r="R47" s="14">
        <v>5</v>
      </c>
      <c r="S47" s="1" t="s">
        <v>22</v>
      </c>
      <c r="T47" s="1" t="s">
        <v>22</v>
      </c>
      <c r="U47" s="1" t="s">
        <v>22</v>
      </c>
    </row>
    <row r="48" spans="1:21" x14ac:dyDescent="0.25">
      <c r="A48" s="1" t="s">
        <v>145</v>
      </c>
      <c r="B48" s="2" t="s">
        <v>122</v>
      </c>
      <c r="C48" s="1" t="s">
        <v>123</v>
      </c>
      <c r="D48" s="1" t="s">
        <v>167</v>
      </c>
      <c r="E48" s="1" t="s">
        <v>37</v>
      </c>
      <c r="F48" s="1">
        <v>45742</v>
      </c>
      <c r="G48" s="14" t="s">
        <v>38</v>
      </c>
      <c r="H48" t="s">
        <v>168</v>
      </c>
      <c r="I48" s="2" t="s">
        <v>169</v>
      </c>
      <c r="J48" s="2">
        <v>0.013888888888888888</v>
      </c>
      <c r="K48" s="1">
        <v>0.020833333333333332</v>
      </c>
      <c r="L48" s="1">
        <v>0.034722222222222224</v>
      </c>
      <c r="M48" s="1" t="s">
        <v>22</v>
      </c>
      <c r="N48" s="1" t="s">
        <v>31</v>
      </c>
      <c r="O48" s="1" t="s">
        <v>32</v>
      </c>
      <c r="P48" s="1" t="s">
        <v>47</v>
      </c>
      <c r="Q48" s="1">
        <v>45742</v>
      </c>
      <c r="R48" s="14">
        <v>5</v>
      </c>
      <c r="S48" s="1" t="s">
        <v>22</v>
      </c>
      <c r="T48" s="1" t="s">
        <v>22</v>
      </c>
      <c r="U48" s="1" t="s">
        <v>22</v>
      </c>
    </row>
    <row r="49" spans="1:21" x14ac:dyDescent="0.25">
      <c r="A49" s="1" t="s">
        <v>145</v>
      </c>
      <c r="B49" s="2" t="s">
        <v>170</v>
      </c>
      <c r="C49" s="1" t="s">
        <v>25</v>
      </c>
      <c r="D49" s="1" t="s">
        <v>171</v>
      </c>
      <c r="E49" s="1" t="s">
        <v>27</v>
      </c>
      <c r="F49" s="1">
        <v>45742</v>
      </c>
      <c r="G49" s="14" t="s">
        <v>74</v>
      </c>
      <c r="H49" t="s">
        <v>172</v>
      </c>
      <c r="I49" s="2" t="s">
        <v>173</v>
      </c>
      <c r="J49" s="2">
        <v>0.013888888888888888</v>
      </c>
      <c r="K49" s="1">
        <v>0.020833333333333332</v>
      </c>
      <c r="L49" s="1">
        <v>0.034722222222222224</v>
      </c>
      <c r="M49" s="1" t="s">
        <v>22</v>
      </c>
      <c r="N49" s="1" t="s">
        <v>31</v>
      </c>
      <c r="O49" s="1" t="s">
        <v>32</v>
      </c>
      <c r="P49" s="1" t="s">
        <v>42</v>
      </c>
      <c r="Q49" s="1">
        <v>45742</v>
      </c>
      <c r="R49" s="14">
        <v>5</v>
      </c>
      <c r="S49" s="1" t="s">
        <v>22</v>
      </c>
      <c r="T49" s="1" t="s">
        <v>22</v>
      </c>
      <c r="U49" s="1" t="s">
        <v>22</v>
      </c>
    </row>
    <row r="50" spans="1:21" x14ac:dyDescent="0.25">
      <c r="A50" s="1" t="s">
        <v>145</v>
      </c>
      <c r="B50" s="2" t="s">
        <v>170</v>
      </c>
      <c r="C50" s="1" t="s">
        <v>25</v>
      </c>
      <c r="D50" s="1" t="s">
        <v>174</v>
      </c>
      <c r="E50" s="1" t="s">
        <v>27</v>
      </c>
      <c r="F50" s="1">
        <v>45743</v>
      </c>
      <c r="G50" s="14" t="s">
        <v>38</v>
      </c>
      <c r="H50" t="s">
        <v>175</v>
      </c>
      <c r="I50" s="2" t="s">
        <v>175</v>
      </c>
      <c r="J50" s="2">
        <v>0.0625</v>
      </c>
      <c r="K50" s="1">
        <v>0.05555555555555555</v>
      </c>
      <c r="L50" s="1">
        <v>0.11805555555555555</v>
      </c>
      <c r="M50" s="1" t="s">
        <v>22</v>
      </c>
      <c r="N50" s="1" t="s">
        <v>31</v>
      </c>
      <c r="O50" s="1" t="s">
        <v>32</v>
      </c>
      <c r="P50" s="1" t="s">
        <v>42</v>
      </c>
      <c r="Q50" s="1">
        <v>45743</v>
      </c>
      <c r="R50" s="14">
        <v>5</v>
      </c>
      <c r="S50" s="1" t="s">
        <v>22</v>
      </c>
      <c r="T50" s="1" t="s">
        <v>22</v>
      </c>
      <c r="U50" s="1" t="s">
        <v>22</v>
      </c>
    </row>
    <row r="51" spans="1:21" x14ac:dyDescent="0.25">
      <c r="A51" s="1" t="s">
        <v>145</v>
      </c>
      <c r="B51" s="2" t="s">
        <v>170</v>
      </c>
      <c r="C51" s="1" t="s">
        <v>25</v>
      </c>
      <c r="D51" s="1" t="s">
        <v>171</v>
      </c>
      <c r="E51" s="1" t="s">
        <v>27</v>
      </c>
      <c r="F51" s="1">
        <v>45747</v>
      </c>
      <c r="G51" s="14" t="s">
        <v>74</v>
      </c>
      <c r="H51" t="s">
        <v>176</v>
      </c>
      <c r="I51" s="2" t="s">
        <v>177</v>
      </c>
      <c r="J51" s="2">
        <v>0.013888888888888888</v>
      </c>
      <c r="K51" s="1">
        <v>0.034722222222222224</v>
      </c>
      <c r="L51" s="1">
        <v>0.04861111111111111</v>
      </c>
      <c r="M51" s="1" t="s">
        <v>22</v>
      </c>
      <c r="N51" s="1" t="s">
        <v>31</v>
      </c>
      <c r="O51" s="1" t="s">
        <v>32</v>
      </c>
      <c r="P51" s="1" t="s">
        <v>42</v>
      </c>
      <c r="Q51" s="1">
        <v>45747</v>
      </c>
      <c r="R51" s="14">
        <v>5</v>
      </c>
      <c r="S51" s="1" t="s">
        <v>22</v>
      </c>
      <c r="T51" s="1" t="s">
        <v>22</v>
      </c>
      <c r="U51" s="1" t="s">
        <v>22</v>
      </c>
    </row>
    <row r="52" spans="1:21" x14ac:dyDescent="0.25">
      <c r="A52" s="1" t="s">
        <v>178</v>
      </c>
      <c r="B52" s="2" t="s">
        <v>91</v>
      </c>
      <c r="C52" s="1" t="s">
        <v>25</v>
      </c>
      <c r="D52" s="1" t="s">
        <v>179</v>
      </c>
      <c r="E52" s="1" t="s">
        <v>37</v>
      </c>
      <c r="F52" s="1">
        <v>45749</v>
      </c>
      <c r="G52" s="14" t="s">
        <v>28</v>
      </c>
      <c r="H52" t="s">
        <v>180</v>
      </c>
      <c r="I52" s="2" t="s">
        <v>181</v>
      </c>
      <c r="J52" s="2">
        <v>0.020833333333333332</v>
      </c>
      <c r="K52" s="1">
        <v>0.05555555555555555</v>
      </c>
      <c r="L52" s="1">
        <v>0.07638888888888888</v>
      </c>
      <c r="M52" s="1" t="s">
        <v>22</v>
      </c>
      <c r="N52" s="1" t="s">
        <v>31</v>
      </c>
      <c r="O52" s="1" t="s">
        <v>32</v>
      </c>
      <c r="P52" s="1" t="s">
        <v>47</v>
      </c>
      <c r="Q52" s="1">
        <v>45749</v>
      </c>
      <c r="R52" s="14">
        <v>5</v>
      </c>
      <c r="S52" s="1" t="s">
        <v>22</v>
      </c>
      <c r="T52" s="1" t="s">
        <v>22</v>
      </c>
      <c r="U52" s="1" t="s">
        <v>22</v>
      </c>
    </row>
    <row r="53" spans="1:21" x14ac:dyDescent="0.25">
      <c r="A53" s="1" t="s">
        <v>178</v>
      </c>
      <c r="B53" s="2" t="s">
        <v>113</v>
      </c>
      <c r="C53" s="1" t="s">
        <v>25</v>
      </c>
      <c r="D53" s="1" t="s">
        <v>182</v>
      </c>
      <c r="E53" s="1" t="s">
        <v>37</v>
      </c>
      <c r="F53" s="1">
        <v>45749</v>
      </c>
      <c r="G53" s="14" t="s">
        <v>28</v>
      </c>
      <c r="H53" t="s">
        <v>183</v>
      </c>
      <c r="I53" s="2" t="s">
        <v>184</v>
      </c>
      <c r="J53" s="2">
        <v>0.03125</v>
      </c>
      <c r="K53" s="1">
        <v>0.03819444444444445</v>
      </c>
      <c r="L53" s="1">
        <v>0.06944444444444445</v>
      </c>
      <c r="M53" s="1" t="s">
        <v>22</v>
      </c>
      <c r="N53" s="1" t="s">
        <v>31</v>
      </c>
      <c r="O53" s="1" t="s">
        <v>32</v>
      </c>
      <c r="P53" s="1" t="s">
        <v>47</v>
      </c>
      <c r="Q53" s="1">
        <v>45749</v>
      </c>
      <c r="R53" s="14">
        <v>5</v>
      </c>
      <c r="S53" s="1" t="s">
        <v>22</v>
      </c>
      <c r="T53" s="1" t="s">
        <v>22</v>
      </c>
      <c r="U53" s="1" t="s">
        <v>22</v>
      </c>
    </row>
    <row r="54" spans="1:21" x14ac:dyDescent="0.25">
      <c r="A54" s="1" t="s">
        <v>178</v>
      </c>
      <c r="B54" s="2" t="s">
        <v>185</v>
      </c>
      <c r="C54" s="1" t="s">
        <v>186</v>
      </c>
      <c r="D54" s="1" t="s">
        <v>187</v>
      </c>
      <c r="E54" s="1" t="s">
        <v>27</v>
      </c>
      <c r="F54" s="1">
        <v>45750</v>
      </c>
      <c r="G54" s="14" t="s">
        <v>74</v>
      </c>
      <c r="H54" t="s">
        <v>188</v>
      </c>
      <c r="I54" s="2" t="s">
        <v>189</v>
      </c>
      <c r="J54" s="2">
        <v>0.020833333333333332</v>
      </c>
      <c r="K54" s="1">
        <v>0.034722222222222224</v>
      </c>
      <c r="L54" s="1">
        <v>0.05555555555555555</v>
      </c>
      <c r="M54" s="1" t="s">
        <v>22</v>
      </c>
      <c r="N54" s="1" t="s">
        <v>31</v>
      </c>
      <c r="O54" s="1" t="s">
        <v>32</v>
      </c>
      <c r="P54" s="1" t="s">
        <v>47</v>
      </c>
      <c r="Q54" s="1">
        <v>45750</v>
      </c>
      <c r="R54" s="14">
        <v>5</v>
      </c>
      <c r="S54" s="1" t="s">
        <v>22</v>
      </c>
      <c r="T54" s="1" t="s">
        <v>22</v>
      </c>
      <c r="U54" s="1" t="s">
        <v>22</v>
      </c>
    </row>
    <row r="55" spans="1:21" x14ac:dyDescent="0.25">
      <c r="A55" s="1" t="s">
        <v>178</v>
      </c>
      <c r="B55" s="2" t="s">
        <v>65</v>
      </c>
      <c r="C55" s="1" t="s">
        <v>25</v>
      </c>
      <c r="D55" s="1" t="s">
        <v>190</v>
      </c>
      <c r="E55" s="1" t="s">
        <v>27</v>
      </c>
      <c r="F55" s="1">
        <v>45754</v>
      </c>
      <c r="G55" s="14" t="s">
        <v>28</v>
      </c>
      <c r="H55" t="s">
        <v>191</v>
      </c>
      <c r="I55" s="2" t="s">
        <v>192</v>
      </c>
      <c r="J55" s="2">
        <v>0.020833333333333332</v>
      </c>
      <c r="K55" s="1">
        <v>0.027777777777777776</v>
      </c>
      <c r="L55" s="1">
        <v>0.048611111111111105</v>
      </c>
      <c r="M55" s="1" t="s">
        <v>22</v>
      </c>
      <c r="N55" s="1" t="s">
        <v>53</v>
      </c>
      <c r="O55" s="1" t="s">
        <v>32</v>
      </c>
      <c r="P55" s="1" t="s">
        <v>47</v>
      </c>
      <c r="Q55" s="1">
        <v>45754</v>
      </c>
      <c r="R55" s="14">
        <v>5</v>
      </c>
      <c r="S55" s="1" t="s">
        <v>22</v>
      </c>
      <c r="T55" s="1" t="s">
        <v>22</v>
      </c>
      <c r="U55" s="1" t="s">
        <v>22</v>
      </c>
    </row>
    <row r="56" spans="1:21" x14ac:dyDescent="0.25">
      <c r="A56" s="1" t="s">
        <v>178</v>
      </c>
      <c r="B56" s="2" t="s">
        <v>108</v>
      </c>
      <c r="C56" s="1" t="s">
        <v>78</v>
      </c>
      <c r="D56" s="1" t="s">
        <v>193</v>
      </c>
      <c r="E56" s="1" t="s">
        <v>37</v>
      </c>
      <c r="F56" s="1">
        <v>45756</v>
      </c>
      <c r="G56" s="14" t="s">
        <v>28</v>
      </c>
      <c r="H56" t="s">
        <v>194</v>
      </c>
      <c r="I56" s="2" t="s">
        <v>195</v>
      </c>
      <c r="J56" s="2">
        <v>0.020833333333333332</v>
      </c>
      <c r="K56" s="1">
        <v>0.034722222222222224</v>
      </c>
      <c r="L56" s="1">
        <v>0.05555555555555555</v>
      </c>
      <c r="M56" s="1" t="s">
        <v>22</v>
      </c>
      <c r="N56" s="1" t="s">
        <v>53</v>
      </c>
      <c r="O56" s="1" t="s">
        <v>32</v>
      </c>
      <c r="P56" s="1" t="s">
        <v>42</v>
      </c>
      <c r="Q56" s="1">
        <v>45756</v>
      </c>
      <c r="R56" s="14">
        <v>5</v>
      </c>
      <c r="S56" s="1" t="s">
        <v>22</v>
      </c>
      <c r="T56" s="1" t="s">
        <v>22</v>
      </c>
      <c r="U56" s="1" t="s">
        <v>22</v>
      </c>
    </row>
    <row r="57" spans="1:21" x14ac:dyDescent="0.25">
      <c r="A57" s="1" t="s">
        <v>178</v>
      </c>
      <c r="B57" s="2" t="s">
        <v>60</v>
      </c>
      <c r="C57" s="1" t="s">
        <v>61</v>
      </c>
      <c r="D57" s="1" t="s">
        <v>196</v>
      </c>
      <c r="E57" s="1" t="s">
        <v>37</v>
      </c>
      <c r="F57" s="1">
        <v>45757</v>
      </c>
      <c r="G57" s="14" t="s">
        <v>38</v>
      </c>
      <c r="H57" t="s">
        <v>197</v>
      </c>
      <c r="I57" s="2" t="s">
        <v>198</v>
      </c>
      <c r="J57" s="2">
        <v>0.020833333333333332</v>
      </c>
      <c r="K57" s="1">
        <v>0.027777777777777776</v>
      </c>
      <c r="L57" s="1">
        <v>0.048611111111111105</v>
      </c>
      <c r="M57" s="1" t="s">
        <v>22</v>
      </c>
      <c r="N57" s="1" t="s">
        <v>53</v>
      </c>
      <c r="O57" s="1" t="s">
        <v>32</v>
      </c>
      <c r="P57" s="1" t="s">
        <v>47</v>
      </c>
      <c r="Q57" s="1">
        <v>45757</v>
      </c>
      <c r="R57" s="14">
        <v>5</v>
      </c>
      <c r="S57" s="1" t="s">
        <v>22</v>
      </c>
      <c r="T57" s="1" t="s">
        <v>22</v>
      </c>
      <c r="U57" s="1" t="s">
        <v>22</v>
      </c>
    </row>
    <row r="58" spans="1:21" x14ac:dyDescent="0.25">
      <c r="A58" s="1" t="s">
        <v>178</v>
      </c>
      <c r="B58" s="2" t="s">
        <v>199</v>
      </c>
      <c r="C58" s="1" t="s">
        <v>200</v>
      </c>
      <c r="D58" s="1" t="s">
        <v>201</v>
      </c>
      <c r="E58" s="1" t="s">
        <v>37</v>
      </c>
      <c r="F58" s="1">
        <v>45757</v>
      </c>
      <c r="G58" s="14" t="s">
        <v>38</v>
      </c>
      <c r="H58" t="s">
        <v>202</v>
      </c>
      <c r="I58" s="2" t="s">
        <v>203</v>
      </c>
      <c r="J58" s="2">
        <v>0.020833333333333332</v>
      </c>
      <c r="K58" s="1">
        <v>0.027777777777777776</v>
      </c>
      <c r="L58" s="1">
        <v>0.048611111111111105</v>
      </c>
      <c r="M58" s="1" t="s">
        <v>22</v>
      </c>
      <c r="N58" s="1" t="s">
        <v>53</v>
      </c>
      <c r="O58" s="1" t="s">
        <v>32</v>
      </c>
      <c r="P58" s="1" t="s">
        <v>42</v>
      </c>
      <c r="Q58" s="1">
        <v>45757</v>
      </c>
      <c r="R58" s="14">
        <v>4</v>
      </c>
      <c r="S58" s="1" t="s">
        <v>22</v>
      </c>
      <c r="T58" s="1" t="s">
        <v>22</v>
      </c>
      <c r="U58" s="1" t="s">
        <v>22</v>
      </c>
    </row>
    <row r="59" spans="1:21" x14ac:dyDescent="0.25">
      <c r="A59" s="1" t="s">
        <v>178</v>
      </c>
      <c r="B59" s="2" t="s">
        <v>113</v>
      </c>
      <c r="C59" s="1" t="s">
        <v>25</v>
      </c>
      <c r="D59" s="1" t="s">
        <v>204</v>
      </c>
      <c r="E59" s="1" t="s">
        <v>37</v>
      </c>
      <c r="F59" s="1">
        <v>45758</v>
      </c>
      <c r="G59" s="14" t="s">
        <v>28</v>
      </c>
      <c r="H59" t="s">
        <v>205</v>
      </c>
      <c r="I59" s="2" t="s">
        <v>206</v>
      </c>
      <c r="J59" s="2">
        <v>0.013888888888888888</v>
      </c>
      <c r="K59" s="1">
        <v>0.010416666666666666</v>
      </c>
      <c r="L59" s="1">
        <v>0.024305555555555552</v>
      </c>
      <c r="M59" s="1" t="s">
        <v>22</v>
      </c>
      <c r="N59" s="1" t="s">
        <v>53</v>
      </c>
      <c r="O59" s="1" t="s">
        <v>32</v>
      </c>
      <c r="P59" s="1" t="s">
        <v>47</v>
      </c>
      <c r="Q59" s="1">
        <v>45758</v>
      </c>
      <c r="R59" s="14">
        <v>4</v>
      </c>
      <c r="S59" s="1" t="s">
        <v>22</v>
      </c>
      <c r="T59" s="1" t="s">
        <v>22</v>
      </c>
      <c r="U59" s="1" t="s">
        <v>22</v>
      </c>
    </row>
    <row r="60" spans="1:21" x14ac:dyDescent="0.25">
      <c r="A60" s="1" t="s">
        <v>178</v>
      </c>
      <c r="B60" s="2" t="s">
        <v>108</v>
      </c>
      <c r="C60" s="1" t="s">
        <v>78</v>
      </c>
      <c r="D60" s="1" t="s">
        <v>207</v>
      </c>
      <c r="E60" s="1" t="s">
        <v>37</v>
      </c>
      <c r="F60" s="1">
        <v>45764</v>
      </c>
      <c r="G60" s="14" t="s">
        <v>28</v>
      </c>
      <c r="H60" t="s">
        <v>208</v>
      </c>
      <c r="I60" s="2" t="s">
        <v>209</v>
      </c>
      <c r="J60" s="2">
        <v>0.013888888888888888</v>
      </c>
      <c r="K60" s="1">
        <v>0.0625</v>
      </c>
      <c r="L60" s="1">
        <v>0.0763888888888889</v>
      </c>
      <c r="M60" s="1" t="s">
        <v>22</v>
      </c>
      <c r="N60" s="1" t="s">
        <v>31</v>
      </c>
      <c r="O60" s="1" t="s">
        <v>210</v>
      </c>
      <c r="P60" s="1" t="s">
        <v>42</v>
      </c>
      <c r="Q60" s="1">
        <v>45764</v>
      </c>
      <c r="R60" s="14">
        <v>4</v>
      </c>
      <c r="S60" s="1" t="s">
        <v>22</v>
      </c>
      <c r="T60" s="1" t="s">
        <v>22</v>
      </c>
      <c r="U60" s="1" t="s">
        <v>22</v>
      </c>
    </row>
    <row r="61" spans="1:21" x14ac:dyDescent="0.25">
      <c r="A61" s="1" t="s">
        <v>178</v>
      </c>
      <c r="B61" s="2" t="s">
        <v>199</v>
      </c>
      <c r="C61" s="1" t="s">
        <v>200</v>
      </c>
      <c r="D61" s="1" t="s">
        <v>211</v>
      </c>
      <c r="E61" s="1" t="s">
        <v>37</v>
      </c>
      <c r="F61" s="1">
        <v>45764</v>
      </c>
      <c r="G61" s="14" t="s">
        <v>28</v>
      </c>
      <c r="H61" t="s">
        <v>212</v>
      </c>
      <c r="I61" s="2" t="s">
        <v>213</v>
      </c>
      <c r="J61" s="2">
        <v>0.013888888888888888</v>
      </c>
      <c r="K61" s="1">
        <v>0.041666666666666664</v>
      </c>
      <c r="L61" s="1">
        <v>0.05555555555555555</v>
      </c>
      <c r="M61" s="1" t="s">
        <v>22</v>
      </c>
      <c r="N61" s="1" t="s">
        <v>31</v>
      </c>
      <c r="O61" s="1" t="s">
        <v>210</v>
      </c>
      <c r="P61" s="1" t="s">
        <v>42</v>
      </c>
      <c r="Q61" s="1">
        <v>45764</v>
      </c>
      <c r="R61" s="14">
        <v>4</v>
      </c>
      <c r="S61" s="1" t="s">
        <v>22</v>
      </c>
      <c r="T61" s="1" t="s">
        <v>22</v>
      </c>
      <c r="U61" s="1" t="s">
        <v>22</v>
      </c>
    </row>
    <row r="62" spans="1:21" x14ac:dyDescent="0.25">
      <c r="A62" s="1" t="s">
        <v>178</v>
      </c>
      <c r="B62" s="2" t="s">
        <v>199</v>
      </c>
      <c r="C62" s="1" t="s">
        <v>200</v>
      </c>
      <c r="D62" s="1" t="s">
        <v>211</v>
      </c>
      <c r="E62" s="1" t="s">
        <v>37</v>
      </c>
      <c r="F62" s="1">
        <v>45768</v>
      </c>
      <c r="G62" s="14" t="s">
        <v>38</v>
      </c>
      <c r="H62" t="s">
        <v>214</v>
      </c>
      <c r="I62" s="2" t="s">
        <v>215</v>
      </c>
      <c r="J62" s="2">
        <v>0.013888888888888888</v>
      </c>
      <c r="K62" s="1" t="s">
        <v>22</v>
      </c>
      <c r="L62" s="1">
        <v>0.013888888888888888</v>
      </c>
      <c r="M62" s="1" t="s">
        <v>22</v>
      </c>
      <c r="N62" s="1" t="s">
        <v>31</v>
      </c>
      <c r="O62" s="1" t="s">
        <v>22</v>
      </c>
      <c r="P62" s="1" t="s">
        <v>42</v>
      </c>
      <c r="Q62" s="1">
        <v>45768</v>
      </c>
      <c r="R62" s="14">
        <v>4</v>
      </c>
      <c r="S62" s="1" t="s">
        <v>22</v>
      </c>
      <c r="T62" s="1" t="s">
        <v>22</v>
      </c>
      <c r="U62" s="1" t="s">
        <v>22</v>
      </c>
    </row>
    <row r="63" spans="1:21" x14ac:dyDescent="0.25">
      <c r="A63" s="1" t="s">
        <v>178</v>
      </c>
      <c r="B63" s="2" t="s">
        <v>122</v>
      </c>
      <c r="C63" s="1" t="s">
        <v>123</v>
      </c>
      <c r="D63" s="1" t="s">
        <v>216</v>
      </c>
      <c r="E63" s="1" t="s">
        <v>27</v>
      </c>
      <c r="F63" s="1">
        <v>45770</v>
      </c>
      <c r="G63" s="14" t="s">
        <v>38</v>
      </c>
      <c r="H63" t="s">
        <v>217</v>
      </c>
      <c r="I63" s="2" t="s">
        <v>218</v>
      </c>
      <c r="J63" s="2">
        <v>0.03125</v>
      </c>
      <c r="K63" s="1">
        <v>0.020833333333333332</v>
      </c>
      <c r="L63" s="1">
        <v>0.05208333333333333</v>
      </c>
      <c r="M63" s="1" t="s">
        <v>22</v>
      </c>
      <c r="N63" s="1" t="s">
        <v>31</v>
      </c>
      <c r="O63" s="1" t="s">
        <v>32</v>
      </c>
      <c r="P63" s="1" t="s">
        <v>47</v>
      </c>
      <c r="Q63" s="1">
        <v>45770</v>
      </c>
      <c r="R63" s="14">
        <v>5</v>
      </c>
      <c r="S63" s="1" t="s">
        <v>22</v>
      </c>
      <c r="T63" s="1" t="s">
        <v>22</v>
      </c>
      <c r="U63" s="1" t="s">
        <v>22</v>
      </c>
    </row>
    <row r="64" spans="1:21" x14ac:dyDescent="0.25">
      <c r="A64" s="1" t="s">
        <v>178</v>
      </c>
      <c r="B64" s="2" t="s">
        <v>219</v>
      </c>
      <c r="C64" s="1" t="s">
        <v>147</v>
      </c>
      <c r="D64" s="1" t="s">
        <v>220</v>
      </c>
      <c r="E64" s="1" t="s">
        <v>27</v>
      </c>
      <c r="F64" s="1">
        <v>45771</v>
      </c>
      <c r="G64" s="14" t="s">
        <v>38</v>
      </c>
      <c r="H64" t="s">
        <v>221</v>
      </c>
      <c r="I64" s="2" t="s">
        <v>222</v>
      </c>
      <c r="J64" s="2">
        <v>0.017361111111111112</v>
      </c>
      <c r="K64" s="1">
        <v>0.020833333333333332</v>
      </c>
      <c r="L64" s="1">
        <v>0.03819444444444445</v>
      </c>
      <c r="M64" s="1" t="s">
        <v>22</v>
      </c>
      <c r="N64" s="1" t="s">
        <v>32</v>
      </c>
      <c r="O64" s="1" t="s">
        <v>210</v>
      </c>
      <c r="P64" s="1" t="s">
        <v>47</v>
      </c>
      <c r="Q64" s="1">
        <v>45771</v>
      </c>
      <c r="R64" s="14">
        <v>5</v>
      </c>
      <c r="S64" s="1" t="s">
        <v>22</v>
      </c>
      <c r="T64" s="1" t="s">
        <v>22</v>
      </c>
      <c r="U64" s="1" t="s">
        <v>22</v>
      </c>
    </row>
    <row r="65" spans="1:21" x14ac:dyDescent="0.25">
      <c r="A65" s="1" t="s">
        <v>178</v>
      </c>
      <c r="B65" s="2" t="s">
        <v>223</v>
      </c>
      <c r="C65" s="1" t="s">
        <v>147</v>
      </c>
      <c r="D65" s="1" t="s">
        <v>224</v>
      </c>
      <c r="E65" s="1" t="s">
        <v>27</v>
      </c>
      <c r="F65" s="1">
        <v>45777</v>
      </c>
      <c r="G65" s="14" t="s">
        <v>38</v>
      </c>
      <c r="H65" t="s">
        <v>225</v>
      </c>
      <c r="I65" s="2" t="s">
        <v>226</v>
      </c>
      <c r="J65" s="2">
        <v>0.041666666666666664</v>
      </c>
      <c r="K65" s="1">
        <v>0.034722222222222224</v>
      </c>
      <c r="L65" s="1">
        <v>0.0763888888888889</v>
      </c>
      <c r="M65" s="1" t="s">
        <v>22</v>
      </c>
      <c r="N65" s="1" t="s">
        <v>31</v>
      </c>
      <c r="O65" s="1" t="s">
        <v>32</v>
      </c>
      <c r="P65" s="1" t="s">
        <v>42</v>
      </c>
      <c r="Q65" s="1">
        <v>45777</v>
      </c>
      <c r="R65" s="14" t="s">
        <v>22</v>
      </c>
      <c r="S65" s="1" t="s">
        <v>22</v>
      </c>
      <c r="T65" s="1" t="s">
        <v>22</v>
      </c>
      <c r="U65" s="1" t="s">
        <v>22</v>
      </c>
    </row>
    <row r="66" spans="1:21" x14ac:dyDescent="0.25">
      <c r="A66" s="1" t="s">
        <v>227</v>
      </c>
      <c r="B66" s="2" t="s">
        <v>228</v>
      </c>
      <c r="C66" s="1" t="s">
        <v>229</v>
      </c>
      <c r="D66" s="1" t="s">
        <v>230</v>
      </c>
      <c r="E66" s="1" t="s">
        <v>27</v>
      </c>
      <c r="F66" s="1">
        <v>45782</v>
      </c>
      <c r="G66" s="14" t="s">
        <v>38</v>
      </c>
      <c r="H66" t="s">
        <v>231</v>
      </c>
      <c r="I66" s="2" t="s">
        <v>232</v>
      </c>
      <c r="J66" s="2">
        <v>0.020833333333333332</v>
      </c>
      <c r="K66" s="1">
        <v>0.034722222222222224</v>
      </c>
      <c r="L66" s="1">
        <v>0.05555555555555555</v>
      </c>
      <c r="M66" s="1" t="s">
        <v>22</v>
      </c>
      <c r="N66" s="1" t="s">
        <v>53</v>
      </c>
      <c r="O66" s="1" t="s">
        <v>32</v>
      </c>
      <c r="P66" s="1" t="s">
        <v>42</v>
      </c>
      <c r="Q66" s="1">
        <v>45782</v>
      </c>
      <c r="R66" s="14">
        <v>5</v>
      </c>
      <c r="S66" s="1" t="s">
        <v>22</v>
      </c>
      <c r="T66" s="1" t="s">
        <v>22</v>
      </c>
      <c r="U66" s="1" t="s">
        <v>22</v>
      </c>
    </row>
    <row r="67" spans="1:21" x14ac:dyDescent="0.25">
      <c r="A67" s="1" t="s">
        <v>227</v>
      </c>
      <c r="B67" s="2" t="s">
        <v>142</v>
      </c>
      <c r="C67" s="1" t="s">
        <v>25</v>
      </c>
      <c r="D67" s="1" t="s">
        <v>233</v>
      </c>
      <c r="E67" s="1" t="s">
        <v>27</v>
      </c>
      <c r="F67" s="1">
        <v>45789</v>
      </c>
      <c r="G67" s="14" t="s">
        <v>38</v>
      </c>
      <c r="H67" t="s">
        <v>234</v>
      </c>
      <c r="I67" s="2" t="s">
        <v>235</v>
      </c>
      <c r="J67" s="2">
        <v>0.020833333333333332</v>
      </c>
      <c r="K67" s="1">
        <v>0.05555555555555555</v>
      </c>
      <c r="L67" s="1">
        <v>0.07638888888888888</v>
      </c>
      <c r="M67" s="1" t="s">
        <v>22</v>
      </c>
      <c r="N67" s="1" t="s">
        <v>53</v>
      </c>
      <c r="O67" s="1" t="s">
        <v>32</v>
      </c>
      <c r="P67" s="1" t="s">
        <v>47</v>
      </c>
      <c r="Q67" s="1">
        <v>45789</v>
      </c>
      <c r="R67" s="14">
        <v>4</v>
      </c>
      <c r="S67" s="1" t="s">
        <v>22</v>
      </c>
      <c r="T67" s="1" t="s">
        <v>22</v>
      </c>
      <c r="U67" s="1" t="s">
        <v>22</v>
      </c>
    </row>
    <row r="68" spans="1:21" x14ac:dyDescent="0.25">
      <c r="A68" s="1" t="s">
        <v>227</v>
      </c>
      <c r="B68" s="2" t="s">
        <v>43</v>
      </c>
      <c r="C68" s="1" t="s">
        <v>236</v>
      </c>
      <c r="D68" s="1" t="s">
        <v>237</v>
      </c>
      <c r="E68" s="1" t="s">
        <v>37</v>
      </c>
      <c r="F68" s="1">
        <v>45790</v>
      </c>
      <c r="G68" s="14" t="s">
        <v>38</v>
      </c>
      <c r="H68" t="s">
        <v>238</v>
      </c>
      <c r="I68" s="2" t="s">
        <v>239</v>
      </c>
      <c r="J68" s="2">
        <v>0.041666666666666664</v>
      </c>
      <c r="K68" s="1">
        <v>0.09722222222222222</v>
      </c>
      <c r="L68" s="1">
        <v>0.1388888888888889</v>
      </c>
      <c r="M68" s="1" t="s">
        <v>22</v>
      </c>
      <c r="N68" s="1" t="s">
        <v>31</v>
      </c>
      <c r="O68" s="1" t="s">
        <v>240</v>
      </c>
      <c r="P68" s="1" t="s">
        <v>47</v>
      </c>
      <c r="Q68" s="1">
        <v>45791</v>
      </c>
      <c r="R68" s="14">
        <v>5</v>
      </c>
      <c r="S68" s="1" t="s">
        <v>22</v>
      </c>
      <c r="T68" s="1" t="s">
        <v>22</v>
      </c>
      <c r="U68" s="1" t="s">
        <v>22</v>
      </c>
    </row>
    <row r="69" spans="1:21" x14ac:dyDescent="0.25">
      <c r="A69" s="1" t="s">
        <v>227</v>
      </c>
      <c r="B69" s="2" t="s">
        <v>24</v>
      </c>
      <c r="C69" s="1" t="s">
        <v>25</v>
      </c>
      <c r="D69" s="1" t="s">
        <v>241</v>
      </c>
      <c r="E69" s="1" t="s">
        <v>27</v>
      </c>
      <c r="F69" s="1">
        <v>45798</v>
      </c>
      <c r="G69" s="14" t="s">
        <v>28</v>
      </c>
      <c r="H69" t="s">
        <v>242</v>
      </c>
      <c r="I69" s="2" t="s">
        <v>243</v>
      </c>
      <c r="J69" s="2">
        <v>0.08333333333333333</v>
      </c>
      <c r="K69" s="1">
        <v>0.034722222222222224</v>
      </c>
      <c r="L69" s="1">
        <v>0.11805555555555555</v>
      </c>
      <c r="M69" s="1" t="s">
        <v>22</v>
      </c>
      <c r="N69" s="1" t="s">
        <v>240</v>
      </c>
      <c r="O69" s="1" t="s">
        <v>210</v>
      </c>
      <c r="P69" s="1" t="s">
        <v>244</v>
      </c>
      <c r="Q69" s="1">
        <v>45798</v>
      </c>
      <c r="R69" s="14">
        <v>5</v>
      </c>
      <c r="S69" s="1" t="s">
        <v>22</v>
      </c>
      <c r="T69" s="1" t="s">
        <v>22</v>
      </c>
      <c r="U69" s="1" t="s">
        <v>22</v>
      </c>
    </row>
    <row r="70" spans="1:21" x14ac:dyDescent="0.25">
      <c r="A70" s="1" t="s">
        <v>227</v>
      </c>
      <c r="B70" s="2" t="s">
        <v>113</v>
      </c>
      <c r="C70" s="1" t="s">
        <v>25</v>
      </c>
      <c r="D70" s="1" t="s">
        <v>204</v>
      </c>
      <c r="E70" s="1" t="s">
        <v>37</v>
      </c>
      <c r="F70" s="1">
        <v>45799</v>
      </c>
      <c r="G70" s="14" t="s">
        <v>28</v>
      </c>
      <c r="H70" t="s">
        <v>245</v>
      </c>
      <c r="I70" s="2" t="s">
        <v>246</v>
      </c>
      <c r="J70" s="2">
        <v>0.041666666666666664</v>
      </c>
      <c r="K70" s="1">
        <v>0.05555555555555555</v>
      </c>
      <c r="L70" s="1">
        <v>0.09722222222222221</v>
      </c>
      <c r="M70" s="1" t="s">
        <v>22</v>
      </c>
      <c r="N70" s="1" t="s">
        <v>31</v>
      </c>
      <c r="O70" s="1" t="s">
        <v>32</v>
      </c>
      <c r="P70" s="1" t="s">
        <v>117</v>
      </c>
      <c r="Q70" s="1">
        <v>45799</v>
      </c>
      <c r="R70" s="14">
        <v>5</v>
      </c>
      <c r="S70" s="1" t="s">
        <v>22</v>
      </c>
      <c r="T70" s="1" t="s">
        <v>22</v>
      </c>
      <c r="U70" s="1" t="s">
        <v>22</v>
      </c>
    </row>
    <row r="71" spans="1:21" x14ac:dyDescent="0.25">
      <c r="A71" s="1" t="s">
        <v>227</v>
      </c>
      <c r="B71" s="2" t="s">
        <v>247</v>
      </c>
      <c r="C71" s="1" t="s">
        <v>25</v>
      </c>
      <c r="D71" s="1" t="s">
        <v>248</v>
      </c>
      <c r="E71" s="1" t="s">
        <v>37</v>
      </c>
      <c r="F71" s="1">
        <v>45800</v>
      </c>
      <c r="G71" s="14" t="s">
        <v>74</v>
      </c>
      <c r="H71" t="s">
        <v>249</v>
      </c>
      <c r="I71" s="2" t="s">
        <v>250</v>
      </c>
      <c r="J71" s="2">
        <v>0.041666666666666664</v>
      </c>
      <c r="K71" s="1">
        <v>0.04861111111111111</v>
      </c>
      <c r="L71" s="1">
        <v>0.09027777777777778</v>
      </c>
      <c r="M71" s="1" t="s">
        <v>22</v>
      </c>
      <c r="N71" s="1" t="s">
        <v>31</v>
      </c>
      <c r="O71" s="1" t="s">
        <v>240</v>
      </c>
      <c r="P71" s="1" t="s">
        <v>47</v>
      </c>
      <c r="Q71" s="1">
        <v>45800</v>
      </c>
      <c r="R71" s="14">
        <v>4</v>
      </c>
      <c r="S71" s="1" t="s">
        <v>22</v>
      </c>
      <c r="T71" s="1" t="s">
        <v>22</v>
      </c>
      <c r="U71" s="1" t="s">
        <v>22</v>
      </c>
    </row>
    <row r="72" spans="1:21" x14ac:dyDescent="0.25">
      <c r="A72" s="1" t="s">
        <v>227</v>
      </c>
      <c r="B72" s="2" t="s">
        <v>108</v>
      </c>
      <c r="C72" s="1" t="s">
        <v>78</v>
      </c>
      <c r="D72" s="1" t="s">
        <v>251</v>
      </c>
      <c r="E72" s="1" t="s">
        <v>37</v>
      </c>
      <c r="F72" s="1">
        <v>45800</v>
      </c>
      <c r="G72" s="14" t="s">
        <v>38</v>
      </c>
      <c r="H72" t="s">
        <v>252</v>
      </c>
      <c r="I72" s="2" t="s">
        <v>253</v>
      </c>
      <c r="J72" s="2">
        <v>0.020833333333333332</v>
      </c>
      <c r="K72" s="1">
        <v>0.041666666666666664</v>
      </c>
      <c r="L72" s="1">
        <v>0.0625</v>
      </c>
      <c r="M72" s="1" t="s">
        <v>22</v>
      </c>
      <c r="N72" s="1" t="s">
        <v>53</v>
      </c>
      <c r="O72" s="1" t="s">
        <v>240</v>
      </c>
      <c r="P72" s="1" t="s">
        <v>42</v>
      </c>
      <c r="Q72" s="1">
        <v>45800</v>
      </c>
      <c r="R72" s="14">
        <v>5</v>
      </c>
      <c r="S72" s="1" t="s">
        <v>22</v>
      </c>
      <c r="T72" s="1" t="s">
        <v>22</v>
      </c>
      <c r="U72" s="1" t="s">
        <v>22</v>
      </c>
    </row>
    <row r="73" spans="1:21" x14ac:dyDescent="0.25">
      <c r="A73" s="1" t="s">
        <v>227</v>
      </c>
      <c r="B73" s="2" t="s">
        <v>199</v>
      </c>
      <c r="C73" s="1" t="s">
        <v>200</v>
      </c>
      <c r="D73" s="1" t="s">
        <v>254</v>
      </c>
      <c r="E73" s="1" t="s">
        <v>27</v>
      </c>
      <c r="F73" s="1">
        <v>45800</v>
      </c>
      <c r="G73" s="14" t="s">
        <v>255</v>
      </c>
      <c r="H73" t="s">
        <v>256</v>
      </c>
      <c r="I73" s="2" t="s">
        <v>257</v>
      </c>
      <c r="J73" s="2">
        <v>0.020833333333333332</v>
      </c>
      <c r="K73" s="1">
        <v>0.006944444444444444</v>
      </c>
      <c r="L73" s="1">
        <v>0.027777777777777776</v>
      </c>
      <c r="M73" s="1" t="s">
        <v>22</v>
      </c>
      <c r="N73" s="1" t="s">
        <v>53</v>
      </c>
      <c r="O73" s="1" t="s">
        <v>32</v>
      </c>
      <c r="P73" s="1" t="s">
        <v>42</v>
      </c>
      <c r="Q73" s="1">
        <v>45800</v>
      </c>
      <c r="R73" s="14">
        <v>5</v>
      </c>
      <c r="S73" s="1" t="s">
        <v>22</v>
      </c>
      <c r="T73" s="1" t="s">
        <v>22</v>
      </c>
      <c r="U73" s="1" t="s">
        <v>22</v>
      </c>
    </row>
    <row r="74" spans="1:21" x14ac:dyDescent="0.25">
      <c r="A74" s="1" t="s">
        <v>227</v>
      </c>
      <c r="B74" s="2" t="s">
        <v>258</v>
      </c>
      <c r="C74" s="1" t="s">
        <v>25</v>
      </c>
      <c r="D74" s="1" t="s">
        <v>254</v>
      </c>
      <c r="E74" s="1" t="s">
        <v>27</v>
      </c>
      <c r="F74" s="1">
        <v>45800</v>
      </c>
      <c r="G74" s="14" t="s">
        <v>255</v>
      </c>
      <c r="H74" t="s">
        <v>256</v>
      </c>
      <c r="I74" s="2" t="s">
        <v>257</v>
      </c>
      <c r="J74" s="2">
        <v>0.020833333333333332</v>
      </c>
      <c r="K74" s="1">
        <v>0.006944444444444444</v>
      </c>
      <c r="L74" s="1">
        <v>0.027777777777777776</v>
      </c>
      <c r="M74" s="1" t="s">
        <v>22</v>
      </c>
      <c r="N74" s="1" t="s">
        <v>53</v>
      </c>
      <c r="O74" s="1" t="s">
        <v>32</v>
      </c>
      <c r="P74" s="1" t="s">
        <v>42</v>
      </c>
      <c r="Q74" s="1">
        <v>45800</v>
      </c>
      <c r="R74" s="14">
        <v>5</v>
      </c>
      <c r="S74" s="1" t="s">
        <v>22</v>
      </c>
      <c r="T74" s="1" t="s">
        <v>22</v>
      </c>
      <c r="U74" s="1" t="s">
        <v>22</v>
      </c>
    </row>
    <row r="75" spans="1:21" x14ac:dyDescent="0.25">
      <c r="A75" s="1" t="s">
        <v>227</v>
      </c>
      <c r="B75" s="2" t="s">
        <v>259</v>
      </c>
      <c r="C75" s="1" t="s">
        <v>25</v>
      </c>
      <c r="D75" s="1" t="s">
        <v>254</v>
      </c>
      <c r="E75" s="1" t="s">
        <v>27</v>
      </c>
      <c r="F75" s="1">
        <v>45800</v>
      </c>
      <c r="G75" s="14" t="s">
        <v>255</v>
      </c>
      <c r="H75" t="s">
        <v>256</v>
      </c>
      <c r="I75" s="2" t="s">
        <v>257</v>
      </c>
      <c r="J75" s="2">
        <v>0.020833333333333332</v>
      </c>
      <c r="K75" s="1">
        <v>0.006944444444444444</v>
      </c>
      <c r="L75" s="1">
        <v>0.027777777777777776</v>
      </c>
      <c r="M75" s="1" t="s">
        <v>22</v>
      </c>
      <c r="N75" s="1" t="s">
        <v>53</v>
      </c>
      <c r="O75" s="1" t="s">
        <v>32</v>
      </c>
      <c r="P75" s="1" t="s">
        <v>42</v>
      </c>
      <c r="Q75" s="1">
        <v>45800</v>
      </c>
      <c r="R75" s="14">
        <v>5</v>
      </c>
      <c r="S75" s="1" t="s">
        <v>22</v>
      </c>
      <c r="T75" s="1" t="s">
        <v>22</v>
      </c>
      <c r="U75" s="1" t="s">
        <v>22</v>
      </c>
    </row>
    <row r="76" spans="1:21" x14ac:dyDescent="0.25">
      <c r="A76" s="1" t="s">
        <v>227</v>
      </c>
      <c r="B76" s="2" t="s">
        <v>260</v>
      </c>
      <c r="C76" s="1" t="s">
        <v>261</v>
      </c>
      <c r="D76" s="1" t="s">
        <v>254</v>
      </c>
      <c r="E76" s="1" t="s">
        <v>27</v>
      </c>
      <c r="F76" s="1">
        <v>45800</v>
      </c>
      <c r="G76" s="14" t="s">
        <v>255</v>
      </c>
      <c r="H76" t="s">
        <v>256</v>
      </c>
      <c r="I76" s="2" t="s">
        <v>257</v>
      </c>
      <c r="J76" s="2">
        <v>0.020833333333333332</v>
      </c>
      <c r="K76" s="1">
        <v>0.006944444444444444</v>
      </c>
      <c r="L76" s="1">
        <v>0.027777777777777776</v>
      </c>
      <c r="M76" s="1" t="s">
        <v>22</v>
      </c>
      <c r="N76" s="1" t="s">
        <v>53</v>
      </c>
      <c r="O76" s="1" t="s">
        <v>32</v>
      </c>
      <c r="P76" s="1" t="s">
        <v>42</v>
      </c>
      <c r="Q76" s="1">
        <v>45800</v>
      </c>
      <c r="R76" s="14">
        <v>5</v>
      </c>
      <c r="S76" s="1" t="s">
        <v>22</v>
      </c>
      <c r="T76" s="1" t="s">
        <v>22</v>
      </c>
      <c r="U76" s="1" t="s">
        <v>22</v>
      </c>
    </row>
    <row r="77" spans="1:21" x14ac:dyDescent="0.25">
      <c r="A77" s="1" t="s">
        <v>227</v>
      </c>
      <c r="B77" s="2" t="s">
        <v>262</v>
      </c>
      <c r="C77" s="1" t="s">
        <v>25</v>
      </c>
      <c r="D77" s="1" t="s">
        <v>254</v>
      </c>
      <c r="E77" s="1" t="s">
        <v>27</v>
      </c>
      <c r="F77" s="1">
        <v>45800</v>
      </c>
      <c r="G77" s="14" t="s">
        <v>255</v>
      </c>
      <c r="H77" t="s">
        <v>256</v>
      </c>
      <c r="I77" s="2" t="s">
        <v>257</v>
      </c>
      <c r="J77" s="2">
        <v>0.020833333333333332</v>
      </c>
      <c r="K77" s="1">
        <v>0.006944444444444444</v>
      </c>
      <c r="L77" s="1">
        <v>0.027777777777777776</v>
      </c>
      <c r="M77" s="1" t="s">
        <v>22</v>
      </c>
      <c r="N77" s="1" t="s">
        <v>53</v>
      </c>
      <c r="O77" s="1" t="s">
        <v>32</v>
      </c>
      <c r="P77" s="1" t="s">
        <v>42</v>
      </c>
      <c r="Q77" s="1">
        <v>45800</v>
      </c>
      <c r="R77" s="14">
        <v>5</v>
      </c>
      <c r="S77" s="1" t="s">
        <v>22</v>
      </c>
      <c r="T77" s="1" t="s">
        <v>22</v>
      </c>
      <c r="U77" s="1" t="s">
        <v>22</v>
      </c>
    </row>
    <row r="78" spans="1:21" x14ac:dyDescent="0.25">
      <c r="A78" s="1" t="s">
        <v>227</v>
      </c>
      <c r="B78" s="2" t="s">
        <v>77</v>
      </c>
      <c r="C78" s="1" t="s">
        <v>78</v>
      </c>
      <c r="D78" s="1" t="s">
        <v>254</v>
      </c>
      <c r="E78" s="1" t="s">
        <v>27</v>
      </c>
      <c r="F78" s="1">
        <v>45800</v>
      </c>
      <c r="G78" s="14" t="s">
        <v>255</v>
      </c>
      <c r="H78" t="s">
        <v>256</v>
      </c>
      <c r="I78" s="2" t="s">
        <v>257</v>
      </c>
      <c r="J78" s="2">
        <v>0.020833333333333332</v>
      </c>
      <c r="K78" s="1">
        <v>0.006944444444444444</v>
      </c>
      <c r="L78" s="1">
        <v>0.027777777777777776</v>
      </c>
      <c r="M78" s="1" t="s">
        <v>22</v>
      </c>
      <c r="N78" s="1" t="s">
        <v>53</v>
      </c>
      <c r="O78" s="1" t="s">
        <v>32</v>
      </c>
      <c r="P78" s="1" t="s">
        <v>42</v>
      </c>
      <c r="Q78" s="1">
        <v>45800</v>
      </c>
      <c r="R78" s="14">
        <v>5</v>
      </c>
      <c r="S78" s="1" t="s">
        <v>22</v>
      </c>
      <c r="T78" s="1" t="s">
        <v>22</v>
      </c>
      <c r="U78" s="1" t="s">
        <v>22</v>
      </c>
    </row>
    <row r="79" spans="1:21" x14ac:dyDescent="0.25">
      <c r="A79" s="1" t="s">
        <v>227</v>
      </c>
      <c r="B79" s="2" t="s">
        <v>263</v>
      </c>
      <c r="C79" s="1" t="s">
        <v>229</v>
      </c>
      <c r="D79" s="1" t="s">
        <v>254</v>
      </c>
      <c r="E79" s="1" t="s">
        <v>27</v>
      </c>
      <c r="F79" s="1">
        <v>45800</v>
      </c>
      <c r="G79" s="14" t="s">
        <v>255</v>
      </c>
      <c r="H79" t="s">
        <v>256</v>
      </c>
      <c r="I79" s="2" t="s">
        <v>257</v>
      </c>
      <c r="J79" s="2">
        <v>0.020833333333333332</v>
      </c>
      <c r="K79" s="1">
        <v>0.006944444444444444</v>
      </c>
      <c r="L79" s="1">
        <v>0.027777777777777776</v>
      </c>
      <c r="M79" s="1" t="s">
        <v>22</v>
      </c>
      <c r="N79" s="1" t="s">
        <v>53</v>
      </c>
      <c r="O79" s="1" t="s">
        <v>32</v>
      </c>
      <c r="P79" s="1" t="s">
        <v>42</v>
      </c>
      <c r="Q79" s="1">
        <v>45800</v>
      </c>
      <c r="R79" s="14">
        <v>5</v>
      </c>
      <c r="S79" s="1" t="s">
        <v>22</v>
      </c>
      <c r="T79" s="1" t="s">
        <v>22</v>
      </c>
      <c r="U79" s="1" t="s">
        <v>22</v>
      </c>
    </row>
    <row r="80" spans="1:21" x14ac:dyDescent="0.25">
      <c r="A80" s="1" t="s">
        <v>227</v>
      </c>
      <c r="B80" s="2" t="s">
        <v>163</v>
      </c>
      <c r="C80" s="1" t="s">
        <v>25</v>
      </c>
      <c r="D80" s="1" t="s">
        <v>264</v>
      </c>
      <c r="E80" s="1" t="s">
        <v>37</v>
      </c>
      <c r="F80" s="1">
        <v>45805</v>
      </c>
      <c r="G80" s="14" t="s">
        <v>255</v>
      </c>
      <c r="H80" t="s">
        <v>265</v>
      </c>
      <c r="I80" s="2" t="s">
        <v>266</v>
      </c>
      <c r="J80" s="2">
        <v>0.020833333333333332</v>
      </c>
      <c r="K80" s="1">
        <v>0.05555555555555555</v>
      </c>
      <c r="L80" s="1">
        <v>0.07638888888888888</v>
      </c>
      <c r="M80" s="1" t="s">
        <v>22</v>
      </c>
      <c r="N80" s="1" t="s">
        <v>31</v>
      </c>
      <c r="O80" s="1" t="s">
        <v>32</v>
      </c>
      <c r="P80" s="1" t="s">
        <v>47</v>
      </c>
      <c r="Q80" s="1">
        <v>45805</v>
      </c>
      <c r="R80" s="14">
        <v>4</v>
      </c>
      <c r="S80" s="1" t="s">
        <v>22</v>
      </c>
      <c r="T80" s="1" t="s">
        <v>22</v>
      </c>
      <c r="U80" s="1" t="s">
        <v>22</v>
      </c>
    </row>
    <row r="81" spans="1:21" x14ac:dyDescent="0.25">
      <c r="A81" s="1" t="s">
        <v>227</v>
      </c>
      <c r="B81" s="2" t="s">
        <v>65</v>
      </c>
      <c r="C81" s="1" t="s">
        <v>25</v>
      </c>
      <c r="D81" s="1" t="s">
        <v>267</v>
      </c>
      <c r="E81" s="1" t="s">
        <v>27</v>
      </c>
      <c r="F81" s="1">
        <v>45805</v>
      </c>
      <c r="G81" s="14" t="s">
        <v>28</v>
      </c>
      <c r="H81" t="s">
        <v>268</v>
      </c>
      <c r="I81" s="2" t="s">
        <v>269</v>
      </c>
      <c r="J81" s="2">
        <v>0.03125</v>
      </c>
      <c r="K81" s="1">
        <v>0.041666666666666664</v>
      </c>
      <c r="L81" s="1">
        <v>0.07291666666666666</v>
      </c>
      <c r="M81" s="1" t="s">
        <v>22</v>
      </c>
      <c r="N81" s="1" t="s">
        <v>240</v>
      </c>
      <c r="O81" s="1" t="s">
        <v>32</v>
      </c>
      <c r="P81" s="1" t="s">
        <v>47</v>
      </c>
      <c r="Q81" s="1">
        <v>45805</v>
      </c>
      <c r="R81" s="14">
        <v>5</v>
      </c>
      <c r="S81" s="1" t="s">
        <v>22</v>
      </c>
      <c r="T81" s="1" t="s">
        <v>22</v>
      </c>
      <c r="U81" s="1" t="s">
        <v>22</v>
      </c>
    </row>
    <row r="82" spans="1:21" x14ac:dyDescent="0.25">
      <c r="A82" s="1" t="s">
        <v>270</v>
      </c>
      <c r="B82" s="2" t="s">
        <v>108</v>
      </c>
      <c r="C82" s="1" t="s">
        <v>78</v>
      </c>
      <c r="D82" s="1" t="s">
        <v>271</v>
      </c>
      <c r="E82" s="1" t="s">
        <v>27</v>
      </c>
      <c r="F82" s="1">
        <v>45813</v>
      </c>
      <c r="G82" s="14" t="s">
        <v>38</v>
      </c>
      <c r="H82" t="s">
        <v>272</v>
      </c>
      <c r="I82" s="2" t="s">
        <v>273</v>
      </c>
      <c r="J82" s="2">
        <v>0.041666666666666664</v>
      </c>
      <c r="K82" s="1">
        <v>0.03958333333333333</v>
      </c>
      <c r="L82" s="1">
        <v>0.08124999999999999</v>
      </c>
      <c r="M82" s="1" t="s">
        <v>22</v>
      </c>
      <c r="N82" s="1" t="s">
        <v>31</v>
      </c>
      <c r="O82" s="1" t="s">
        <v>240</v>
      </c>
      <c r="P82" s="1" t="s">
        <v>42</v>
      </c>
      <c r="Q82" s="1">
        <v>45813</v>
      </c>
      <c r="R82" s="14">
        <v>5</v>
      </c>
      <c r="S82" s="1" t="s">
        <v>22</v>
      </c>
      <c r="T82" s="1" t="s">
        <v>22</v>
      </c>
      <c r="U82" s="1" t="s">
        <v>22</v>
      </c>
    </row>
    <row r="83" spans="1:21" x14ac:dyDescent="0.25">
      <c r="A83" s="1" t="s">
        <v>270</v>
      </c>
      <c r="B83" s="2" t="s">
        <v>77</v>
      </c>
      <c r="C83" s="1" t="s">
        <v>78</v>
      </c>
      <c r="D83" s="1" t="s">
        <v>274</v>
      </c>
      <c r="E83" s="1" t="s">
        <v>37</v>
      </c>
      <c r="F83" s="1">
        <v>45817</v>
      </c>
      <c r="G83" s="14" t="s">
        <v>38</v>
      </c>
      <c r="H83" t="s">
        <v>275</v>
      </c>
      <c r="I83" s="2" t="s">
        <v>276</v>
      </c>
      <c r="J83" s="2">
        <v>0.024305555555555556</v>
      </c>
      <c r="K83" s="1">
        <v>0.05555555555555555</v>
      </c>
      <c r="L83" s="1">
        <v>0.0798611111111111</v>
      </c>
      <c r="M83" s="1" t="s">
        <v>22</v>
      </c>
      <c r="N83" s="1" t="s">
        <v>31</v>
      </c>
      <c r="O83" s="1" t="s">
        <v>240</v>
      </c>
      <c r="P83" s="1" t="s">
        <v>42</v>
      </c>
      <c r="Q83" s="1">
        <v>45817</v>
      </c>
      <c r="R83" s="14">
        <v>5</v>
      </c>
      <c r="S83" s="1" t="s">
        <v>22</v>
      </c>
      <c r="T83" s="1" t="s">
        <v>22</v>
      </c>
      <c r="U83" s="1" t="s">
        <v>22</v>
      </c>
    </row>
    <row r="84" spans="1:21" x14ac:dyDescent="0.25">
      <c r="A84" s="1" t="s">
        <v>270</v>
      </c>
      <c r="B84" s="2" t="s">
        <v>219</v>
      </c>
      <c r="C84" s="1" t="s">
        <v>147</v>
      </c>
      <c r="D84" s="1" t="s">
        <v>277</v>
      </c>
      <c r="E84" s="1" t="s">
        <v>27</v>
      </c>
      <c r="F84" s="1">
        <v>45819</v>
      </c>
      <c r="G84" s="14" t="s">
        <v>38</v>
      </c>
      <c r="H84" t="s">
        <v>278</v>
      </c>
      <c r="I84" s="2" t="s">
        <v>279</v>
      </c>
      <c r="J84" s="2">
        <v>0.006944444444444444</v>
      </c>
      <c r="K84" s="1">
        <v>0.013888888888888888</v>
      </c>
      <c r="L84" s="1">
        <v>0.020833333333333332</v>
      </c>
      <c r="M84" s="1" t="s">
        <v>22</v>
      </c>
      <c r="N84" s="1" t="s">
        <v>240</v>
      </c>
      <c r="O84" s="1" t="s">
        <v>32</v>
      </c>
      <c r="P84" s="1" t="s">
        <v>47</v>
      </c>
      <c r="Q84" s="1">
        <v>45819</v>
      </c>
      <c r="R84" s="14">
        <v>5</v>
      </c>
      <c r="S84" s="1" t="s">
        <v>22</v>
      </c>
      <c r="T84" s="1" t="s">
        <v>22</v>
      </c>
      <c r="U84" s="1" t="s">
        <v>22</v>
      </c>
    </row>
    <row r="85" spans="1:21" x14ac:dyDescent="0.25">
      <c r="A85" s="1" t="s">
        <v>270</v>
      </c>
      <c r="B85" s="2" t="s">
        <v>99</v>
      </c>
      <c r="C85" s="1" t="s">
        <v>25</v>
      </c>
      <c r="D85" s="1" t="s">
        <v>277</v>
      </c>
      <c r="E85" s="1" t="s">
        <v>27</v>
      </c>
      <c r="F85" s="1">
        <v>45819</v>
      </c>
      <c r="G85" s="14" t="s">
        <v>38</v>
      </c>
      <c r="H85" t="s">
        <v>278</v>
      </c>
      <c r="I85" s="2" t="s">
        <v>279</v>
      </c>
      <c r="J85" s="2">
        <v>0.006944444444444444</v>
      </c>
      <c r="K85" s="1">
        <v>0.013888888888888888</v>
      </c>
      <c r="L85" s="1">
        <v>0.020833333333333332</v>
      </c>
      <c r="M85" s="1" t="s">
        <v>22</v>
      </c>
      <c r="N85" s="1" t="s">
        <v>240</v>
      </c>
      <c r="O85" s="1" t="s">
        <v>32</v>
      </c>
      <c r="P85" s="1" t="s">
        <v>47</v>
      </c>
      <c r="Q85" s="1">
        <v>45819</v>
      </c>
      <c r="R85" s="14">
        <v>5</v>
      </c>
      <c r="S85" s="1" t="s">
        <v>22</v>
      </c>
      <c r="T85" s="1" t="s">
        <v>22</v>
      </c>
      <c r="U85" s="1" t="s">
        <v>22</v>
      </c>
    </row>
    <row r="86" spans="1:21" x14ac:dyDescent="0.25">
      <c r="A86" s="1" t="s">
        <v>270</v>
      </c>
      <c r="B86" s="2" t="s">
        <v>199</v>
      </c>
      <c r="C86" s="1" t="s">
        <v>200</v>
      </c>
      <c r="D86" s="1" t="s">
        <v>277</v>
      </c>
      <c r="E86" s="1" t="s">
        <v>27</v>
      </c>
      <c r="F86" s="1">
        <v>45819</v>
      </c>
      <c r="G86" s="14" t="s">
        <v>38</v>
      </c>
      <c r="H86" t="s">
        <v>278</v>
      </c>
      <c r="I86" s="2" t="s">
        <v>279</v>
      </c>
      <c r="J86" s="2">
        <v>0.006944444444444444</v>
      </c>
      <c r="K86" s="1">
        <v>0.013888888888888888</v>
      </c>
      <c r="L86" s="1">
        <v>0.020833333333333332</v>
      </c>
      <c r="M86" s="1" t="s">
        <v>22</v>
      </c>
      <c r="N86" s="1" t="s">
        <v>240</v>
      </c>
      <c r="O86" s="1" t="s">
        <v>32</v>
      </c>
      <c r="P86" s="1" t="s">
        <v>280</v>
      </c>
      <c r="Q86" s="1">
        <v>45819</v>
      </c>
      <c r="R86" s="14">
        <v>5</v>
      </c>
      <c r="S86" s="1" t="s">
        <v>22</v>
      </c>
      <c r="T86" s="1" t="s">
        <v>22</v>
      </c>
      <c r="U86" s="1" t="s">
        <v>22</v>
      </c>
    </row>
    <row r="87" spans="1:21" x14ac:dyDescent="0.25">
      <c r="A87" s="1" t="s">
        <v>270</v>
      </c>
      <c r="B87" s="2" t="s">
        <v>258</v>
      </c>
      <c r="C87" s="1" t="s">
        <v>25</v>
      </c>
      <c r="D87" s="1" t="s">
        <v>277</v>
      </c>
      <c r="E87" s="1" t="s">
        <v>27</v>
      </c>
      <c r="F87" s="1">
        <v>45819</v>
      </c>
      <c r="G87" s="14" t="s">
        <v>38</v>
      </c>
      <c r="H87" t="s">
        <v>278</v>
      </c>
      <c r="I87" s="2" t="s">
        <v>279</v>
      </c>
      <c r="J87" s="2">
        <v>0.006944444444444444</v>
      </c>
      <c r="K87" s="1">
        <v>0.013888888888888888</v>
      </c>
      <c r="L87" s="1">
        <v>0.020833333333333332</v>
      </c>
      <c r="M87" s="1" t="s">
        <v>22</v>
      </c>
      <c r="N87" s="1" t="s">
        <v>240</v>
      </c>
      <c r="O87" s="1" t="s">
        <v>32</v>
      </c>
      <c r="P87" s="1" t="s">
        <v>280</v>
      </c>
      <c r="Q87" s="1">
        <v>45819</v>
      </c>
      <c r="R87" s="14">
        <v>5</v>
      </c>
      <c r="S87" s="1" t="s">
        <v>22</v>
      </c>
      <c r="T87" s="1" t="s">
        <v>22</v>
      </c>
      <c r="U87" s="1" t="s">
        <v>22</v>
      </c>
    </row>
    <row r="88" spans="1:21" x14ac:dyDescent="0.25">
      <c r="A88" s="1" t="s">
        <v>270</v>
      </c>
      <c r="B88" s="2" t="s">
        <v>91</v>
      </c>
      <c r="C88" s="1" t="s">
        <v>25</v>
      </c>
      <c r="D88" s="1" t="s">
        <v>277</v>
      </c>
      <c r="E88" s="1" t="s">
        <v>27</v>
      </c>
      <c r="F88" s="1">
        <v>45819</v>
      </c>
      <c r="G88" s="14" t="s">
        <v>38</v>
      </c>
      <c r="H88" t="s">
        <v>278</v>
      </c>
      <c r="I88" s="2" t="s">
        <v>279</v>
      </c>
      <c r="J88" s="2">
        <v>0.006944444444444444</v>
      </c>
      <c r="K88" s="1">
        <v>0.013888888888888888</v>
      </c>
      <c r="L88" s="1">
        <v>0.020833333333333332</v>
      </c>
      <c r="M88" s="1" t="s">
        <v>22</v>
      </c>
      <c r="N88" s="1" t="s">
        <v>240</v>
      </c>
      <c r="O88" s="1" t="s">
        <v>32</v>
      </c>
      <c r="P88" s="1" t="s">
        <v>47</v>
      </c>
      <c r="Q88" s="1">
        <v>45819</v>
      </c>
      <c r="R88" s="14">
        <v>5</v>
      </c>
      <c r="S88" s="1" t="s">
        <v>22</v>
      </c>
      <c r="T88" s="1" t="s">
        <v>22</v>
      </c>
      <c r="U88" s="1" t="s">
        <v>22</v>
      </c>
    </row>
    <row r="89" spans="1:21" x14ac:dyDescent="0.25">
      <c r="A89" s="1" t="s">
        <v>270</v>
      </c>
      <c r="B89" s="2" t="s">
        <v>122</v>
      </c>
      <c r="C89" s="1" t="s">
        <v>123</v>
      </c>
      <c r="D89" s="1" t="s">
        <v>277</v>
      </c>
      <c r="E89" s="1" t="s">
        <v>27</v>
      </c>
      <c r="F89" s="1">
        <v>45819</v>
      </c>
      <c r="G89" s="14" t="s">
        <v>38</v>
      </c>
      <c r="H89" t="s">
        <v>278</v>
      </c>
      <c r="I89" s="2" t="s">
        <v>279</v>
      </c>
      <c r="J89" s="2">
        <v>0.006944444444444444</v>
      </c>
      <c r="K89" s="1">
        <v>0.013888888888888888</v>
      </c>
      <c r="L89" s="1">
        <v>0.020833333333333332</v>
      </c>
      <c r="M89" s="1" t="s">
        <v>22</v>
      </c>
      <c r="N89" s="1" t="s">
        <v>240</v>
      </c>
      <c r="O89" s="1" t="s">
        <v>32</v>
      </c>
      <c r="P89" s="1" t="s">
        <v>47</v>
      </c>
      <c r="Q89" s="1">
        <v>45819</v>
      </c>
      <c r="R89" s="14">
        <v>5</v>
      </c>
      <c r="S89" s="1" t="s">
        <v>22</v>
      </c>
      <c r="T89" s="1" t="s">
        <v>22</v>
      </c>
      <c r="U89" s="1" t="s">
        <v>22</v>
      </c>
    </row>
    <row r="90" spans="1:21" x14ac:dyDescent="0.25">
      <c r="A90" s="1" t="s">
        <v>270</v>
      </c>
      <c r="B90" s="2" t="s">
        <v>170</v>
      </c>
      <c r="C90" s="1" t="s">
        <v>25</v>
      </c>
      <c r="D90" s="1" t="s">
        <v>277</v>
      </c>
      <c r="E90" s="1" t="s">
        <v>27</v>
      </c>
      <c r="F90" s="1">
        <v>45819</v>
      </c>
      <c r="G90" s="14" t="s">
        <v>38</v>
      </c>
      <c r="H90" t="s">
        <v>278</v>
      </c>
      <c r="I90" s="2" t="s">
        <v>279</v>
      </c>
      <c r="J90" s="2">
        <v>0.006944444444444444</v>
      </c>
      <c r="K90" s="1">
        <v>0.013888888888888888</v>
      </c>
      <c r="L90" s="1">
        <v>0.020833333333333332</v>
      </c>
      <c r="M90" s="1" t="s">
        <v>22</v>
      </c>
      <c r="N90" s="1" t="s">
        <v>240</v>
      </c>
      <c r="O90" s="1" t="s">
        <v>32</v>
      </c>
      <c r="P90" s="1" t="s">
        <v>280</v>
      </c>
      <c r="Q90" s="1">
        <v>45819</v>
      </c>
      <c r="R90" s="14">
        <v>5</v>
      </c>
      <c r="S90" s="1" t="s">
        <v>22</v>
      </c>
      <c r="T90" s="1" t="s">
        <v>22</v>
      </c>
      <c r="U90" s="1" t="s">
        <v>22</v>
      </c>
    </row>
    <row r="91" spans="1:21" x14ac:dyDescent="0.25">
      <c r="A91" s="1" t="s">
        <v>270</v>
      </c>
      <c r="B91" s="2" t="s">
        <v>43</v>
      </c>
      <c r="C91" s="1" t="s">
        <v>236</v>
      </c>
      <c r="D91" s="1" t="s">
        <v>277</v>
      </c>
      <c r="E91" s="1" t="s">
        <v>27</v>
      </c>
      <c r="F91" s="1">
        <v>45819</v>
      </c>
      <c r="G91" s="14" t="s">
        <v>38</v>
      </c>
      <c r="H91" t="s">
        <v>278</v>
      </c>
      <c r="I91" s="2" t="s">
        <v>279</v>
      </c>
      <c r="J91" s="2">
        <v>0.006944444444444444</v>
      </c>
      <c r="K91" s="1">
        <v>0.013888888888888888</v>
      </c>
      <c r="L91" s="1">
        <v>0.020833333333333332</v>
      </c>
      <c r="M91" s="1" t="s">
        <v>22</v>
      </c>
      <c r="N91" s="1" t="s">
        <v>240</v>
      </c>
      <c r="O91" s="1" t="s">
        <v>32</v>
      </c>
      <c r="P91" s="1" t="s">
        <v>47</v>
      </c>
      <c r="Q91" s="1">
        <v>45819</v>
      </c>
      <c r="R91" s="14">
        <v>5</v>
      </c>
      <c r="S91" s="1" t="s">
        <v>22</v>
      </c>
      <c r="T91" s="1" t="s">
        <v>22</v>
      </c>
      <c r="U91" s="1" t="s">
        <v>22</v>
      </c>
    </row>
    <row r="92" spans="1:21" x14ac:dyDescent="0.25">
      <c r="A92" s="1" t="s">
        <v>270</v>
      </c>
      <c r="B92" s="2" t="s">
        <v>260</v>
      </c>
      <c r="C92" s="1" t="s">
        <v>261</v>
      </c>
      <c r="D92" s="1" t="s">
        <v>277</v>
      </c>
      <c r="E92" s="1" t="s">
        <v>27</v>
      </c>
      <c r="F92" s="1">
        <v>45819</v>
      </c>
      <c r="G92" s="14" t="s">
        <v>38</v>
      </c>
      <c r="H92" t="s">
        <v>278</v>
      </c>
      <c r="I92" s="2" t="s">
        <v>279</v>
      </c>
      <c r="J92" s="2">
        <v>0.006944444444444444</v>
      </c>
      <c r="K92" s="1">
        <v>0.013888888888888888</v>
      </c>
      <c r="L92" s="1">
        <v>0.020833333333333332</v>
      </c>
      <c r="M92" s="1" t="s">
        <v>22</v>
      </c>
      <c r="N92" s="1" t="s">
        <v>240</v>
      </c>
      <c r="O92" s="1" t="s">
        <v>32</v>
      </c>
      <c r="P92" s="1" t="s">
        <v>280</v>
      </c>
      <c r="Q92" s="1">
        <v>45819</v>
      </c>
      <c r="R92" s="14">
        <v>5</v>
      </c>
      <c r="S92" s="1" t="s">
        <v>22</v>
      </c>
      <c r="T92" s="1" t="s">
        <v>22</v>
      </c>
      <c r="U92" s="1" t="s">
        <v>22</v>
      </c>
    </row>
    <row r="93" spans="1:21" x14ac:dyDescent="0.25">
      <c r="A93" s="1" t="s">
        <v>270</v>
      </c>
      <c r="B93" s="2" t="s">
        <v>281</v>
      </c>
      <c r="C93" s="1" t="s">
        <v>282</v>
      </c>
      <c r="D93" s="1" t="s">
        <v>277</v>
      </c>
      <c r="E93" s="1" t="s">
        <v>27</v>
      </c>
      <c r="F93" s="1">
        <v>45819</v>
      </c>
      <c r="G93" s="14" t="s">
        <v>38</v>
      </c>
      <c r="H93" t="s">
        <v>278</v>
      </c>
      <c r="I93" s="2" t="s">
        <v>279</v>
      </c>
      <c r="J93" s="2">
        <v>0.006944444444444444</v>
      </c>
      <c r="K93" s="1">
        <v>0.013888888888888888</v>
      </c>
      <c r="L93" s="1">
        <v>0.020833333333333332</v>
      </c>
      <c r="M93" s="1" t="s">
        <v>22</v>
      </c>
      <c r="N93" s="1" t="s">
        <v>240</v>
      </c>
      <c r="O93" s="1" t="s">
        <v>32</v>
      </c>
      <c r="P93" s="1" t="s">
        <v>244</v>
      </c>
      <c r="Q93" s="1">
        <v>45819</v>
      </c>
      <c r="R93" s="14">
        <v>5</v>
      </c>
      <c r="S93" s="1" t="s">
        <v>22</v>
      </c>
      <c r="T93" s="1" t="s">
        <v>22</v>
      </c>
      <c r="U93" s="1" t="s">
        <v>22</v>
      </c>
    </row>
    <row r="94" spans="1:21" x14ac:dyDescent="0.25">
      <c r="A94" s="1" t="s">
        <v>270</v>
      </c>
      <c r="B94" s="2" t="s">
        <v>283</v>
      </c>
      <c r="C94" s="1" t="s">
        <v>25</v>
      </c>
      <c r="D94" s="1" t="s">
        <v>277</v>
      </c>
      <c r="E94" s="1" t="s">
        <v>27</v>
      </c>
      <c r="F94" s="1">
        <v>45819</v>
      </c>
      <c r="G94" s="14" t="s">
        <v>38</v>
      </c>
      <c r="H94" t="s">
        <v>278</v>
      </c>
      <c r="I94" s="2" t="s">
        <v>279</v>
      </c>
      <c r="J94" s="2">
        <v>0.006944444444444444</v>
      </c>
      <c r="K94" s="1">
        <v>0.013888888888888888</v>
      </c>
      <c r="L94" s="1">
        <v>0.020833333333333332</v>
      </c>
      <c r="M94" s="1" t="s">
        <v>22</v>
      </c>
      <c r="N94" s="1" t="s">
        <v>240</v>
      </c>
      <c r="O94" s="1" t="s">
        <v>32</v>
      </c>
      <c r="P94" s="1" t="s">
        <v>244</v>
      </c>
      <c r="Q94" s="1">
        <v>45819</v>
      </c>
      <c r="R94" s="14">
        <v>5</v>
      </c>
      <c r="S94" s="1" t="s">
        <v>22</v>
      </c>
      <c r="T94" s="1" t="s">
        <v>22</v>
      </c>
      <c r="U94" s="1" t="s">
        <v>22</v>
      </c>
    </row>
    <row r="95" spans="1:21" x14ac:dyDescent="0.25">
      <c r="A95" s="1" t="s">
        <v>270</v>
      </c>
      <c r="B95" s="2" t="s">
        <v>284</v>
      </c>
      <c r="C95" s="1" t="s">
        <v>285</v>
      </c>
      <c r="D95" s="1" t="s">
        <v>277</v>
      </c>
      <c r="E95" s="1" t="s">
        <v>27</v>
      </c>
      <c r="F95" s="1">
        <v>45819</v>
      </c>
      <c r="G95" s="14" t="s">
        <v>38</v>
      </c>
      <c r="H95" t="s">
        <v>278</v>
      </c>
      <c r="I95" s="2" t="s">
        <v>279</v>
      </c>
      <c r="J95" s="2">
        <v>0.006944444444444444</v>
      </c>
      <c r="K95" s="1">
        <v>0.013888888888888888</v>
      </c>
      <c r="L95" s="1">
        <v>0.020833333333333332</v>
      </c>
      <c r="M95" s="1" t="s">
        <v>22</v>
      </c>
      <c r="N95" s="1" t="s">
        <v>240</v>
      </c>
      <c r="O95" s="1" t="s">
        <v>32</v>
      </c>
      <c r="P95" s="1" t="s">
        <v>47</v>
      </c>
      <c r="Q95" s="1">
        <v>45819</v>
      </c>
      <c r="R95" s="14">
        <v>5</v>
      </c>
      <c r="S95" s="1" t="s">
        <v>22</v>
      </c>
      <c r="T95" s="1" t="s">
        <v>22</v>
      </c>
      <c r="U95" s="1" t="s">
        <v>22</v>
      </c>
    </row>
    <row r="96" spans="1:21" x14ac:dyDescent="0.25">
      <c r="A96" s="1" t="s">
        <v>270</v>
      </c>
      <c r="B96" s="2" t="s">
        <v>286</v>
      </c>
      <c r="C96" s="1" t="s">
        <v>287</v>
      </c>
      <c r="D96" s="1" t="s">
        <v>277</v>
      </c>
      <c r="E96" s="1" t="s">
        <v>27</v>
      </c>
      <c r="F96" s="1">
        <v>45819</v>
      </c>
      <c r="G96" s="14" t="s">
        <v>38</v>
      </c>
      <c r="H96" t="s">
        <v>278</v>
      </c>
      <c r="I96" s="2" t="s">
        <v>279</v>
      </c>
      <c r="J96" s="2">
        <v>0.006944444444444444</v>
      </c>
      <c r="K96" s="1">
        <v>0.013888888888888888</v>
      </c>
      <c r="L96" s="1">
        <v>0.020833333333333332</v>
      </c>
      <c r="M96" s="1" t="s">
        <v>22</v>
      </c>
      <c r="N96" s="1" t="s">
        <v>240</v>
      </c>
      <c r="O96" s="1" t="s">
        <v>32</v>
      </c>
      <c r="P96" s="1" t="s">
        <v>47</v>
      </c>
      <c r="Q96" s="1">
        <v>45819</v>
      </c>
      <c r="R96" s="14">
        <v>5</v>
      </c>
      <c r="S96" s="1" t="s">
        <v>22</v>
      </c>
      <c r="T96" s="1" t="s">
        <v>22</v>
      </c>
      <c r="U96" s="1" t="s">
        <v>22</v>
      </c>
    </row>
    <row r="97" spans="1:21" x14ac:dyDescent="0.25">
      <c r="A97" s="1" t="s">
        <v>270</v>
      </c>
      <c r="B97" s="2" t="s">
        <v>262</v>
      </c>
      <c r="C97" s="1" t="s">
        <v>25</v>
      </c>
      <c r="D97" s="1" t="s">
        <v>277</v>
      </c>
      <c r="E97" s="1" t="s">
        <v>27</v>
      </c>
      <c r="F97" s="1">
        <v>45819</v>
      </c>
      <c r="G97" s="14" t="s">
        <v>38</v>
      </c>
      <c r="H97" t="s">
        <v>278</v>
      </c>
      <c r="I97" s="2" t="s">
        <v>279</v>
      </c>
      <c r="J97" s="2">
        <v>0.006944444444444444</v>
      </c>
      <c r="K97" s="1">
        <v>0.013888888888888888</v>
      </c>
      <c r="L97" s="1">
        <v>0.020833333333333332</v>
      </c>
      <c r="M97" s="1" t="s">
        <v>22</v>
      </c>
      <c r="N97" s="1" t="s">
        <v>240</v>
      </c>
      <c r="O97" s="1" t="s">
        <v>32</v>
      </c>
      <c r="P97" s="1" t="s">
        <v>280</v>
      </c>
      <c r="Q97" s="1">
        <v>45819</v>
      </c>
      <c r="R97" s="14">
        <v>5</v>
      </c>
      <c r="S97" s="1" t="s">
        <v>22</v>
      </c>
      <c r="T97" s="1" t="s">
        <v>22</v>
      </c>
      <c r="U97" s="1" t="s">
        <v>22</v>
      </c>
    </row>
    <row r="98" spans="1:21" x14ac:dyDescent="0.25">
      <c r="A98" s="1" t="s">
        <v>270</v>
      </c>
      <c r="B98" s="2" t="s">
        <v>288</v>
      </c>
      <c r="C98" s="1" t="s">
        <v>289</v>
      </c>
      <c r="D98" s="1" t="s">
        <v>277</v>
      </c>
      <c r="E98" s="1" t="s">
        <v>27</v>
      </c>
      <c r="F98" s="1">
        <v>45819</v>
      </c>
      <c r="G98" s="14" t="s">
        <v>38</v>
      </c>
      <c r="H98" t="s">
        <v>278</v>
      </c>
      <c r="I98" s="2" t="s">
        <v>279</v>
      </c>
      <c r="J98" s="2">
        <v>0.006944444444444444</v>
      </c>
      <c r="K98" s="1">
        <v>0.013888888888888888</v>
      </c>
      <c r="L98" s="1">
        <v>0.020833333333333332</v>
      </c>
      <c r="M98" s="1" t="s">
        <v>22</v>
      </c>
      <c r="N98" s="1" t="s">
        <v>240</v>
      </c>
      <c r="O98" s="1" t="s">
        <v>32</v>
      </c>
      <c r="P98" s="1" t="s">
        <v>244</v>
      </c>
      <c r="Q98" s="1">
        <v>45819</v>
      </c>
      <c r="R98" s="14">
        <v>5</v>
      </c>
      <c r="S98" s="1" t="s">
        <v>22</v>
      </c>
      <c r="T98" s="1" t="s">
        <v>22</v>
      </c>
      <c r="U98" s="1" t="s">
        <v>22</v>
      </c>
    </row>
    <row r="99" spans="1:21" x14ac:dyDescent="0.25">
      <c r="A99" s="1" t="s">
        <v>270</v>
      </c>
      <c r="B99" s="2" t="s">
        <v>163</v>
      </c>
      <c r="C99" s="1" t="s">
        <v>25</v>
      </c>
      <c r="D99" s="1" t="s">
        <v>277</v>
      </c>
      <c r="E99" s="1" t="s">
        <v>27</v>
      </c>
      <c r="F99" s="1">
        <v>45819</v>
      </c>
      <c r="G99" s="14" t="s">
        <v>38</v>
      </c>
      <c r="H99" t="s">
        <v>278</v>
      </c>
      <c r="I99" s="2" t="s">
        <v>279</v>
      </c>
      <c r="J99" s="2">
        <v>0.006944444444444444</v>
      </c>
      <c r="K99" s="1">
        <v>0.013888888888888888</v>
      </c>
      <c r="L99" s="1">
        <v>0.020833333333333332</v>
      </c>
      <c r="M99" s="1" t="s">
        <v>22</v>
      </c>
      <c r="N99" s="1" t="s">
        <v>240</v>
      </c>
      <c r="O99" s="1" t="s">
        <v>32</v>
      </c>
      <c r="P99" s="1" t="s">
        <v>47</v>
      </c>
      <c r="Q99" s="1">
        <v>45819</v>
      </c>
      <c r="R99" s="14">
        <v>5</v>
      </c>
      <c r="S99" s="1" t="s">
        <v>22</v>
      </c>
      <c r="T99" s="1" t="s">
        <v>22</v>
      </c>
      <c r="U99" s="1" t="s">
        <v>22</v>
      </c>
    </row>
    <row r="100" spans="1:21" x14ac:dyDescent="0.25">
      <c r="A100" s="1" t="s">
        <v>270</v>
      </c>
      <c r="B100" s="2" t="s">
        <v>247</v>
      </c>
      <c r="C100" s="1" t="s">
        <v>25</v>
      </c>
      <c r="D100" s="1" t="s">
        <v>277</v>
      </c>
      <c r="E100" s="1" t="s">
        <v>27</v>
      </c>
      <c r="F100" s="1">
        <v>45819</v>
      </c>
      <c r="G100" s="14" t="s">
        <v>38</v>
      </c>
      <c r="H100" t="s">
        <v>278</v>
      </c>
      <c r="I100" s="2" t="s">
        <v>279</v>
      </c>
      <c r="J100" s="2">
        <v>0.006944444444444444</v>
      </c>
      <c r="K100" s="1">
        <v>0.013888888888888888</v>
      </c>
      <c r="L100" s="1">
        <v>0.020833333333333332</v>
      </c>
      <c r="M100" s="1" t="s">
        <v>22</v>
      </c>
      <c r="N100" s="1" t="s">
        <v>240</v>
      </c>
      <c r="O100" s="1" t="s">
        <v>32</v>
      </c>
      <c r="P100" s="1" t="s">
        <v>47</v>
      </c>
      <c r="Q100" s="1">
        <v>45819</v>
      </c>
      <c r="R100" s="14">
        <v>5</v>
      </c>
      <c r="S100" s="1" t="s">
        <v>22</v>
      </c>
      <c r="T100" s="1" t="s">
        <v>22</v>
      </c>
      <c r="U100" s="1" t="s">
        <v>22</v>
      </c>
    </row>
    <row r="101" spans="1:21" x14ac:dyDescent="0.25">
      <c r="A101" s="1" t="s">
        <v>270</v>
      </c>
      <c r="B101" s="2" t="s">
        <v>113</v>
      </c>
      <c r="C101" s="1" t="s">
        <v>25</v>
      </c>
      <c r="D101" s="1" t="s">
        <v>277</v>
      </c>
      <c r="E101" s="1" t="s">
        <v>27</v>
      </c>
      <c r="F101" s="1">
        <v>45819</v>
      </c>
      <c r="G101" s="14" t="s">
        <v>38</v>
      </c>
      <c r="H101" t="s">
        <v>278</v>
      </c>
      <c r="I101" s="2" t="s">
        <v>279</v>
      </c>
      <c r="J101" s="2">
        <v>0.006944444444444444</v>
      </c>
      <c r="K101" s="1">
        <v>0.013888888888888888</v>
      </c>
      <c r="L101" s="1">
        <v>0.020833333333333332</v>
      </c>
      <c r="M101" s="1" t="s">
        <v>22</v>
      </c>
      <c r="N101" s="1" t="s">
        <v>240</v>
      </c>
      <c r="O101" s="1" t="s">
        <v>32</v>
      </c>
      <c r="P101" s="1" t="s">
        <v>47</v>
      </c>
      <c r="Q101" s="1">
        <v>45819</v>
      </c>
      <c r="R101" s="14">
        <v>5</v>
      </c>
      <c r="S101" s="1" t="s">
        <v>22</v>
      </c>
      <c r="T101" s="1" t="s">
        <v>22</v>
      </c>
      <c r="U101" s="1" t="s">
        <v>22</v>
      </c>
    </row>
    <row r="102" spans="1:21" x14ac:dyDescent="0.25">
      <c r="A102" s="1" t="s">
        <v>270</v>
      </c>
      <c r="B102" s="2" t="s">
        <v>142</v>
      </c>
      <c r="C102" s="1" t="s">
        <v>25</v>
      </c>
      <c r="D102" s="1" t="s">
        <v>277</v>
      </c>
      <c r="E102" s="1" t="s">
        <v>27</v>
      </c>
      <c r="F102" s="1">
        <v>45819</v>
      </c>
      <c r="G102" s="14" t="s">
        <v>38</v>
      </c>
      <c r="H102" t="s">
        <v>278</v>
      </c>
      <c r="I102" s="2" t="s">
        <v>279</v>
      </c>
      <c r="J102" s="2">
        <v>0.006944444444444444</v>
      </c>
      <c r="K102" s="1">
        <v>0.013888888888888888</v>
      </c>
      <c r="L102" s="1">
        <v>0.020833333333333332</v>
      </c>
      <c r="M102" s="1" t="s">
        <v>22</v>
      </c>
      <c r="N102" s="1" t="s">
        <v>240</v>
      </c>
      <c r="O102" s="1" t="s">
        <v>32</v>
      </c>
      <c r="P102" s="1" t="s">
        <v>47</v>
      </c>
      <c r="Q102" s="1">
        <v>45819</v>
      </c>
      <c r="R102" s="14">
        <v>5</v>
      </c>
      <c r="S102" s="1" t="s">
        <v>22</v>
      </c>
      <c r="T102" s="1" t="s">
        <v>22</v>
      </c>
      <c r="U102" s="1" t="s">
        <v>22</v>
      </c>
    </row>
    <row r="103" spans="1:21" x14ac:dyDescent="0.25">
      <c r="A103" s="1" t="s">
        <v>270</v>
      </c>
      <c r="B103" s="2" t="s">
        <v>290</v>
      </c>
      <c r="C103" s="1" t="s">
        <v>25</v>
      </c>
      <c r="D103" s="1" t="s">
        <v>277</v>
      </c>
      <c r="E103" s="1" t="s">
        <v>27</v>
      </c>
      <c r="F103" s="1">
        <v>45819</v>
      </c>
      <c r="G103" s="14" t="s">
        <v>38</v>
      </c>
      <c r="H103" t="s">
        <v>278</v>
      </c>
      <c r="I103" s="2" t="s">
        <v>279</v>
      </c>
      <c r="J103" s="2">
        <v>0.006944444444444444</v>
      </c>
      <c r="K103" s="1">
        <v>0.013888888888888888</v>
      </c>
      <c r="L103" s="1">
        <v>0.020833333333333332</v>
      </c>
      <c r="M103" s="1" t="s">
        <v>22</v>
      </c>
      <c r="N103" s="1" t="s">
        <v>240</v>
      </c>
      <c r="O103" s="1" t="s">
        <v>32</v>
      </c>
      <c r="P103" s="1" t="s">
        <v>244</v>
      </c>
      <c r="Q103" s="1">
        <v>45819</v>
      </c>
      <c r="R103" s="14">
        <v>5</v>
      </c>
      <c r="S103" s="1" t="s">
        <v>22</v>
      </c>
      <c r="T103" s="1" t="s">
        <v>22</v>
      </c>
      <c r="U103" s="1" t="s">
        <v>22</v>
      </c>
    </row>
    <row r="104" spans="1:21" x14ac:dyDescent="0.25">
      <c r="A104" s="1" t="s">
        <v>270</v>
      </c>
      <c r="B104" s="2" t="s">
        <v>291</v>
      </c>
      <c r="C104" s="1" t="s">
        <v>25</v>
      </c>
      <c r="D104" s="1" t="s">
        <v>277</v>
      </c>
      <c r="E104" s="1" t="s">
        <v>27</v>
      </c>
      <c r="F104" s="1">
        <v>45819</v>
      </c>
      <c r="G104" s="14" t="s">
        <v>38</v>
      </c>
      <c r="H104" t="s">
        <v>278</v>
      </c>
      <c r="I104" s="2" t="s">
        <v>279</v>
      </c>
      <c r="J104" s="2">
        <v>0.006944444444444444</v>
      </c>
      <c r="K104" s="1">
        <v>0.013888888888888888</v>
      </c>
      <c r="L104" s="1">
        <v>0.020833333333333332</v>
      </c>
      <c r="M104" s="1" t="s">
        <v>22</v>
      </c>
      <c r="N104" s="1" t="s">
        <v>240</v>
      </c>
      <c r="O104" s="1" t="s">
        <v>32</v>
      </c>
      <c r="P104" s="1" t="s">
        <v>244</v>
      </c>
      <c r="Q104" s="1">
        <v>45819</v>
      </c>
      <c r="R104" s="14">
        <v>5</v>
      </c>
      <c r="S104" s="1" t="s">
        <v>22</v>
      </c>
      <c r="T104" s="1" t="s">
        <v>22</v>
      </c>
      <c r="U104" s="1" t="s">
        <v>22</v>
      </c>
    </row>
    <row r="105" spans="1:21" x14ac:dyDescent="0.25">
      <c r="A105" s="1" t="s">
        <v>270</v>
      </c>
      <c r="B105" s="2" t="s">
        <v>185</v>
      </c>
      <c r="C105" s="1" t="s">
        <v>147</v>
      </c>
      <c r="D105" s="1" t="s">
        <v>277</v>
      </c>
      <c r="E105" s="1" t="s">
        <v>27</v>
      </c>
      <c r="F105" s="1">
        <v>45819</v>
      </c>
      <c r="G105" s="14" t="s">
        <v>38</v>
      </c>
      <c r="H105" t="s">
        <v>278</v>
      </c>
      <c r="I105" s="2" t="s">
        <v>279</v>
      </c>
      <c r="J105" s="2">
        <v>0.006944444444444444</v>
      </c>
      <c r="K105" s="1">
        <v>0.013888888888888888</v>
      </c>
      <c r="L105" s="1">
        <v>0.020833333333333332</v>
      </c>
      <c r="M105" s="1" t="s">
        <v>22</v>
      </c>
      <c r="N105" s="1" t="s">
        <v>240</v>
      </c>
      <c r="O105" s="1" t="s">
        <v>32</v>
      </c>
      <c r="P105" s="1" t="s">
        <v>47</v>
      </c>
      <c r="Q105" s="1">
        <v>45819</v>
      </c>
      <c r="R105" s="14">
        <v>5</v>
      </c>
      <c r="S105" s="1" t="s">
        <v>22</v>
      </c>
      <c r="T105" s="1" t="s">
        <v>22</v>
      </c>
      <c r="U105" s="1" t="s">
        <v>22</v>
      </c>
    </row>
    <row r="106" spans="1:21" x14ac:dyDescent="0.25">
      <c r="A106" s="1" t="s">
        <v>270</v>
      </c>
      <c r="B106" s="2" t="s">
        <v>77</v>
      </c>
      <c r="C106" s="1" t="s">
        <v>78</v>
      </c>
      <c r="D106" s="1" t="s">
        <v>277</v>
      </c>
      <c r="E106" s="1" t="s">
        <v>27</v>
      </c>
      <c r="F106" s="1">
        <v>45819</v>
      </c>
      <c r="G106" s="14" t="s">
        <v>38</v>
      </c>
      <c r="H106" t="s">
        <v>278</v>
      </c>
      <c r="I106" s="2" t="s">
        <v>279</v>
      </c>
      <c r="J106" s="2">
        <v>0.006944444444444444</v>
      </c>
      <c r="K106" s="1">
        <v>0.013888888888888888</v>
      </c>
      <c r="L106" s="1">
        <v>0.020833333333333332</v>
      </c>
      <c r="M106" s="1" t="s">
        <v>22</v>
      </c>
      <c r="N106" s="1" t="s">
        <v>240</v>
      </c>
      <c r="O106" s="1" t="s">
        <v>32</v>
      </c>
      <c r="P106" s="1" t="s">
        <v>280</v>
      </c>
      <c r="Q106" s="1">
        <v>45819</v>
      </c>
      <c r="R106" s="14">
        <v>5</v>
      </c>
      <c r="S106" s="1" t="s">
        <v>22</v>
      </c>
      <c r="T106" s="1" t="s">
        <v>22</v>
      </c>
      <c r="U106" s="1" t="s">
        <v>22</v>
      </c>
    </row>
    <row r="107" spans="1:21" x14ac:dyDescent="0.25">
      <c r="A107" s="1" t="s">
        <v>270</v>
      </c>
      <c r="B107" s="2" t="s">
        <v>228</v>
      </c>
      <c r="C107" s="1" t="s">
        <v>229</v>
      </c>
      <c r="D107" s="1" t="s">
        <v>277</v>
      </c>
      <c r="E107" s="1" t="s">
        <v>27</v>
      </c>
      <c r="F107" s="1">
        <v>45819</v>
      </c>
      <c r="G107" s="14" t="s">
        <v>38</v>
      </c>
      <c r="H107" t="s">
        <v>278</v>
      </c>
      <c r="I107" s="2" t="s">
        <v>279</v>
      </c>
      <c r="J107" s="2">
        <v>0.006944444444444444</v>
      </c>
      <c r="K107" s="1">
        <v>0.013888888888888888</v>
      </c>
      <c r="L107" s="1">
        <v>0.020833333333333332</v>
      </c>
      <c r="M107" s="1" t="s">
        <v>22</v>
      </c>
      <c r="N107" s="1" t="s">
        <v>240</v>
      </c>
      <c r="O107" s="1" t="s">
        <v>32</v>
      </c>
      <c r="P107" s="1" t="s">
        <v>280</v>
      </c>
      <c r="Q107" s="1">
        <v>45819</v>
      </c>
      <c r="R107" s="14">
        <v>5</v>
      </c>
      <c r="S107" s="1" t="s">
        <v>22</v>
      </c>
      <c r="T107" s="1" t="s">
        <v>22</v>
      </c>
      <c r="U107" s="1" t="s">
        <v>22</v>
      </c>
    </row>
    <row r="108" spans="1:21" x14ac:dyDescent="0.25">
      <c r="A108" s="1" t="s">
        <v>270</v>
      </c>
      <c r="B108" s="2" t="s">
        <v>72</v>
      </c>
      <c r="C108" s="1" t="s">
        <v>236</v>
      </c>
      <c r="D108" s="1" t="s">
        <v>277</v>
      </c>
      <c r="E108" s="1" t="s">
        <v>27</v>
      </c>
      <c r="F108" s="1">
        <v>45819</v>
      </c>
      <c r="G108" s="14" t="s">
        <v>38</v>
      </c>
      <c r="H108" t="s">
        <v>278</v>
      </c>
      <c r="I108" s="2" t="s">
        <v>279</v>
      </c>
      <c r="J108" s="2">
        <v>0.006944444444444444</v>
      </c>
      <c r="K108" s="1">
        <v>0.013888888888888888</v>
      </c>
      <c r="L108" s="1">
        <v>0.020833333333333332</v>
      </c>
      <c r="M108" s="1" t="s">
        <v>22</v>
      </c>
      <c r="N108" s="1" t="s">
        <v>240</v>
      </c>
      <c r="O108" s="1" t="s">
        <v>32</v>
      </c>
      <c r="P108" s="1" t="s">
        <v>47</v>
      </c>
      <c r="Q108" s="1">
        <v>45819</v>
      </c>
      <c r="R108" s="14">
        <v>5</v>
      </c>
      <c r="S108" s="1" t="s">
        <v>22</v>
      </c>
      <c r="T108" s="1" t="s">
        <v>22</v>
      </c>
      <c r="U108" s="1" t="s">
        <v>22</v>
      </c>
    </row>
    <row r="109" spans="1:21" x14ac:dyDescent="0.25">
      <c r="A109" s="1" t="s">
        <v>270</v>
      </c>
      <c r="B109" s="2" t="s">
        <v>118</v>
      </c>
      <c r="C109" s="1" t="s">
        <v>25</v>
      </c>
      <c r="D109" s="1" t="s">
        <v>277</v>
      </c>
      <c r="E109" s="1" t="s">
        <v>27</v>
      </c>
      <c r="F109" s="1">
        <v>45819</v>
      </c>
      <c r="G109" s="14" t="s">
        <v>38</v>
      </c>
      <c r="H109" t="s">
        <v>278</v>
      </c>
      <c r="I109" s="2" t="s">
        <v>279</v>
      </c>
      <c r="J109" s="2">
        <v>0.006944444444444444</v>
      </c>
      <c r="K109" s="1">
        <v>0.013888888888888888</v>
      </c>
      <c r="L109" s="1">
        <v>0.020833333333333332</v>
      </c>
      <c r="M109" s="1" t="s">
        <v>22</v>
      </c>
      <c r="N109" s="1" t="s">
        <v>240</v>
      </c>
      <c r="O109" s="1" t="s">
        <v>32</v>
      </c>
      <c r="P109" s="1" t="s">
        <v>47</v>
      </c>
      <c r="Q109" s="1">
        <v>45819</v>
      </c>
      <c r="R109" s="14">
        <v>5</v>
      </c>
      <c r="S109" s="1" t="s">
        <v>22</v>
      </c>
      <c r="T109" s="1" t="s">
        <v>22</v>
      </c>
      <c r="U109" s="1" t="s">
        <v>22</v>
      </c>
    </row>
    <row r="110" spans="1:21" x14ac:dyDescent="0.25">
      <c r="A110" s="1" t="s">
        <v>270</v>
      </c>
      <c r="B110" s="2" t="s">
        <v>108</v>
      </c>
      <c r="C110" s="1" t="s">
        <v>78</v>
      </c>
      <c r="D110" s="1" t="s">
        <v>292</v>
      </c>
      <c r="E110" s="1" t="s">
        <v>37</v>
      </c>
      <c r="F110" s="1">
        <v>45825</v>
      </c>
      <c r="G110" s="14" t="s">
        <v>38</v>
      </c>
      <c r="H110" t="s">
        <v>293</v>
      </c>
      <c r="I110" s="2" t="s">
        <v>294</v>
      </c>
      <c r="J110" s="2">
        <v>0.0625</v>
      </c>
      <c r="K110" s="1">
        <v>0.0625</v>
      </c>
      <c r="L110" s="1">
        <v>0.125</v>
      </c>
      <c r="M110" s="1" t="s">
        <v>22</v>
      </c>
      <c r="N110" s="1" t="s">
        <v>31</v>
      </c>
      <c r="O110" s="1" t="s">
        <v>32</v>
      </c>
      <c r="P110" s="1" t="s">
        <v>42</v>
      </c>
      <c r="Q110" s="1">
        <v>45826</v>
      </c>
      <c r="R110" s="14">
        <v>5</v>
      </c>
      <c r="S110" s="1" t="s">
        <v>22</v>
      </c>
      <c r="T110" s="1" t="s">
        <v>22</v>
      </c>
      <c r="U110" s="1" t="s">
        <v>22</v>
      </c>
    </row>
    <row r="111" spans="1:21" x14ac:dyDescent="0.25">
      <c r="A111" s="1" t="s">
        <v>270</v>
      </c>
      <c r="B111" s="2" t="s">
        <v>72</v>
      </c>
      <c r="C111" s="1" t="s">
        <v>44</v>
      </c>
      <c r="D111" s="1" t="s">
        <v>295</v>
      </c>
      <c r="E111" s="1" t="s">
        <v>37</v>
      </c>
      <c r="F111" s="1">
        <v>45832</v>
      </c>
      <c r="G111" s="14" t="s">
        <v>296</v>
      </c>
      <c r="H111" t="s">
        <v>297</v>
      </c>
      <c r="I111" s="2" t="s">
        <v>298</v>
      </c>
      <c r="J111" s="2">
        <v>0.013888888888888888</v>
      </c>
      <c r="K111" s="1">
        <v>0.020833333333333332</v>
      </c>
      <c r="L111" s="1">
        <v>0.034722222222222224</v>
      </c>
      <c r="M111" s="1" t="s">
        <v>22</v>
      </c>
      <c r="N111" s="1" t="s">
        <v>53</v>
      </c>
      <c r="O111" s="1" t="s">
        <v>32</v>
      </c>
      <c r="P111" s="1" t="s">
        <v>47</v>
      </c>
      <c r="Q111" s="1">
        <v>45832</v>
      </c>
      <c r="R111" s="14">
        <v>5</v>
      </c>
      <c r="S111" s="1" t="s">
        <v>22</v>
      </c>
      <c r="T111" s="1" t="s">
        <v>22</v>
      </c>
      <c r="U111" s="1" t="s">
        <v>22</v>
      </c>
    </row>
    <row r="112" spans="1:21" x14ac:dyDescent="0.25">
      <c r="A112" s="1" t="s">
        <v>270</v>
      </c>
      <c r="B112" s="2" t="s">
        <v>113</v>
      </c>
      <c r="C112" s="1" t="s">
        <v>25</v>
      </c>
      <c r="D112" s="1" t="s">
        <v>299</v>
      </c>
      <c r="E112" s="1" t="s">
        <v>37</v>
      </c>
      <c r="F112" s="1">
        <v>45833</v>
      </c>
      <c r="G112" s="14" t="s">
        <v>28</v>
      </c>
      <c r="H112" t="s">
        <v>300</v>
      </c>
      <c r="I112" s="2" t="s">
        <v>301</v>
      </c>
      <c r="J112" s="2">
        <v>0.03125</v>
      </c>
      <c r="K112" s="1">
        <v>0.05555555555555555</v>
      </c>
      <c r="L112" s="1">
        <v>0.08680555555555555</v>
      </c>
      <c r="M112" s="1" t="s">
        <v>22</v>
      </c>
      <c r="N112" s="1" t="s">
        <v>31</v>
      </c>
      <c r="O112" s="1" t="s">
        <v>32</v>
      </c>
      <c r="P112" s="1" t="s">
        <v>47</v>
      </c>
      <c r="Q112" s="1">
        <v>45833</v>
      </c>
      <c r="R112" s="14">
        <v>4</v>
      </c>
      <c r="S112" s="1" t="s">
        <v>22</v>
      </c>
      <c r="T112" s="1" t="s">
        <v>22</v>
      </c>
      <c r="U112" s="1" t="s">
        <v>22</v>
      </c>
    </row>
    <row r="113" spans="1:21" x14ac:dyDescent="0.25">
      <c r="A113" s="1" t="s">
        <v>270</v>
      </c>
      <c r="B113" s="2" t="s">
        <v>65</v>
      </c>
      <c r="C113" s="1" t="s">
        <v>25</v>
      </c>
      <c r="D113" s="1" t="s">
        <v>302</v>
      </c>
      <c r="E113" s="1" t="s">
        <v>27</v>
      </c>
      <c r="F113" s="1">
        <v>45832</v>
      </c>
      <c r="G113" s="14" t="s">
        <v>28</v>
      </c>
      <c r="H113" t="s">
        <v>303</v>
      </c>
      <c r="I113" s="2" t="s">
        <v>303</v>
      </c>
      <c r="J113" s="2">
        <v>0.020833333333333332</v>
      </c>
      <c r="K113" s="1">
        <v>0.034722222222222224</v>
      </c>
      <c r="L113" s="1">
        <v>0.05555555555555555</v>
      </c>
      <c r="M113" s="1" t="s">
        <v>22</v>
      </c>
      <c r="N113" s="1" t="s">
        <v>53</v>
      </c>
      <c r="O113" s="1" t="s">
        <v>32</v>
      </c>
      <c r="P113" s="1" t="s">
        <v>47</v>
      </c>
      <c r="Q113" s="1">
        <v>45832</v>
      </c>
      <c r="R113" s="14">
        <v>5</v>
      </c>
      <c r="S113" s="1" t="s">
        <v>22</v>
      </c>
      <c r="T113" s="1" t="s">
        <v>22</v>
      </c>
      <c r="U113" s="1" t="s">
        <v>22</v>
      </c>
    </row>
    <row r="114" spans="1:21" x14ac:dyDescent="0.25">
      <c r="A114" s="1" t="s">
        <v>270</v>
      </c>
      <c r="B114" s="2" t="s">
        <v>170</v>
      </c>
      <c r="C114" s="1" t="s">
        <v>25</v>
      </c>
      <c r="D114" s="1" t="s">
        <v>304</v>
      </c>
      <c r="E114" s="1" t="s">
        <v>27</v>
      </c>
      <c r="F114" s="1">
        <v>45834</v>
      </c>
      <c r="G114" s="14" t="s">
        <v>133</v>
      </c>
      <c r="H114" t="s">
        <v>305</v>
      </c>
      <c r="I114" s="2" t="s">
        <v>306</v>
      </c>
      <c r="J114" s="2">
        <v>0.020833333333333332</v>
      </c>
      <c r="K114" s="1">
        <v>0.020833333333333332</v>
      </c>
      <c r="L114" s="1">
        <v>0.041666666666666664</v>
      </c>
      <c r="M114" s="1" t="s">
        <v>22</v>
      </c>
      <c r="N114" s="1" t="s">
        <v>31</v>
      </c>
      <c r="O114" s="1" t="s">
        <v>32</v>
      </c>
      <c r="P114" s="1" t="s">
        <v>42</v>
      </c>
      <c r="Q114" s="1">
        <v>45834</v>
      </c>
      <c r="R114" s="14">
        <v>5</v>
      </c>
      <c r="S114" s="1" t="s">
        <v>22</v>
      </c>
      <c r="T114" s="1" t="s">
        <v>22</v>
      </c>
      <c r="U114" s="1" t="s">
        <v>22</v>
      </c>
    </row>
    <row r="115" spans="1:21" x14ac:dyDescent="0.25">
      <c r="A115" s="1" t="s">
        <v>307</v>
      </c>
      <c r="B115" s="2" t="s">
        <v>308</v>
      </c>
      <c r="C115" s="1" t="s">
        <v>309</v>
      </c>
      <c r="D115" s="1" t="s">
        <v>310</v>
      </c>
      <c r="E115" s="1" t="s">
        <v>37</v>
      </c>
      <c r="F115" s="1">
        <v>45839</v>
      </c>
      <c r="G115" s="14" t="s">
        <v>133</v>
      </c>
      <c r="H115" t="s">
        <v>311</v>
      </c>
      <c r="I115" s="2" t="s">
        <v>312</v>
      </c>
      <c r="J115" s="2">
        <v>0.013888888888888888</v>
      </c>
      <c r="K115" s="1">
        <v>0.034722222222222224</v>
      </c>
      <c r="L115" s="1">
        <v>0.04861111111111111</v>
      </c>
      <c r="M115" s="1" t="s">
        <v>22</v>
      </c>
      <c r="N115" s="1" t="s">
        <v>240</v>
      </c>
      <c r="O115" s="1" t="s">
        <v>32</v>
      </c>
      <c r="P115" s="1" t="s">
        <v>42</v>
      </c>
      <c r="Q115" s="1">
        <v>45839</v>
      </c>
      <c r="R115" s="14">
        <v>5</v>
      </c>
      <c r="S115" s="1" t="s">
        <v>22</v>
      </c>
      <c r="T115" s="1" t="s">
        <v>22</v>
      </c>
      <c r="U115" s="1" t="s">
        <v>22</v>
      </c>
    </row>
    <row r="116" spans="1:21" x14ac:dyDescent="0.25">
      <c r="A116" s="1" t="s">
        <v>307</v>
      </c>
      <c r="B116" s="2" t="s">
        <v>113</v>
      </c>
      <c r="C116" s="1" t="s">
        <v>25</v>
      </c>
      <c r="D116" s="1" t="s">
        <v>313</v>
      </c>
      <c r="E116" s="1" t="s">
        <v>27</v>
      </c>
      <c r="F116" s="1">
        <v>45841</v>
      </c>
      <c r="G116" s="14" t="s">
        <v>74</v>
      </c>
      <c r="H116" t="s">
        <v>314</v>
      </c>
      <c r="I116" s="2" t="s">
        <v>315</v>
      </c>
      <c r="J116" s="2">
        <v>0.013888888888888888</v>
      </c>
      <c r="K116" s="1">
        <v>0.034722222222222224</v>
      </c>
      <c r="L116" s="1">
        <v>0.04861111111111111</v>
      </c>
      <c r="M116" s="1" t="s">
        <v>22</v>
      </c>
      <c r="N116" s="1" t="s">
        <v>240</v>
      </c>
      <c r="O116" s="1" t="s">
        <v>32</v>
      </c>
      <c r="P116" s="1" t="s">
        <v>47</v>
      </c>
      <c r="Q116" s="1">
        <v>45841</v>
      </c>
      <c r="R116" s="14">
        <v>5</v>
      </c>
      <c r="S116" s="1" t="s">
        <v>22</v>
      </c>
      <c r="T116" s="1" t="s">
        <v>22</v>
      </c>
      <c r="U116" s="1" t="s">
        <v>22</v>
      </c>
    </row>
    <row r="117" spans="1:21" x14ac:dyDescent="0.25">
      <c r="A117" s="1" t="s">
        <v>307</v>
      </c>
      <c r="B117" s="2" t="s">
        <v>113</v>
      </c>
      <c r="C117" s="1" t="s">
        <v>25</v>
      </c>
      <c r="D117" s="1" t="s">
        <v>316</v>
      </c>
      <c r="E117" s="1" t="s">
        <v>37</v>
      </c>
      <c r="F117" s="1">
        <v>45842</v>
      </c>
      <c r="G117" s="14" t="s">
        <v>38</v>
      </c>
      <c r="H117" t="s">
        <v>317</v>
      </c>
      <c r="I117" s="2" t="s">
        <v>318</v>
      </c>
      <c r="J117" s="2">
        <v>0.017361111111111112</v>
      </c>
      <c r="K117" s="1">
        <v>0.034722222222222224</v>
      </c>
      <c r="L117" s="1">
        <v>0.052083333333333336</v>
      </c>
      <c r="M117" s="1" t="s">
        <v>22</v>
      </c>
      <c r="N117" s="1" t="s">
        <v>240</v>
      </c>
      <c r="O117" s="1" t="s">
        <v>32</v>
      </c>
      <c r="P117" s="1" t="s">
        <v>47</v>
      </c>
      <c r="Q117" s="1">
        <v>45842</v>
      </c>
      <c r="R117" s="14">
        <v>5</v>
      </c>
      <c r="S117" s="1" t="s">
        <v>22</v>
      </c>
      <c r="T117" s="1" t="s">
        <v>22</v>
      </c>
      <c r="U117" s="1" t="s">
        <v>22</v>
      </c>
    </row>
    <row r="118" spans="1:21" x14ac:dyDescent="0.25">
      <c r="A118" s="1" t="s">
        <v>307</v>
      </c>
      <c r="B118" s="2" t="s">
        <v>258</v>
      </c>
      <c r="C118" s="1" t="s">
        <v>25</v>
      </c>
      <c r="D118" s="1" t="s">
        <v>319</v>
      </c>
      <c r="E118" s="1" t="s">
        <v>27</v>
      </c>
      <c r="F118" s="1">
        <v>45842</v>
      </c>
      <c r="G118" s="14" t="s">
        <v>38</v>
      </c>
      <c r="H118" t="s">
        <v>320</v>
      </c>
      <c r="I118" s="2" t="s">
        <v>321</v>
      </c>
      <c r="J118" s="2">
        <v>0.027777777777777776</v>
      </c>
      <c r="K118" s="1">
        <v>0.034722222222222224</v>
      </c>
      <c r="L118" s="1">
        <v>0.0625</v>
      </c>
      <c r="M118" s="1" t="s">
        <v>22</v>
      </c>
      <c r="N118" s="1" t="s">
        <v>240</v>
      </c>
      <c r="O118" s="1" t="s">
        <v>32</v>
      </c>
      <c r="P118" s="1" t="s">
        <v>47</v>
      </c>
      <c r="Q118" s="1">
        <v>45842</v>
      </c>
      <c r="R118" s="14">
        <v>5</v>
      </c>
      <c r="S118" s="1" t="s">
        <v>22</v>
      </c>
      <c r="T118" s="1" t="s">
        <v>22</v>
      </c>
      <c r="U118" s="1" t="s">
        <v>22</v>
      </c>
    </row>
    <row r="119" spans="1:21" x14ac:dyDescent="0.25">
      <c r="A119" s="1" t="s">
        <v>307</v>
      </c>
      <c r="B119" s="2" t="s">
        <v>163</v>
      </c>
      <c r="C119" s="1" t="s">
        <v>25</v>
      </c>
      <c r="D119" s="1" t="s">
        <v>322</v>
      </c>
      <c r="E119" s="1" t="s">
        <v>27</v>
      </c>
      <c r="F119" s="1">
        <v>45842</v>
      </c>
      <c r="G119" s="14" t="s">
        <v>38</v>
      </c>
      <c r="H119" t="s">
        <v>323</v>
      </c>
      <c r="I119" s="2" t="s">
        <v>324</v>
      </c>
      <c r="J119" s="2">
        <v>0.020833333333333332</v>
      </c>
      <c r="K119" s="1">
        <v>0.034722222222222224</v>
      </c>
      <c r="L119" s="1">
        <v>0.05555555555555555</v>
      </c>
      <c r="M119" s="1" t="s">
        <v>22</v>
      </c>
      <c r="N119" s="1" t="s">
        <v>240</v>
      </c>
      <c r="O119" s="1" t="s">
        <v>32</v>
      </c>
      <c r="P119" s="1" t="s">
        <v>47</v>
      </c>
      <c r="Q119" s="1">
        <v>45842</v>
      </c>
      <c r="R119" s="14">
        <v>5</v>
      </c>
      <c r="S119" s="1" t="s">
        <v>22</v>
      </c>
      <c r="T119" s="1" t="s">
        <v>22</v>
      </c>
      <c r="U119" s="1" t="s">
        <v>22</v>
      </c>
    </row>
    <row r="120" spans="1:21" x14ac:dyDescent="0.25">
      <c r="A120" s="1" t="s">
        <v>307</v>
      </c>
      <c r="B120" s="2" t="s">
        <v>43</v>
      </c>
      <c r="C120" s="1" t="s">
        <v>236</v>
      </c>
      <c r="D120" s="1" t="s">
        <v>325</v>
      </c>
      <c r="E120" s="1" t="s">
        <v>37</v>
      </c>
      <c r="F120" s="1">
        <v>45847</v>
      </c>
      <c r="G120" s="14" t="s">
        <v>28</v>
      </c>
      <c r="H120" t="s">
        <v>326</v>
      </c>
      <c r="I120" s="2" t="s">
        <v>327</v>
      </c>
      <c r="J120" s="2">
        <v>0.020833333333333332</v>
      </c>
      <c r="K120" s="1">
        <v>0.034722222222222224</v>
      </c>
      <c r="L120" s="1">
        <v>0.05555555555555555</v>
      </c>
      <c r="M120" s="1" t="s">
        <v>22</v>
      </c>
      <c r="N120" s="1" t="s">
        <v>53</v>
      </c>
      <c r="O120" s="1" t="s">
        <v>240</v>
      </c>
      <c r="P120" s="1" t="s">
        <v>47</v>
      </c>
      <c r="Q120" s="1">
        <v>45847</v>
      </c>
      <c r="R120" s="14">
        <v>5</v>
      </c>
      <c r="S120" s="1" t="s">
        <v>22</v>
      </c>
      <c r="T120" s="1" t="s">
        <v>22</v>
      </c>
      <c r="U120" s="1" t="s">
        <v>22</v>
      </c>
    </row>
    <row r="121" spans="1:21" x14ac:dyDescent="0.25">
      <c r="A121" s="1" t="s">
        <v>307</v>
      </c>
      <c r="B121" s="2" t="s">
        <v>65</v>
      </c>
      <c r="C121" s="1" t="s">
        <v>25</v>
      </c>
      <c r="D121" s="1" t="s">
        <v>328</v>
      </c>
      <c r="E121" s="1" t="s">
        <v>27</v>
      </c>
      <c r="F121" s="1">
        <v>45853</v>
      </c>
      <c r="G121" s="14" t="s">
        <v>38</v>
      </c>
      <c r="H121" t="s">
        <v>329</v>
      </c>
      <c r="I121" s="2" t="s">
        <v>330</v>
      </c>
      <c r="J121" s="2">
        <v>0.013888888888888888</v>
      </c>
      <c r="K121" s="1">
        <v>0.0625</v>
      </c>
      <c r="L121" s="1">
        <v>0.0763888888888889</v>
      </c>
      <c r="M121" s="1" t="s">
        <v>22</v>
      </c>
      <c r="N121" s="1" t="s">
        <v>240</v>
      </c>
      <c r="O121" s="1" t="s">
        <v>32</v>
      </c>
      <c r="P121" s="1" t="s">
        <v>47</v>
      </c>
      <c r="Q121" s="1">
        <v>45853</v>
      </c>
      <c r="R121" s="14">
        <v>5</v>
      </c>
      <c r="S121" s="1" t="s">
        <v>22</v>
      </c>
      <c r="T121" s="1" t="s">
        <v>22</v>
      </c>
      <c r="U121" s="1" t="s">
        <v>22</v>
      </c>
    </row>
    <row r="122" spans="1:21" x14ac:dyDescent="0.25">
      <c r="A122" s="1" t="s">
        <v>307</v>
      </c>
      <c r="B122" s="2" t="s">
        <v>163</v>
      </c>
      <c r="C122" s="1" t="s">
        <v>25</v>
      </c>
      <c r="D122" s="1" t="s">
        <v>331</v>
      </c>
      <c r="E122" s="1" t="s">
        <v>37</v>
      </c>
      <c r="F122" s="1">
        <v>45854</v>
      </c>
      <c r="G122" s="14" t="s">
        <v>28</v>
      </c>
      <c r="H122" t="s">
        <v>332</v>
      </c>
      <c r="I122" s="2" t="s">
        <v>333</v>
      </c>
      <c r="J122" s="2">
        <v>0.020833333333333332</v>
      </c>
      <c r="K122" s="1">
        <v>0.034722222222222224</v>
      </c>
      <c r="L122" s="1">
        <v>0.05555555555555555</v>
      </c>
      <c r="M122" s="1" t="s">
        <v>22</v>
      </c>
      <c r="N122" s="1" t="s">
        <v>31</v>
      </c>
      <c r="O122" s="1" t="s">
        <v>32</v>
      </c>
      <c r="P122" s="1" t="s">
        <v>47</v>
      </c>
      <c r="Q122" s="1">
        <v>45854</v>
      </c>
      <c r="R122" s="14">
        <v>5</v>
      </c>
      <c r="S122" s="1" t="s">
        <v>22</v>
      </c>
      <c r="T122" s="1" t="s">
        <v>22</v>
      </c>
      <c r="U122" s="1" t="s">
        <v>22</v>
      </c>
    </row>
    <row r="123" spans="1:21" x14ac:dyDescent="0.25">
      <c r="A123" s="1" t="s">
        <v>307</v>
      </c>
      <c r="B123" s="2" t="s">
        <v>334</v>
      </c>
      <c r="C123" s="1" t="s">
        <v>335</v>
      </c>
      <c r="D123" s="1" t="s">
        <v>336</v>
      </c>
      <c r="E123" s="1" t="s">
        <v>27</v>
      </c>
      <c r="F123" s="1">
        <v>45863</v>
      </c>
      <c r="G123" s="14" t="s">
        <v>133</v>
      </c>
      <c r="H123" t="s">
        <v>337</v>
      </c>
      <c r="I123" s="2" t="s">
        <v>338</v>
      </c>
      <c r="J123" s="2">
        <v>0.020833333333333332</v>
      </c>
      <c r="K123" s="1">
        <v>0.034722222222222224</v>
      </c>
      <c r="L123" s="1">
        <v>0.05555555555555555</v>
      </c>
      <c r="M123" s="1" t="s">
        <v>22</v>
      </c>
      <c r="N123" s="1" t="s">
        <v>240</v>
      </c>
      <c r="O123" s="1" t="s">
        <v>32</v>
      </c>
      <c r="P123" s="1" t="s">
        <v>42</v>
      </c>
      <c r="Q123" s="1">
        <v>45863</v>
      </c>
      <c r="R123" s="14">
        <v>5</v>
      </c>
      <c r="S123" s="1" t="s">
        <v>22</v>
      </c>
      <c r="T123" s="1" t="s">
        <v>22</v>
      </c>
      <c r="U123" s="1" t="s">
        <v>22</v>
      </c>
    </row>
    <row r="124" spans="1:21" x14ac:dyDescent="0.25">
      <c r="A124" s="1" t="s">
        <v>307</v>
      </c>
      <c r="B124" s="2" t="s">
        <v>339</v>
      </c>
      <c r="C124" s="1" t="s">
        <v>78</v>
      </c>
      <c r="D124" s="1" t="s">
        <v>340</v>
      </c>
      <c r="E124" s="1" t="s">
        <v>37</v>
      </c>
      <c r="F124" s="1">
        <v>45869</v>
      </c>
      <c r="G124" s="14" t="s">
        <v>38</v>
      </c>
      <c r="H124" t="s">
        <v>341</v>
      </c>
      <c r="I124" s="2" t="s">
        <v>342</v>
      </c>
      <c r="J124" s="2">
        <v>0.006944444444444444</v>
      </c>
      <c r="K124" s="1">
        <v>0.04513888888888889</v>
      </c>
      <c r="L124" s="1">
        <v>0.05208333333333333</v>
      </c>
      <c r="M124" s="1" t="s">
        <v>22</v>
      </c>
      <c r="N124" s="1" t="s">
        <v>240</v>
      </c>
      <c r="O124" s="1" t="s">
        <v>32</v>
      </c>
      <c r="P124" s="1" t="s">
        <v>244</v>
      </c>
      <c r="Q124" s="1">
        <v>45869</v>
      </c>
      <c r="R124" s="14">
        <v>5</v>
      </c>
      <c r="S124" s="1" t="s">
        <v>22</v>
      </c>
      <c r="T124" s="1" t="s">
        <v>22</v>
      </c>
      <c r="U124" s="1" t="s">
        <v>22</v>
      </c>
    </row>
    <row r="125" spans="1:21" x14ac:dyDescent="0.25">
      <c r="A125" s="1" t="s">
        <v>343</v>
      </c>
      <c r="B125" s="2" t="s">
        <v>308</v>
      </c>
      <c r="C125" s="1" t="s">
        <v>309</v>
      </c>
      <c r="D125" s="1" t="s">
        <v>344</v>
      </c>
      <c r="E125" s="1" t="s">
        <v>37</v>
      </c>
      <c r="F125" s="1">
        <v>45870</v>
      </c>
      <c r="G125" s="14" t="s">
        <v>28</v>
      </c>
      <c r="H125" t="s">
        <v>345</v>
      </c>
      <c r="I125" s="2" t="s">
        <v>346</v>
      </c>
      <c r="J125" s="2">
        <v>0.020833333333333332</v>
      </c>
      <c r="K125" s="1">
        <v>0.07291666666666667</v>
      </c>
      <c r="L125" s="1">
        <v>0.09375</v>
      </c>
      <c r="M125" s="1" t="s">
        <v>22</v>
      </c>
      <c r="N125" s="1" t="s">
        <v>347</v>
      </c>
      <c r="O125" s="1" t="s">
        <v>240</v>
      </c>
      <c r="P125" s="1" t="s">
        <v>42</v>
      </c>
      <c r="Q125" s="1">
        <v>45870</v>
      </c>
      <c r="R125" s="14">
        <v>5</v>
      </c>
      <c r="S125" s="1" t="s">
        <v>22</v>
      </c>
      <c r="T125" s="1" t="s">
        <v>22</v>
      </c>
      <c r="U125" s="1" t="s">
        <v>22</v>
      </c>
    </row>
    <row r="126" spans="1:21" x14ac:dyDescent="0.25">
      <c r="A126" s="1" t="s">
        <v>343</v>
      </c>
      <c r="B126" s="2" t="s">
        <v>348</v>
      </c>
      <c r="C126" s="1" t="s">
        <v>78</v>
      </c>
      <c r="D126" s="1" t="s">
        <v>349</v>
      </c>
      <c r="E126" s="1" t="s">
        <v>37</v>
      </c>
      <c r="F126" s="1">
        <v>45874</v>
      </c>
      <c r="G126" s="14" t="s">
        <v>28</v>
      </c>
      <c r="H126" t="s">
        <v>350</v>
      </c>
      <c r="I126" s="2" t="s">
        <v>351</v>
      </c>
      <c r="J126" s="2">
        <v>0.017361111111111112</v>
      </c>
      <c r="K126" s="1">
        <v>0.041666666666666664</v>
      </c>
      <c r="L126" s="1">
        <v>0.059027777777777776</v>
      </c>
      <c r="M126" s="1" t="s">
        <v>22</v>
      </c>
      <c r="N126" s="1" t="s">
        <v>240</v>
      </c>
      <c r="O126" s="1" t="s">
        <v>32</v>
      </c>
      <c r="P126" s="1" t="s">
        <v>244</v>
      </c>
      <c r="Q126" s="1">
        <v>45874</v>
      </c>
      <c r="R126" s="14">
        <v>5</v>
      </c>
      <c r="S126" s="1" t="s">
        <v>22</v>
      </c>
      <c r="T126" s="1" t="s">
        <v>22</v>
      </c>
      <c r="U126" s="1" t="s">
        <v>22</v>
      </c>
    </row>
    <row r="127" spans="1:21" x14ac:dyDescent="0.25">
      <c r="A127" s="1" t="s">
        <v>343</v>
      </c>
      <c r="B127" s="2" t="s">
        <v>113</v>
      </c>
      <c r="C127" s="1" t="s">
        <v>25</v>
      </c>
      <c r="D127" s="1" t="s">
        <v>352</v>
      </c>
      <c r="E127" s="1" t="s">
        <v>37</v>
      </c>
      <c r="F127" s="1">
        <v>45875</v>
      </c>
      <c r="G127" s="14" t="s">
        <v>353</v>
      </c>
      <c r="H127" t="s">
        <v>354</v>
      </c>
      <c r="I127" s="2" t="s">
        <v>355</v>
      </c>
      <c r="J127" s="2">
        <v>0.020833333333333332</v>
      </c>
      <c r="K127" s="1">
        <v>0.03819444444444445</v>
      </c>
      <c r="L127" s="1">
        <v>0.059027777777777776</v>
      </c>
      <c r="M127" s="1" t="s">
        <v>22</v>
      </c>
      <c r="N127" s="1" t="s">
        <v>53</v>
      </c>
      <c r="O127" s="1" t="s">
        <v>240</v>
      </c>
      <c r="P127" s="1" t="s">
        <v>47</v>
      </c>
      <c r="Q127" s="1">
        <v>45875</v>
      </c>
      <c r="R127" s="14">
        <v>5</v>
      </c>
      <c r="S127" s="1" t="s">
        <v>22</v>
      </c>
      <c r="T127" s="1" t="s">
        <v>22</v>
      </c>
      <c r="U127" s="1" t="s">
        <v>22</v>
      </c>
    </row>
    <row r="128" spans="1:21" x14ac:dyDescent="0.25">
      <c r="A128" s="1" t="s">
        <v>343</v>
      </c>
      <c r="B128" s="2" t="s">
        <v>65</v>
      </c>
      <c r="C128" s="1" t="s">
        <v>25</v>
      </c>
      <c r="D128" s="1" t="s">
        <v>356</v>
      </c>
      <c r="E128" s="1" t="s">
        <v>27</v>
      </c>
      <c r="F128" s="1">
        <v>45889</v>
      </c>
      <c r="G128" s="14" t="s">
        <v>28</v>
      </c>
      <c r="H128" t="s">
        <v>357</v>
      </c>
      <c r="I128" s="2" t="s">
        <v>358</v>
      </c>
      <c r="J128" s="2">
        <v>0.020833333333333332</v>
      </c>
      <c r="K128" s="1">
        <v>0.05555555555555555</v>
      </c>
      <c r="L128" s="1">
        <v>0.07638888888888888</v>
      </c>
      <c r="M128" s="1" t="s">
        <v>22</v>
      </c>
      <c r="N128" s="1" t="s">
        <v>240</v>
      </c>
      <c r="O128" s="1" t="s">
        <v>32</v>
      </c>
      <c r="P128" s="1" t="s">
        <v>47</v>
      </c>
      <c r="Q128" s="1">
        <v>45889</v>
      </c>
      <c r="R128" s="14">
        <v>5</v>
      </c>
      <c r="S128" s="1" t="s">
        <v>22</v>
      </c>
      <c r="T128" s="1" t="s">
        <v>22</v>
      </c>
      <c r="U128" s="1" t="s">
        <v>22</v>
      </c>
    </row>
    <row r="129" spans="1:21" x14ac:dyDescent="0.25">
      <c r="A129" s="1" t="s">
        <v>343</v>
      </c>
      <c r="B129" s="2" t="s">
        <v>83</v>
      </c>
      <c r="C129" s="1" t="s">
        <v>78</v>
      </c>
      <c r="D129" s="1" t="s">
        <v>359</v>
      </c>
      <c r="E129" s="1" t="s">
        <v>37</v>
      </c>
      <c r="F129" s="1">
        <v>45891</v>
      </c>
      <c r="G129" s="14" t="s">
        <v>80</v>
      </c>
      <c r="H129" t="s">
        <v>360</v>
      </c>
      <c r="I129" s="2" t="s">
        <v>360</v>
      </c>
      <c r="J129" s="2">
        <v>0.020833333333333332</v>
      </c>
      <c r="K129" s="1">
        <v>0.020833333333333332</v>
      </c>
      <c r="L129" s="1">
        <v>0.041666666666666664</v>
      </c>
      <c r="M129" s="1" t="s">
        <v>22</v>
      </c>
      <c r="N129" s="1" t="s">
        <v>53</v>
      </c>
      <c r="O129" s="1" t="s">
        <v>32</v>
      </c>
      <c r="P129" s="1" t="s">
        <v>42</v>
      </c>
      <c r="Q129" s="1">
        <v>45891</v>
      </c>
      <c r="R129" s="14">
        <v>5</v>
      </c>
      <c r="S129" s="1" t="s">
        <v>22</v>
      </c>
      <c r="T129" s="1" t="s">
        <v>22</v>
      </c>
      <c r="U129" s="1" t="s">
        <v>22</v>
      </c>
    </row>
    <row r="130" spans="1:21" x14ac:dyDescent="0.25">
      <c r="A130" s="1" t="s">
        <v>343</v>
      </c>
      <c r="B130" s="2" t="s">
        <v>339</v>
      </c>
      <c r="C130" s="1" t="s">
        <v>78</v>
      </c>
      <c r="D130" s="1" t="s">
        <v>361</v>
      </c>
      <c r="E130" s="1" t="s">
        <v>37</v>
      </c>
      <c r="F130" s="1">
        <v>45895</v>
      </c>
      <c r="G130" s="14" t="s">
        <v>38</v>
      </c>
      <c r="H130" t="s">
        <v>362</v>
      </c>
      <c r="I130" s="2" t="s">
        <v>363</v>
      </c>
      <c r="J130" s="2">
        <v>0.020833333333333332</v>
      </c>
      <c r="K130" s="1">
        <v>0</v>
      </c>
      <c r="L130" s="1">
        <v>0.020833333333333332</v>
      </c>
      <c r="M130" s="1" t="s">
        <v>22</v>
      </c>
      <c r="N130" s="1" t="s">
        <v>53</v>
      </c>
      <c r="O130" s="1" t="s">
        <v>31</v>
      </c>
      <c r="P130" s="1" t="s">
        <v>42</v>
      </c>
      <c r="Q130" s="1">
        <v>45895</v>
      </c>
      <c r="R130" s="14">
        <v>5</v>
      </c>
      <c r="S130" s="1" t="s">
        <v>22</v>
      </c>
      <c r="T130" s="1" t="s">
        <v>22</v>
      </c>
      <c r="U130" s="1" t="s">
        <v>22</v>
      </c>
    </row>
    <row r="131" spans="1:21" x14ac:dyDescent="0.25">
      <c r="A131" s="1" t="s">
        <v>343</v>
      </c>
      <c r="B131" s="2" t="s">
        <v>258</v>
      </c>
      <c r="C131" s="1" t="s">
        <v>25</v>
      </c>
      <c r="D131" s="1" t="s">
        <v>364</v>
      </c>
      <c r="E131" s="1" t="s">
        <v>27</v>
      </c>
      <c r="F131" s="1">
        <v>45895</v>
      </c>
      <c r="G131" s="14" t="s">
        <v>133</v>
      </c>
      <c r="H131" t="s">
        <v>365</v>
      </c>
      <c r="I131" s="2" t="s">
        <v>366</v>
      </c>
      <c r="J131" s="2">
        <v>0.020833333333333332</v>
      </c>
      <c r="K131" s="1">
        <v>0</v>
      </c>
      <c r="L131" s="1">
        <v>0.020833333333333332</v>
      </c>
      <c r="M131" s="1" t="s">
        <v>22</v>
      </c>
      <c r="N131" s="1" t="s">
        <v>53</v>
      </c>
      <c r="O131" s="1" t="s">
        <v>367</v>
      </c>
      <c r="P131" s="1" t="s">
        <v>42</v>
      </c>
      <c r="Q131" s="1">
        <v>45895</v>
      </c>
      <c r="R131" s="14">
        <v>5</v>
      </c>
      <c r="S131" s="1" t="s">
        <v>22</v>
      </c>
      <c r="T131" s="1" t="s">
        <v>22</v>
      </c>
      <c r="U131" s="1" t="s">
        <v>22</v>
      </c>
    </row>
    <row r="132" spans="1:21" x14ac:dyDescent="0.25">
      <c r="A132" s="1" t="s">
        <v>343</v>
      </c>
      <c r="B132" s="2" t="s">
        <v>113</v>
      </c>
      <c r="C132" s="1" t="s">
        <v>25</v>
      </c>
      <c r="D132" s="1" t="s">
        <v>368</v>
      </c>
      <c r="E132" s="1" t="s">
        <v>27</v>
      </c>
      <c r="F132" s="1">
        <v>45897</v>
      </c>
      <c r="G132" s="14" t="s">
        <v>133</v>
      </c>
      <c r="H132" t="s">
        <v>369</v>
      </c>
      <c r="I132" s="2" t="s">
        <v>370</v>
      </c>
      <c r="J132" s="2">
        <v>0.020833333333333332</v>
      </c>
      <c r="K132" s="1">
        <v>0.020833333333333332</v>
      </c>
      <c r="L132" s="1">
        <v>0.041666666666666664</v>
      </c>
      <c r="M132" s="1" t="s">
        <v>22</v>
      </c>
      <c r="N132" s="1" t="s">
        <v>53</v>
      </c>
      <c r="O132" s="1" t="s">
        <v>32</v>
      </c>
      <c r="P132" s="1" t="s">
        <v>47</v>
      </c>
      <c r="Q132" s="1">
        <v>45897</v>
      </c>
      <c r="R132" s="14">
        <v>5</v>
      </c>
      <c r="S132" s="1" t="s">
        <v>22</v>
      </c>
      <c r="T132" s="1" t="s">
        <v>22</v>
      </c>
      <c r="U132" s="1" t="s">
        <v>22</v>
      </c>
    </row>
    <row r="133" spans="1:21" x14ac:dyDescent="0.25">
      <c r="A133" s="1" t="s">
        <v>343</v>
      </c>
      <c r="B133" s="2" t="s">
        <v>77</v>
      </c>
      <c r="C133" s="1" t="s">
        <v>78</v>
      </c>
      <c r="D133" s="1" t="s">
        <v>371</v>
      </c>
      <c r="E133" s="1" t="s">
        <v>37</v>
      </c>
      <c r="F133" s="1">
        <v>45897</v>
      </c>
      <c r="G133" s="14" t="s">
        <v>38</v>
      </c>
      <c r="H133" t="s">
        <v>372</v>
      </c>
      <c r="I133" s="2" t="s">
        <v>373</v>
      </c>
      <c r="J133" s="2">
        <v>0.020833333333333332</v>
      </c>
      <c r="K133" s="1">
        <v>0.034722222222222224</v>
      </c>
      <c r="L133" s="1">
        <v>0.05555555555555555</v>
      </c>
      <c r="M133" s="1" t="s">
        <v>22</v>
      </c>
      <c r="N133" s="1" t="s">
        <v>53</v>
      </c>
      <c r="O133" s="1" t="s">
        <v>32</v>
      </c>
      <c r="P133" s="1" t="s">
        <v>42</v>
      </c>
      <c r="Q133" s="1">
        <v>45897</v>
      </c>
      <c r="R133" s="14">
        <v>5</v>
      </c>
      <c r="S133" s="1" t="s">
        <v>22</v>
      </c>
      <c r="T133" s="1" t="s">
        <v>22</v>
      </c>
      <c r="U133" s="1" t="s">
        <v>22</v>
      </c>
    </row>
    <row r="134" spans="1:21" x14ac:dyDescent="0.25">
      <c r="A134" s="1" t="s">
        <v>374</v>
      </c>
      <c r="B134" s="2" t="s">
        <v>91</v>
      </c>
      <c r="C134" s="1" t="s">
        <v>25</v>
      </c>
      <c r="D134" s="1" t="s">
        <v>375</v>
      </c>
      <c r="E134" s="1" t="s">
        <v>27</v>
      </c>
      <c r="F134" s="1">
        <v>45902</v>
      </c>
      <c r="G134" s="14" t="s">
        <v>28</v>
      </c>
      <c r="H134" t="s">
        <v>376</v>
      </c>
      <c r="I134" s="2" t="s">
        <v>377</v>
      </c>
      <c r="J134" s="2">
        <v>0.020833333333333332</v>
      </c>
      <c r="K134" s="1">
        <v>0.0625</v>
      </c>
      <c r="L134" s="1">
        <v>0.08333333333333333</v>
      </c>
      <c r="M134" s="1" t="s">
        <v>22</v>
      </c>
      <c r="N134" s="1" t="s">
        <v>378</v>
      </c>
      <c r="O134" s="1" t="s">
        <v>379</v>
      </c>
      <c r="P134" s="1" t="s">
        <v>47</v>
      </c>
      <c r="Q134" s="1">
        <v>45902</v>
      </c>
      <c r="R134" s="14">
        <v>5</v>
      </c>
      <c r="S134" s="1" t="s">
        <v>22</v>
      </c>
      <c r="T134" s="1" t="s">
        <v>22</v>
      </c>
      <c r="U134" s="1" t="s">
        <v>22</v>
      </c>
    </row>
    <row r="135" spans="1:21" x14ac:dyDescent="0.25">
      <c r="A135" s="1" t="s">
        <v>374</v>
      </c>
      <c r="B135" s="2" t="s">
        <v>185</v>
      </c>
      <c r="C135" s="1" t="s">
        <v>186</v>
      </c>
      <c r="D135" s="1" t="s">
        <v>380</v>
      </c>
      <c r="E135" s="1" t="s">
        <v>27</v>
      </c>
      <c r="F135" s="1">
        <v>45908</v>
      </c>
      <c r="G135" s="14" t="s">
        <v>38</v>
      </c>
      <c r="H135" t="s">
        <v>381</v>
      </c>
      <c r="I135" s="2" t="s">
        <v>381</v>
      </c>
      <c r="J135" s="2">
        <v>0.03125</v>
      </c>
      <c r="K135" s="1">
        <v>0.041666666666666664</v>
      </c>
      <c r="L135" s="1">
        <v>0.07291666666666666</v>
      </c>
      <c r="M135" s="1" t="s">
        <v>22</v>
      </c>
      <c r="N135" s="1" t="s">
        <v>31</v>
      </c>
      <c r="O135" s="1" t="s">
        <v>240</v>
      </c>
      <c r="P135" s="1" t="s">
        <v>47</v>
      </c>
      <c r="Q135" s="1">
        <v>45908</v>
      </c>
      <c r="R135" s="14">
        <v>5</v>
      </c>
      <c r="S135" s="1" t="s">
        <v>22</v>
      </c>
      <c r="T135" s="1" t="s">
        <v>22</v>
      </c>
      <c r="U135" s="1" t="s">
        <v>22</v>
      </c>
    </row>
    <row r="136" spans="1:21" x14ac:dyDescent="0.25">
      <c r="A136" s="1" t="s">
        <v>374</v>
      </c>
      <c r="B136" s="2" t="s">
        <v>65</v>
      </c>
      <c r="C136" s="1" t="s">
        <v>25</v>
      </c>
      <c r="D136" s="1" t="s">
        <v>382</v>
      </c>
      <c r="E136" s="1" t="s">
        <v>27</v>
      </c>
      <c r="F136" s="1">
        <v>45911</v>
      </c>
      <c r="G136" s="14" t="s">
        <v>28</v>
      </c>
      <c r="H136" t="s">
        <v>383</v>
      </c>
      <c r="I136" s="2" t="s">
        <v>384</v>
      </c>
      <c r="J136" s="2">
        <v>0.020833333333333332</v>
      </c>
      <c r="K136" s="1">
        <v>0.041666666666666664</v>
      </c>
      <c r="L136" s="1">
        <v>0.0625</v>
      </c>
      <c r="M136" s="1" t="s">
        <v>22</v>
      </c>
      <c r="N136" s="1" t="s">
        <v>385</v>
      </c>
      <c r="O136" s="1" t="s">
        <v>240</v>
      </c>
      <c r="P136" s="1" t="s">
        <v>47</v>
      </c>
      <c r="Q136" s="1">
        <v>45911</v>
      </c>
      <c r="R136" s="14">
        <v>5</v>
      </c>
      <c r="S136" s="1" t="s">
        <v>22</v>
      </c>
      <c r="T136" s="1" t="s">
        <v>22</v>
      </c>
      <c r="U136" s="1" t="s">
        <v>22</v>
      </c>
    </row>
    <row r="137" spans="1:21" x14ac:dyDescent="0.25">
      <c r="A137" s="1" t="s">
        <v>374</v>
      </c>
      <c r="B137" s="2" t="s">
        <v>146</v>
      </c>
      <c r="C137" s="1" t="s">
        <v>147</v>
      </c>
      <c r="D137" s="1" t="s">
        <v>386</v>
      </c>
      <c r="E137" s="1" t="s">
        <v>27</v>
      </c>
      <c r="F137" s="1">
        <v>45912</v>
      </c>
      <c r="G137" s="14" t="s">
        <v>50</v>
      </c>
      <c r="H137" t="s">
        <v>387</v>
      </c>
      <c r="I137" s="2" t="s">
        <v>387</v>
      </c>
      <c r="J137" s="2">
        <v>0.020833333333333332</v>
      </c>
      <c r="K137" s="1">
        <v>0.034722222222222224</v>
      </c>
      <c r="L137" s="1">
        <v>0.05555555555555555</v>
      </c>
      <c r="M137" s="1" t="s">
        <v>22</v>
      </c>
      <c r="N137" s="1" t="s">
        <v>53</v>
      </c>
      <c r="O137" s="1" t="s">
        <v>240</v>
      </c>
      <c r="P137" s="1" t="s">
        <v>47</v>
      </c>
      <c r="Q137" s="1">
        <v>45912</v>
      </c>
      <c r="R137" s="14">
        <v>5</v>
      </c>
      <c r="S137" s="1" t="s">
        <v>22</v>
      </c>
      <c r="T137" s="1" t="s">
        <v>22</v>
      </c>
      <c r="U137" s="1" t="s">
        <v>22</v>
      </c>
    </row>
    <row r="138" spans="1:21" x14ac:dyDescent="0.25">
      <c r="A138" s="1" t="s">
        <v>374</v>
      </c>
      <c r="B138" s="2" t="s">
        <v>308</v>
      </c>
      <c r="C138" s="1" t="s">
        <v>309</v>
      </c>
      <c r="D138" s="1" t="s">
        <v>388</v>
      </c>
      <c r="E138" s="1" t="s">
        <v>37</v>
      </c>
      <c r="F138" s="1">
        <v>45913</v>
      </c>
      <c r="G138" s="14" t="s">
        <v>28</v>
      </c>
      <c r="H138" t="s">
        <v>389</v>
      </c>
      <c r="I138" s="2" t="s">
        <v>389</v>
      </c>
      <c r="J138" s="2">
        <v>0.020833333333333332</v>
      </c>
      <c r="K138" s="1">
        <v>0.034722222222222224</v>
      </c>
      <c r="L138" s="1">
        <v>0.05555555555555555</v>
      </c>
      <c r="M138" s="1" t="s">
        <v>22</v>
      </c>
      <c r="N138" s="1" t="s">
        <v>31</v>
      </c>
      <c r="O138" s="1" t="s">
        <v>32</v>
      </c>
      <c r="P138" s="1" t="s">
        <v>42</v>
      </c>
      <c r="Q138" s="1">
        <v>45913</v>
      </c>
      <c r="R138" s="14">
        <v>5</v>
      </c>
      <c r="S138" s="1" t="s">
        <v>22</v>
      </c>
      <c r="T138" s="1" t="s">
        <v>22</v>
      </c>
      <c r="U138" s="1" t="s">
        <v>22</v>
      </c>
    </row>
    <row r="139" spans="1:21" x14ac:dyDescent="0.25">
      <c r="A139" s="1" t="s">
        <v>374</v>
      </c>
      <c r="B139" s="2" t="s">
        <v>35</v>
      </c>
      <c r="C139" s="1" t="s">
        <v>25</v>
      </c>
      <c r="D139" s="1" t="s">
        <v>390</v>
      </c>
      <c r="E139" s="1" t="s">
        <v>27</v>
      </c>
      <c r="F139" s="1">
        <v>45916</v>
      </c>
      <c r="G139" s="14" t="s">
        <v>38</v>
      </c>
      <c r="H139" t="s">
        <v>391</v>
      </c>
      <c r="I139" s="2" t="s">
        <v>392</v>
      </c>
      <c r="J139" s="2">
        <v>0.041666666666666664</v>
      </c>
      <c r="K139" s="1">
        <v>0.04513888888888889</v>
      </c>
      <c r="L139" s="1">
        <v>0.08680555555555555</v>
      </c>
      <c r="M139" s="1" t="s">
        <v>22</v>
      </c>
      <c r="N139" s="1" t="s">
        <v>31</v>
      </c>
      <c r="O139" s="1" t="s">
        <v>32</v>
      </c>
      <c r="P139" s="1" t="s">
        <v>42</v>
      </c>
      <c r="Q139" s="1">
        <v>45916</v>
      </c>
      <c r="R139" s="14">
        <v>5</v>
      </c>
      <c r="S139" s="1" t="s">
        <v>22</v>
      </c>
      <c r="T139" s="1" t="s">
        <v>22</v>
      </c>
      <c r="U139" s="1" t="s">
        <v>22</v>
      </c>
    </row>
    <row r="140" spans="1:21" x14ac:dyDescent="0.25">
      <c r="A140" s="1" t="s">
        <v>374</v>
      </c>
      <c r="B140" s="2" t="s">
        <v>77</v>
      </c>
      <c r="C140" s="1" t="s">
        <v>78</v>
      </c>
      <c r="D140" s="1" t="s">
        <v>371</v>
      </c>
      <c r="E140" s="1" t="s">
        <v>37</v>
      </c>
      <c r="F140" s="1">
        <v>45917</v>
      </c>
      <c r="G140" s="14" t="s">
        <v>28</v>
      </c>
      <c r="H140" t="s">
        <v>393</v>
      </c>
      <c r="I140" s="2" t="s">
        <v>394</v>
      </c>
      <c r="J140" s="2">
        <v>0.03125</v>
      </c>
      <c r="K140" s="1">
        <v>0.06944444444444445</v>
      </c>
      <c r="L140" s="1">
        <v>0.10069444444444445</v>
      </c>
      <c r="M140" s="1" t="s">
        <v>22</v>
      </c>
      <c r="N140" s="1" t="s">
        <v>31</v>
      </c>
      <c r="O140" s="1" t="s">
        <v>240</v>
      </c>
      <c r="P140" s="1" t="s">
        <v>42</v>
      </c>
      <c r="Q140" s="1">
        <v>45917</v>
      </c>
      <c r="R140" s="14">
        <v>5</v>
      </c>
      <c r="S140" s="1" t="s">
        <v>22</v>
      </c>
      <c r="T140" s="1" t="s">
        <v>22</v>
      </c>
      <c r="U140" s="1" t="s">
        <v>22</v>
      </c>
    </row>
    <row r="141" spans="1:21" x14ac:dyDescent="0.25">
      <c r="A141" s="1" t="s">
        <v>374</v>
      </c>
      <c r="B141" s="2" t="s">
        <v>334</v>
      </c>
      <c r="C141" s="1" t="s">
        <v>335</v>
      </c>
      <c r="D141" s="1" t="s">
        <v>395</v>
      </c>
      <c r="E141" s="1" t="s">
        <v>37</v>
      </c>
      <c r="F141" s="1">
        <v>45924</v>
      </c>
      <c r="G141" s="14" t="s">
        <v>133</v>
      </c>
      <c r="H141" t="s">
        <v>396</v>
      </c>
      <c r="I141" s="2" t="s">
        <v>396</v>
      </c>
      <c r="J141" s="2">
        <v>0.006944444444444444</v>
      </c>
      <c r="K141" s="1">
        <v>0.020833333333333332</v>
      </c>
      <c r="L141" s="1">
        <v>0.027777777777777776</v>
      </c>
      <c r="M141" s="1" t="s">
        <v>22</v>
      </c>
      <c r="N141" s="1" t="s">
        <v>240</v>
      </c>
      <c r="O141" s="1" t="s">
        <v>32</v>
      </c>
      <c r="P141" s="1" t="s">
        <v>42</v>
      </c>
      <c r="Q141" s="1">
        <v>45924</v>
      </c>
      <c r="R141" s="14">
        <v>5</v>
      </c>
      <c r="S141" s="1" t="s">
        <v>22</v>
      </c>
      <c r="T141" s="1" t="s">
        <v>22</v>
      </c>
      <c r="U141" s="1" t="s">
        <v>22</v>
      </c>
    </row>
    <row r="142" spans="1:21" x14ac:dyDescent="0.25">
      <c r="A142" s="1" t="s">
        <v>374</v>
      </c>
      <c r="B142" s="2" t="s">
        <v>65</v>
      </c>
      <c r="C142" s="1" t="s">
        <v>25</v>
      </c>
      <c r="D142" s="1" t="s">
        <v>397</v>
      </c>
      <c r="E142" s="1" t="s">
        <v>27</v>
      </c>
      <c r="F142" s="1">
        <v>45925</v>
      </c>
      <c r="G142" s="14" t="s">
        <v>28</v>
      </c>
      <c r="H142" t="s">
        <v>398</v>
      </c>
      <c r="I142" s="2" t="s">
        <v>398</v>
      </c>
      <c r="J142" s="2">
        <v>0.020833333333333332</v>
      </c>
      <c r="K142" s="1">
        <v>0.041666666666666664</v>
      </c>
      <c r="L142" s="1">
        <v>0.0625</v>
      </c>
      <c r="M142" s="1" t="s">
        <v>22</v>
      </c>
      <c r="N142" s="1" t="s">
        <v>378</v>
      </c>
      <c r="O142" s="1" t="s">
        <v>379</v>
      </c>
      <c r="P142" s="1" t="s">
        <v>47</v>
      </c>
      <c r="Q142" s="1">
        <v>45925</v>
      </c>
      <c r="R142" s="14">
        <v>5</v>
      </c>
      <c r="S142" s="1" t="s">
        <v>22</v>
      </c>
      <c r="T142" s="1" t="s">
        <v>22</v>
      </c>
      <c r="U142" s="1" t="s">
        <v>22</v>
      </c>
    </row>
    <row r="143" spans="1:21" x14ac:dyDescent="0.25">
      <c r="A143" s="1" t="s">
        <v>399</v>
      </c>
      <c r="B143" s="2" t="s">
        <v>60</v>
      </c>
      <c r="C143" s="1" t="s">
        <v>61</v>
      </c>
      <c r="D143" s="1" t="s">
        <v>400</v>
      </c>
      <c r="E143" s="1" t="s">
        <v>37</v>
      </c>
      <c r="F143" s="1">
        <v>45938</v>
      </c>
      <c r="G143" s="14" t="s">
        <v>80</v>
      </c>
      <c r="H143" t="s">
        <v>401</v>
      </c>
      <c r="I143" s="2" t="s">
        <v>402</v>
      </c>
      <c r="J143" s="2">
        <v>0.006944444444444444</v>
      </c>
      <c r="K143" s="1">
        <v>0.020833333333333332</v>
      </c>
      <c r="L143" s="1">
        <v>0.027777777777777776</v>
      </c>
      <c r="M143" s="1" t="s">
        <v>22</v>
      </c>
      <c r="N143" s="1" t="s">
        <v>240</v>
      </c>
      <c r="O143" s="1" t="s">
        <v>32</v>
      </c>
      <c r="P143" s="1" t="s">
        <v>47</v>
      </c>
      <c r="Q143" s="1">
        <v>45938</v>
      </c>
      <c r="R143" s="14">
        <v>5</v>
      </c>
      <c r="S143" s="1" t="s">
        <v>22</v>
      </c>
      <c r="T143" s="1" t="s">
        <v>22</v>
      </c>
      <c r="U143" s="1" t="s">
        <v>22</v>
      </c>
    </row>
    <row r="144" spans="1:21" x14ac:dyDescent="0.25">
      <c r="A144" s="1" t="s">
        <v>399</v>
      </c>
      <c r="B144" s="2" t="s">
        <v>288</v>
      </c>
      <c r="C144" s="1" t="s">
        <v>289</v>
      </c>
      <c r="D144" s="1" t="s">
        <v>403</v>
      </c>
      <c r="E144" s="1" t="s">
        <v>27</v>
      </c>
      <c r="F144" s="1">
        <v>45946</v>
      </c>
      <c r="G144" s="14" t="s">
        <v>38</v>
      </c>
      <c r="H144" t="s">
        <v>404</v>
      </c>
      <c r="I144" s="2" t="s">
        <v>405</v>
      </c>
      <c r="J144" s="2">
        <v>0.020833333333333332</v>
      </c>
      <c r="K144" s="1">
        <v>0.020833333333333332</v>
      </c>
      <c r="L144" s="1">
        <v>0.041666666666666664</v>
      </c>
      <c r="M144" s="1" t="s">
        <v>22</v>
      </c>
      <c r="N144" s="1" t="s">
        <v>53</v>
      </c>
      <c r="O144" s="1" t="s">
        <v>32</v>
      </c>
      <c r="P144" s="1" t="s">
        <v>112</v>
      </c>
      <c r="Q144" s="1">
        <v>45946</v>
      </c>
      <c r="R144" s="14">
        <v>5</v>
      </c>
      <c r="S144" s="1" t="s">
        <v>22</v>
      </c>
      <c r="T144" s="1" t="s">
        <v>22</v>
      </c>
      <c r="U144" s="1" t="s">
        <v>22</v>
      </c>
    </row>
    <row r="145" spans="1:21" x14ac:dyDescent="0.25">
      <c r="A145" s="1" t="s">
        <v>399</v>
      </c>
      <c r="B145" s="2" t="s">
        <v>406</v>
      </c>
      <c r="C145" s="1" t="s">
        <v>78</v>
      </c>
      <c r="D145" s="1" t="s">
        <v>407</v>
      </c>
      <c r="E145" s="1" t="s">
        <v>37</v>
      </c>
      <c r="F145" s="1">
        <v>45951</v>
      </c>
      <c r="G145" s="14" t="s">
        <v>80</v>
      </c>
      <c r="H145" t="s">
        <v>408</v>
      </c>
      <c r="I145" s="2" t="s">
        <v>409</v>
      </c>
      <c r="J145" s="2">
        <v>0.010416666666666666</v>
      </c>
      <c r="K145" s="1">
        <v>0.027777777777777776</v>
      </c>
      <c r="L145" s="1">
        <v>0.03819444444444444</v>
      </c>
      <c r="M145" s="1" t="s">
        <v>22</v>
      </c>
      <c r="N145" s="1" t="s">
        <v>240</v>
      </c>
      <c r="O145" s="1" t="s">
        <v>32</v>
      </c>
      <c r="P145" s="1" t="s">
        <v>42</v>
      </c>
      <c r="Q145" s="1">
        <v>45951</v>
      </c>
      <c r="R145" s="14">
        <v>5</v>
      </c>
      <c r="S145" s="1" t="s">
        <v>22</v>
      </c>
      <c r="T145" s="1" t="s">
        <v>22</v>
      </c>
      <c r="U145" s="1" t="s">
        <v>22</v>
      </c>
    </row>
    <row r="146" spans="1:21" x14ac:dyDescent="0.25">
      <c r="A146" s="1" t="s">
        <v>410</v>
      </c>
      <c r="B146" s="2" t="s">
        <v>411</v>
      </c>
      <c r="C146" s="1" t="s">
        <v>78</v>
      </c>
      <c r="D146" s="1" t="s">
        <v>412</v>
      </c>
      <c r="E146" s="1" t="s">
        <v>27</v>
      </c>
      <c r="F146" s="1">
        <v>NaN</v>
      </c>
      <c r="G146" s="14" t="s">
        <v>74</v>
      </c>
      <c r="H146" t="s">
        <v>413</v>
      </c>
      <c r="I146" s="2" t="s">
        <v>414</v>
      </c>
      <c r="J146" s="2">
        <v>0.020833333333333332</v>
      </c>
      <c r="K146" s="1">
        <v>0.052083333333333336</v>
      </c>
      <c r="L146" s="1">
        <v>0.07291666666666667</v>
      </c>
      <c r="M146" s="1" t="s">
        <v>22</v>
      </c>
      <c r="N146" s="1" t="s">
        <v>31</v>
      </c>
      <c r="O146" s="1" t="s">
        <v>240</v>
      </c>
      <c r="P146" s="1" t="s">
        <v>42</v>
      </c>
      <c r="Q146" s="1">
        <v>45951</v>
      </c>
      <c r="R146" s="14">
        <v>5</v>
      </c>
      <c r="S146" s="1" t="s">
        <v>22</v>
      </c>
      <c r="T146" s="1" t="s">
        <v>22</v>
      </c>
      <c r="U146" s="1" t="s">
        <v>22</v>
      </c>
    </row>
    <row r="147" spans="1:21" x14ac:dyDescent="0.25">
      <c r="A147" s="1" t="s">
        <v>399</v>
      </c>
      <c r="B147" s="2" t="s">
        <v>258</v>
      </c>
      <c r="C147" s="1" t="s">
        <v>25</v>
      </c>
      <c r="D147" s="1" t="s">
        <v>415</v>
      </c>
      <c r="E147" s="1" t="s">
        <v>27</v>
      </c>
      <c r="F147" s="1">
        <v>45947</v>
      </c>
      <c r="G147" s="14" t="s">
        <v>28</v>
      </c>
      <c r="H147" t="s">
        <v>416</v>
      </c>
      <c r="I147" s="2" t="s">
        <v>417</v>
      </c>
      <c r="J147" s="2">
        <v>0.034722222222222224</v>
      </c>
      <c r="K147" s="1">
        <v>0.034722222222222224</v>
      </c>
      <c r="L147" s="1">
        <v>0.06944444444444445</v>
      </c>
      <c r="M147" s="1" t="s">
        <v>22</v>
      </c>
      <c r="N147" s="1" t="s">
        <v>378</v>
      </c>
      <c r="O147" s="1" t="s">
        <v>240</v>
      </c>
      <c r="P147" s="1" t="s">
        <v>42</v>
      </c>
      <c r="Q147" s="1">
        <v>45951</v>
      </c>
      <c r="R147" s="14">
        <v>5</v>
      </c>
      <c r="S147" s="1" t="s">
        <v>22</v>
      </c>
      <c r="T147" s="1" t="s">
        <v>22</v>
      </c>
      <c r="U147" s="1" t="s">
        <v>22</v>
      </c>
    </row>
    <row r="148" spans="1:21" x14ac:dyDescent="0.25">
      <c r="A148" s="1" t="s">
        <v>399</v>
      </c>
      <c r="B148" s="2" t="s">
        <v>284</v>
      </c>
      <c r="C148" s="1" t="s">
        <v>285</v>
      </c>
      <c r="D148" s="1" t="s">
        <v>418</v>
      </c>
      <c r="E148" s="1" t="s">
        <v>27</v>
      </c>
      <c r="F148" s="1">
        <v>45954</v>
      </c>
      <c r="G148" s="14" t="s">
        <v>28</v>
      </c>
      <c r="H148" t="s">
        <v>419</v>
      </c>
      <c r="I148" s="2" t="s">
        <v>420</v>
      </c>
      <c r="J148" s="2">
        <v>0.09375</v>
      </c>
      <c r="K148" s="1" t="s">
        <v>22</v>
      </c>
      <c r="L148" s="1">
        <v>0.09375</v>
      </c>
      <c r="M148" s="1" t="s">
        <v>22</v>
      </c>
      <c r="N148" s="1" t="s">
        <v>31</v>
      </c>
      <c r="O148" s="1" t="s">
        <v>240</v>
      </c>
      <c r="P148" s="1" t="s">
        <v>47</v>
      </c>
      <c r="Q148" s="1">
        <v>45954</v>
      </c>
      <c r="R148" s="14">
        <v>4</v>
      </c>
      <c r="S148" s="1" t="s">
        <v>22</v>
      </c>
      <c r="T148" s="1" t="s">
        <v>22</v>
      </c>
      <c r="U148" s="1" t="s">
        <v>22</v>
      </c>
    </row>
    <row r="149" spans="1:21" x14ac:dyDescent="0.25">
      <c r="A149" s="1" t="s">
        <v>399</v>
      </c>
      <c r="B149" s="2" t="s">
        <v>199</v>
      </c>
      <c r="C149" s="1" t="s">
        <v>200</v>
      </c>
      <c r="D149" s="1" t="s">
        <v>421</v>
      </c>
      <c r="E149" s="1" t="s">
        <v>37</v>
      </c>
      <c r="F149" s="1">
        <v>45957</v>
      </c>
      <c r="G149" s="14" t="s">
        <v>38</v>
      </c>
      <c r="H149" t="s">
        <v>422</v>
      </c>
      <c r="I149" s="2" t="s">
        <v>423</v>
      </c>
      <c r="J149" s="2">
        <v>0.041666666666666664</v>
      </c>
      <c r="K149" s="1">
        <v>0.041666666666666664</v>
      </c>
      <c r="L149" s="1">
        <v>0.08333333333333333</v>
      </c>
      <c r="M149" s="1" t="s">
        <v>22</v>
      </c>
      <c r="N149" s="1" t="s">
        <v>385</v>
      </c>
      <c r="O149" s="1" t="s">
        <v>32</v>
      </c>
      <c r="P149" s="1" t="s">
        <v>42</v>
      </c>
      <c r="Q149" s="1">
        <v>45957</v>
      </c>
      <c r="R149" s="14">
        <v>5</v>
      </c>
      <c r="S149" s="1" t="s">
        <v>22</v>
      </c>
      <c r="T149" s="1" t="s">
        <v>22</v>
      </c>
      <c r="U149" s="1" t="s">
        <v>22</v>
      </c>
    </row>
    <row r="150" spans="1:21" x14ac:dyDescent="0.25">
      <c r="A150" s="1" t="s">
        <v>399</v>
      </c>
      <c r="B150" s="2" t="s">
        <v>113</v>
      </c>
      <c r="C150" s="1" t="s">
        <v>25</v>
      </c>
      <c r="D150" s="1" t="s">
        <v>368</v>
      </c>
      <c r="E150" s="1" t="s">
        <v>37</v>
      </c>
      <c r="F150" s="1">
        <v>45958</v>
      </c>
      <c r="G150" s="14" t="s">
        <v>424</v>
      </c>
      <c r="H150" t="s">
        <v>425</v>
      </c>
      <c r="I150" s="2" t="s">
        <v>426</v>
      </c>
      <c r="J150" s="2">
        <v>0.013888888888888888</v>
      </c>
      <c r="K150" s="1">
        <v>0.03125</v>
      </c>
      <c r="L150" s="1">
        <v>0.04513888888888889</v>
      </c>
      <c r="M150" s="1" t="s">
        <v>22</v>
      </c>
      <c r="N150" s="1" t="s">
        <v>385</v>
      </c>
      <c r="O150" s="1" t="s">
        <v>240</v>
      </c>
      <c r="P150" s="1" t="s">
        <v>47</v>
      </c>
      <c r="Q150" s="1">
        <v>45958</v>
      </c>
      <c r="R150" s="14">
        <v>4</v>
      </c>
      <c r="S150" s="1" t="s">
        <v>22</v>
      </c>
      <c r="T150" s="1" t="s">
        <v>22</v>
      </c>
      <c r="U150" s="1" t="s">
        <v>22</v>
      </c>
    </row>
    <row r="151" spans="1:21" x14ac:dyDescent="0.25">
      <c r="A151" s="1" t="s">
        <v>399</v>
      </c>
      <c r="B151" s="2" t="s">
        <v>118</v>
      </c>
      <c r="C151" s="1" t="s">
        <v>25</v>
      </c>
      <c r="D151" s="1" t="s">
        <v>427</v>
      </c>
      <c r="E151" s="1" t="s">
        <v>37</v>
      </c>
      <c r="F151" s="1">
        <v>45961</v>
      </c>
      <c r="G151" s="14" t="s">
        <v>28</v>
      </c>
      <c r="H151" t="s">
        <v>428</v>
      </c>
      <c r="I151" s="2" t="s">
        <v>429</v>
      </c>
      <c r="J151" s="2">
        <v>0.013888888888888888</v>
      </c>
      <c r="K151" s="1">
        <v>0.034722222222222224</v>
      </c>
      <c r="L151" s="1">
        <v>0.04861111111111111</v>
      </c>
      <c r="M151" s="1" t="s">
        <v>22</v>
      </c>
      <c r="N151" s="1" t="s">
        <v>31</v>
      </c>
      <c r="O151" s="1" t="s">
        <v>240</v>
      </c>
      <c r="P151" s="1" t="s">
        <v>47</v>
      </c>
      <c r="Q151" s="1">
        <v>45961</v>
      </c>
      <c r="R151" s="14">
        <v>5</v>
      </c>
      <c r="S151" s="1" t="s">
        <v>22</v>
      </c>
      <c r="T151" s="1" t="s">
        <v>22</v>
      </c>
      <c r="U151" s="1" t="s">
        <v>22</v>
      </c>
    </row>
    <row r="152" spans="1:21" x14ac:dyDescent="0.25">
      <c r="A152" s="1" t="s">
        <v>430</v>
      </c>
      <c r="B152" s="2" t="s">
        <v>113</v>
      </c>
      <c r="C152" s="1" t="s">
        <v>25</v>
      </c>
      <c r="D152" s="1" t="s">
        <v>431</v>
      </c>
      <c r="E152" s="1" t="s">
        <v>37</v>
      </c>
      <c r="F152" s="1">
        <v>45966</v>
      </c>
      <c r="G152" s="14" t="s">
        <v>38</v>
      </c>
      <c r="H152" t="s">
        <v>432</v>
      </c>
      <c r="I152" s="2" t="s">
        <v>433</v>
      </c>
      <c r="J152" s="2">
        <v>0.006944444444444444</v>
      </c>
      <c r="K152" s="1">
        <v>0.041666666666666664</v>
      </c>
      <c r="L152" s="1">
        <v>0.048611111111111105</v>
      </c>
      <c r="M152" s="1" t="s">
        <v>22</v>
      </c>
      <c r="N152" s="1" t="s">
        <v>53</v>
      </c>
      <c r="O152" s="1" t="s">
        <v>240</v>
      </c>
      <c r="P152" s="1" t="s">
        <v>47</v>
      </c>
      <c r="Q152" s="1">
        <v>45966</v>
      </c>
      <c r="R152" s="14">
        <v>5</v>
      </c>
      <c r="S152" s="1" t="s">
        <v>22</v>
      </c>
      <c r="T152" s="1" t="s">
        <v>22</v>
      </c>
      <c r="U152" s="1" t="s">
        <v>22</v>
      </c>
    </row>
    <row r="153" spans="1:21" x14ac:dyDescent="0.25">
      <c r="A153" s="1" t="s">
        <v>430</v>
      </c>
      <c r="B153" s="2" t="s">
        <v>434</v>
      </c>
      <c r="C153" s="1" t="s">
        <v>78</v>
      </c>
      <c r="D153" s="1" t="s">
        <v>435</v>
      </c>
      <c r="E153" s="1" t="s">
        <v>27</v>
      </c>
      <c r="F153" s="1">
        <v>45968</v>
      </c>
      <c r="G153" s="14" t="s">
        <v>38</v>
      </c>
      <c r="H153" t="s">
        <v>436</v>
      </c>
      <c r="I153" s="2" t="s">
        <v>437</v>
      </c>
      <c r="J153" s="2">
        <v>0.013888888888888888</v>
      </c>
      <c r="K153" s="1">
        <v>0.041666666666666664</v>
      </c>
      <c r="L153" s="1">
        <v>0.05555555555555555</v>
      </c>
      <c r="M153" s="1" t="s">
        <v>22</v>
      </c>
      <c r="N153" s="1" t="s">
        <v>54</v>
      </c>
      <c r="O153" s="1" t="s">
        <v>240</v>
      </c>
      <c r="P153" s="1" t="s">
        <v>42</v>
      </c>
      <c r="Q153" s="1">
        <v>45969</v>
      </c>
      <c r="R153" s="14">
        <v>5</v>
      </c>
      <c r="S153" s="1" t="s">
        <v>22</v>
      </c>
      <c r="T153" s="1" t="s">
        <v>22</v>
      </c>
      <c r="U153" s="1" t="s">
        <v>22</v>
      </c>
    </row>
    <row r="154" spans="1:21" x14ac:dyDescent="0.25">
      <c r="A154" s="1" t="s">
        <v>430</v>
      </c>
      <c r="B154" s="2" t="s">
        <v>35</v>
      </c>
      <c r="C154" s="1" t="s">
        <v>25</v>
      </c>
      <c r="D154" s="1" t="s">
        <v>390</v>
      </c>
      <c r="E154" s="1" t="s">
        <v>27</v>
      </c>
      <c r="F154" s="1">
        <v>45975</v>
      </c>
      <c r="G154" s="14" t="s">
        <v>38</v>
      </c>
      <c r="H154" t="s">
        <v>438</v>
      </c>
      <c r="I154" s="2" t="s">
        <v>439</v>
      </c>
      <c r="J154" s="2">
        <v>0.006944444444444444</v>
      </c>
      <c r="K154" s="1">
        <v>0.04583333333333333</v>
      </c>
      <c r="L154" s="1">
        <v>0.05277777777777777</v>
      </c>
      <c r="M154" s="1" t="s">
        <v>22</v>
      </c>
      <c r="N154" s="1" t="s">
        <v>378</v>
      </c>
      <c r="O154" s="1" t="s">
        <v>32</v>
      </c>
      <c r="P154" s="1" t="s">
        <v>42</v>
      </c>
      <c r="Q154" s="1">
        <v>45976</v>
      </c>
      <c r="R154" s="14">
        <v>4</v>
      </c>
      <c r="S154" s="1" t="s">
        <v>22</v>
      </c>
      <c r="T154" s="1" t="s">
        <v>22</v>
      </c>
      <c r="U154" s="1" t="s">
        <v>22</v>
      </c>
    </row>
    <row r="155" spans="1:21" x14ac:dyDescent="0.25">
      <c r="A155" s="1" t="s">
        <v>430</v>
      </c>
      <c r="B155" s="2" t="s">
        <v>113</v>
      </c>
      <c r="C155" s="1" t="s">
        <v>25</v>
      </c>
      <c r="D155" s="1" t="s">
        <v>440</v>
      </c>
      <c r="E155" s="1" t="s">
        <v>37</v>
      </c>
      <c r="F155" s="1">
        <v>45979</v>
      </c>
      <c r="G155" s="14" t="s">
        <v>80</v>
      </c>
      <c r="H155" t="s">
        <v>441</v>
      </c>
      <c r="I155" s="2" t="s">
        <v>442</v>
      </c>
      <c r="J155" s="2">
        <v>0.006944444444444444</v>
      </c>
      <c r="K155" s="1">
        <v>0.020833333333333332</v>
      </c>
      <c r="L155" s="1">
        <v>0.027777777777777776</v>
      </c>
      <c r="M155" s="1" t="s">
        <v>22</v>
      </c>
      <c r="N155" s="1" t="s">
        <v>378</v>
      </c>
      <c r="O155" s="1" t="s">
        <v>32</v>
      </c>
      <c r="P155" s="1" t="s">
        <v>47</v>
      </c>
      <c r="Q155" s="1">
        <v>45979</v>
      </c>
      <c r="R155" s="14">
        <v>4</v>
      </c>
      <c r="S155" s="1" t="s">
        <v>22</v>
      </c>
      <c r="T155" s="1" t="s">
        <v>22</v>
      </c>
      <c r="U155" s="1" t="s">
        <v>22</v>
      </c>
    </row>
    <row r="156" spans="1:21" x14ac:dyDescent="0.25">
      <c r="A156" s="1" t="s">
        <v>430</v>
      </c>
      <c r="B156" s="2" t="s">
        <v>185</v>
      </c>
      <c r="C156" s="1" t="s">
        <v>147</v>
      </c>
      <c r="D156" s="1" t="s">
        <v>443</v>
      </c>
      <c r="E156" s="1" t="s">
        <v>27</v>
      </c>
      <c r="F156" s="1">
        <v>45981</v>
      </c>
      <c r="G156" s="14" t="s">
        <v>38</v>
      </c>
      <c r="H156" t="s">
        <v>444</v>
      </c>
      <c r="I156" s="2" t="s">
        <v>445</v>
      </c>
      <c r="J156" s="2">
        <v>0.020833333333333332</v>
      </c>
      <c r="K156" s="1">
        <v>0.034722222222222224</v>
      </c>
      <c r="L156" s="1">
        <v>0.05555555555555555</v>
      </c>
      <c r="M156" s="1" t="s">
        <v>22</v>
      </c>
      <c r="N156" s="1" t="s">
        <v>31</v>
      </c>
      <c r="O156" s="1" t="s">
        <v>32</v>
      </c>
      <c r="P156" s="1" t="s">
        <v>47</v>
      </c>
      <c r="Q156" s="1">
        <v>45981</v>
      </c>
      <c r="R156" s="14">
        <v>5</v>
      </c>
      <c r="S156" s="1" t="s">
        <v>22</v>
      </c>
      <c r="T156" s="1" t="s">
        <v>22</v>
      </c>
      <c r="U156" s="1" t="s">
        <v>22</v>
      </c>
    </row>
    <row r="157" spans="1:21" x14ac:dyDescent="0.25">
      <c r="A157" s="1" t="s">
        <v>446</v>
      </c>
      <c r="B157" s="2" t="s">
        <v>199</v>
      </c>
      <c r="C157" s="1" t="s">
        <v>200</v>
      </c>
      <c r="D157" s="1" t="s">
        <v>421</v>
      </c>
      <c r="E157" s="1" t="s">
        <v>37</v>
      </c>
      <c r="F157" s="1">
        <v>45997</v>
      </c>
      <c r="G157" s="14" t="s">
        <v>38</v>
      </c>
      <c r="H157" t="s">
        <v>447</v>
      </c>
      <c r="I157" s="2" t="s">
        <v>448</v>
      </c>
      <c r="J157" s="2">
        <v>0.006944444444444444</v>
      </c>
      <c r="K157" s="1">
        <v>0.06944444444444445</v>
      </c>
      <c r="L157" s="1">
        <v>0.0763888888888889</v>
      </c>
      <c r="M157" s="1" t="s">
        <v>22</v>
      </c>
      <c r="N157" s="1" t="s">
        <v>31</v>
      </c>
      <c r="O157" s="1" t="s">
        <v>240</v>
      </c>
      <c r="P157" s="1" t="s">
        <v>42</v>
      </c>
      <c r="Q157" s="1">
        <v>45997</v>
      </c>
      <c r="R157" s="14">
        <v>5</v>
      </c>
      <c r="S157" s="1" t="s">
        <v>22</v>
      </c>
      <c r="T157" s="1" t="s">
        <v>22</v>
      </c>
      <c r="U157" s="1" t="s">
        <v>22</v>
      </c>
    </row>
    <row r="158" spans="1:21" x14ac:dyDescent="0.25">
      <c r="A158" s="1" t="s">
        <v>446</v>
      </c>
      <c r="B158" s="2" t="s">
        <v>65</v>
      </c>
      <c r="C158" s="1" t="s">
        <v>25</v>
      </c>
      <c r="D158" s="1" t="s">
        <v>449</v>
      </c>
      <c r="E158" s="1" t="s">
        <v>27</v>
      </c>
      <c r="F158" s="1">
        <v>46003</v>
      </c>
      <c r="G158" s="14" t="s">
        <v>74</v>
      </c>
      <c r="H158" t="s">
        <v>450</v>
      </c>
      <c r="I158" s="2" t="s">
        <v>451</v>
      </c>
      <c r="J158" s="2">
        <v>0.006944444444444444</v>
      </c>
      <c r="K158" s="1" t="s">
        <v>22</v>
      </c>
      <c r="L158" s="1">
        <v>0.006944444444444444</v>
      </c>
      <c r="M158" s="1" t="s">
        <v>22</v>
      </c>
      <c r="N158" s="1" t="s">
        <v>378</v>
      </c>
      <c r="O158" s="1" t="s">
        <v>240</v>
      </c>
      <c r="P158" s="1" t="s">
        <v>47</v>
      </c>
      <c r="Q158" s="1">
        <v>46003</v>
      </c>
      <c r="R158" s="14">
        <v>5</v>
      </c>
      <c r="S158" s="1" t="s">
        <v>22</v>
      </c>
      <c r="T158" s="1" t="s">
        <v>22</v>
      </c>
      <c r="U158" s="1" t="s">
        <v>22</v>
      </c>
    </row>
    <row r="159" spans="1:21" x14ac:dyDescent="0.25">
      <c r="A159" s="1" t="s">
        <v>446</v>
      </c>
      <c r="B159" s="2" t="s">
        <v>339</v>
      </c>
      <c r="C159" s="1" t="s">
        <v>78</v>
      </c>
      <c r="D159" s="1" t="s">
        <v>452</v>
      </c>
      <c r="E159" s="1" t="s">
        <v>37</v>
      </c>
      <c r="F159" s="1">
        <v>46003</v>
      </c>
      <c r="G159" s="14" t="s">
        <v>38</v>
      </c>
      <c r="H159" t="s">
        <v>453</v>
      </c>
      <c r="I159" s="2" t="s">
        <v>454</v>
      </c>
      <c r="J159" s="2">
        <v>0.020833333333333332</v>
      </c>
      <c r="K159" s="1">
        <v>0.013888888888888888</v>
      </c>
      <c r="L159" s="1">
        <v>0.034722222222222224</v>
      </c>
      <c r="M159" s="1" t="s">
        <v>22</v>
      </c>
      <c r="N159" s="1" t="s">
        <v>53</v>
      </c>
      <c r="O159" s="1" t="s">
        <v>32</v>
      </c>
      <c r="P159" s="1" t="s">
        <v>42</v>
      </c>
      <c r="Q159" s="1">
        <v>46003</v>
      </c>
      <c r="R159" s="14">
        <v>5</v>
      </c>
      <c r="S159" s="1" t="s">
        <v>22</v>
      </c>
      <c r="T159" s="1" t="s">
        <v>22</v>
      </c>
      <c r="U159" s="1" t="s">
        <v>22</v>
      </c>
    </row>
    <row r="160" spans="1:21" x14ac:dyDescent="0.25">
      <c r="A160" s="1" t="s">
        <v>446</v>
      </c>
      <c r="B160" s="2" t="s">
        <v>455</v>
      </c>
      <c r="C160" s="1" t="s">
        <v>78</v>
      </c>
      <c r="D160" s="1" t="s">
        <v>456</v>
      </c>
      <c r="E160" s="1" t="s">
        <v>37</v>
      </c>
      <c r="F160" s="1">
        <v>46007</v>
      </c>
      <c r="G160" s="14" t="s">
        <v>74</v>
      </c>
      <c r="H160" t="s">
        <v>457</v>
      </c>
      <c r="I160" s="2" t="s">
        <v>458</v>
      </c>
      <c r="J160" s="2">
        <v>0.020833333333333332</v>
      </c>
      <c r="K160" s="1">
        <v>0.041666666666666664</v>
      </c>
      <c r="L160" s="1">
        <v>0.0625</v>
      </c>
      <c r="M160" s="1" t="s">
        <v>22</v>
      </c>
      <c r="N160" s="1" t="s">
        <v>347</v>
      </c>
      <c r="O160" s="1" t="s">
        <v>240</v>
      </c>
      <c r="P160" s="1" t="s">
        <v>244</v>
      </c>
      <c r="Q160" s="1">
        <v>46007</v>
      </c>
      <c r="R160" s="14">
        <v>5</v>
      </c>
      <c r="S160" s="1" t="s">
        <v>22</v>
      </c>
      <c r="T160" s="1" t="s">
        <v>22</v>
      </c>
      <c r="U160" s="1" t="s">
        <v>22</v>
      </c>
    </row>
    <row r="161" spans="1:21" x14ac:dyDescent="0.25">
      <c r="A161" s="1" t="s">
        <v>446</v>
      </c>
      <c r="B161" s="2" t="s">
        <v>65</v>
      </c>
      <c r="C161" s="1" t="s">
        <v>25</v>
      </c>
      <c r="D161" s="1" t="s">
        <v>459</v>
      </c>
      <c r="E161" s="1" t="s">
        <v>27</v>
      </c>
      <c r="F161" s="1">
        <v>46007</v>
      </c>
      <c r="G161" s="14" t="s">
        <v>38</v>
      </c>
      <c r="H161" t="s">
        <v>460</v>
      </c>
      <c r="I161" s="2" t="s">
        <v>461</v>
      </c>
      <c r="J161" s="2">
        <v>0.020833333333333332</v>
      </c>
      <c r="K161" s="1">
        <v>0.034722222222222224</v>
      </c>
      <c r="L161" s="1">
        <v>0.05555555555555555</v>
      </c>
      <c r="M161" s="1" t="s">
        <v>22</v>
      </c>
      <c r="N161" s="1" t="s">
        <v>32</v>
      </c>
      <c r="O161" s="1" t="s">
        <v>240</v>
      </c>
      <c r="P161" s="1" t="s">
        <v>47</v>
      </c>
      <c r="Q161" s="1">
        <v>46007</v>
      </c>
      <c r="R161" s="14">
        <v>5</v>
      </c>
      <c r="S161" s="1" t="s">
        <v>22</v>
      </c>
      <c r="T161" s="1" t="s">
        <v>22</v>
      </c>
      <c r="U161" s="1" t="s">
        <v>22</v>
      </c>
    </row>
    <row r="162" spans="1:21" x14ac:dyDescent="0.25">
      <c r="A162" s="1" t="s">
        <v>446</v>
      </c>
      <c r="B162" s="2" t="s">
        <v>199</v>
      </c>
      <c r="C162" s="1" t="s">
        <v>200</v>
      </c>
      <c r="D162" s="1" t="s">
        <v>462</v>
      </c>
      <c r="E162" s="1" t="s">
        <v>27</v>
      </c>
      <c r="F162" s="1">
        <v>46017</v>
      </c>
      <c r="G162" s="14" t="s">
        <v>38</v>
      </c>
      <c r="H162" t="s">
        <v>463</v>
      </c>
      <c r="I162" s="2" t="s">
        <v>464</v>
      </c>
      <c r="J162" s="2">
        <v>0.013888888888888888</v>
      </c>
      <c r="K162" s="1">
        <v>0.034722222222222224</v>
      </c>
      <c r="L162" s="1">
        <v>0.04861111111111111</v>
      </c>
      <c r="M162" s="1" t="s">
        <v>22</v>
      </c>
      <c r="N162" s="1" t="s">
        <v>240</v>
      </c>
      <c r="O162" s="1" t="s">
        <v>32</v>
      </c>
      <c r="P162" s="1" t="s">
        <v>42</v>
      </c>
      <c r="Q162" s="1">
        <v>46017</v>
      </c>
      <c r="R162" s="14">
        <v>5</v>
      </c>
      <c r="S162" s="1" t="s">
        <v>22</v>
      </c>
      <c r="T162" s="1" t="s">
        <v>22</v>
      </c>
      <c r="U162" s="1" t="s">
        <v>22</v>
      </c>
    </row>
    <row r="163" spans="1:21" x14ac:dyDescent="0.25">
      <c r="A163" s="1" t="s">
        <v>446</v>
      </c>
      <c r="B163" s="2" t="s">
        <v>465</v>
      </c>
      <c r="C163" s="1" t="s">
        <v>78</v>
      </c>
      <c r="D163" s="1" t="s">
        <v>466</v>
      </c>
      <c r="E163" s="1" t="s">
        <v>37</v>
      </c>
      <c r="F163" s="1">
        <v>46017</v>
      </c>
      <c r="G163" s="14" t="s">
        <v>38</v>
      </c>
      <c r="H163" t="s">
        <v>467</v>
      </c>
      <c r="I163" s="2" t="s">
        <v>468</v>
      </c>
      <c r="J163" s="2">
        <v>0.041666666666666664</v>
      </c>
      <c r="K163" s="1">
        <v>0.0625</v>
      </c>
      <c r="L163" s="1">
        <v>0.10416666666666666</v>
      </c>
      <c r="M163" s="1" t="s">
        <v>22</v>
      </c>
      <c r="N163" s="1" t="s">
        <v>31</v>
      </c>
      <c r="O163" s="1" t="s">
        <v>32</v>
      </c>
      <c r="P163" s="1" t="s">
        <v>42</v>
      </c>
      <c r="Q163" s="1">
        <v>46017</v>
      </c>
      <c r="R163" s="14">
        <v>5</v>
      </c>
      <c r="S163" s="1" t="s">
        <v>22</v>
      </c>
      <c r="T163" s="1" t="s">
        <v>22</v>
      </c>
      <c r="U163" s="1" t="s">
        <v>22</v>
      </c>
    </row>
    <row r="164" spans="1:21" x14ac:dyDescent="0.25">
      <c r="A164" s="1" t="s">
        <v>446</v>
      </c>
      <c r="B164" s="2" t="s">
        <v>469</v>
      </c>
      <c r="C164" s="1" t="s">
        <v>78</v>
      </c>
      <c r="D164" s="1" t="s">
        <v>470</v>
      </c>
      <c r="E164" s="1" t="s">
        <v>37</v>
      </c>
      <c r="F164" s="1">
        <v>46017</v>
      </c>
      <c r="G164" s="14" t="s">
        <v>28</v>
      </c>
      <c r="H164" t="s">
        <v>471</v>
      </c>
      <c r="I164" s="2" t="s">
        <v>472</v>
      </c>
      <c r="J164" s="2">
        <v>0.020833333333333332</v>
      </c>
      <c r="K164" s="1">
        <v>0.05555555555555555</v>
      </c>
      <c r="L164" s="1">
        <v>0.07638888888888888</v>
      </c>
      <c r="M164" s="1" t="s">
        <v>22</v>
      </c>
      <c r="N164" s="1" t="s">
        <v>53</v>
      </c>
      <c r="O164" s="1" t="s">
        <v>32</v>
      </c>
      <c r="P164" s="1" t="s">
        <v>42</v>
      </c>
      <c r="Q164" s="1">
        <v>46017</v>
      </c>
      <c r="R164" s="14">
        <v>5</v>
      </c>
      <c r="S164" s="1" t="s">
        <v>22</v>
      </c>
      <c r="T164" s="1" t="s">
        <v>22</v>
      </c>
      <c r="U164" s="1" t="s">
        <v>22</v>
      </c>
    </row>
    <row r="165" spans="1:21" x14ac:dyDescent="0.25">
      <c r="A165" s="1" t="s">
        <v>446</v>
      </c>
      <c r="B165" s="2" t="s">
        <v>83</v>
      </c>
      <c r="C165" s="1" t="s">
        <v>78</v>
      </c>
      <c r="D165" s="1" t="s">
        <v>473</v>
      </c>
      <c r="E165" s="1" t="s">
        <v>37</v>
      </c>
      <c r="F165" s="1">
        <v>46022</v>
      </c>
      <c r="G165" s="14" t="s">
        <v>38</v>
      </c>
      <c r="H165" t="s">
        <v>474</v>
      </c>
      <c r="I165" s="2" t="s">
        <v>474</v>
      </c>
      <c r="J165" s="2">
        <v>0.020833333333333332</v>
      </c>
      <c r="K165" s="1">
        <v>0.034722222222222224</v>
      </c>
      <c r="L165" s="1">
        <v>0.05555555555555555</v>
      </c>
      <c r="M165" s="1" t="s">
        <v>22</v>
      </c>
      <c r="N165" s="1" t="s">
        <v>53</v>
      </c>
      <c r="O165" s="1" t="s">
        <v>32</v>
      </c>
      <c r="P165" s="1" t="s">
        <v>42</v>
      </c>
      <c r="Q165" s="1">
        <v>46022</v>
      </c>
      <c r="R165" s="14">
        <v>5</v>
      </c>
      <c r="S165" s="1" t="s">
        <v>22</v>
      </c>
      <c r="T165" s="1" t="s">
        <v>22</v>
      </c>
      <c r="U165" s="1" t="s">
        <v>22</v>
      </c>
    </row>
    <row r="166" spans="1:21" x14ac:dyDescent="0.25">
      <c r="A166" s="1" t="s">
        <v>446</v>
      </c>
      <c r="B166" s="2" t="s">
        <v>35</v>
      </c>
      <c r="C166" s="1" t="s">
        <v>25</v>
      </c>
      <c r="D166" s="1" t="s">
        <v>475</v>
      </c>
      <c r="E166" s="1" t="s">
        <v>27</v>
      </c>
      <c r="F166" s="1">
        <v>46022</v>
      </c>
      <c r="G166" s="14" t="s">
        <v>38</v>
      </c>
      <c r="H166" t="s">
        <v>476</v>
      </c>
      <c r="I166" s="2" t="s">
        <v>477</v>
      </c>
      <c r="J166" s="2">
        <v>0.020833333333333332</v>
      </c>
      <c r="K166" s="1">
        <v>0.020833333333333332</v>
      </c>
      <c r="L166" s="1">
        <v>0.041666666666666664</v>
      </c>
      <c r="M166" s="1" t="s">
        <v>22</v>
      </c>
      <c r="N166" s="1" t="s">
        <v>53</v>
      </c>
      <c r="O166" s="1" t="s">
        <v>32</v>
      </c>
      <c r="P166" s="1" t="s">
        <v>42</v>
      </c>
      <c r="Q166" s="1">
        <v>46022</v>
      </c>
      <c r="R166" s="14">
        <v>5</v>
      </c>
      <c r="S166" s="1" t="s">
        <v>22</v>
      </c>
      <c r="T166" s="1" t="s">
        <v>22</v>
      </c>
      <c r="U166" s="1" t="s">
        <v>22</v>
      </c>
    </row>
    <row r="167" spans="1:21" x14ac:dyDescent="0.25">
      <c r="A167" s="1" t="s">
        <v>478</v>
      </c>
      <c r="B167" s="2" t="s">
        <v>479</v>
      </c>
      <c r="C167" s="1" t="s">
        <v>25</v>
      </c>
      <c r="D167" s="1" t="s">
        <v>480</v>
      </c>
      <c r="E167" s="1" t="s">
        <v>37</v>
      </c>
      <c r="F167" s="1">
        <v>45293</v>
      </c>
      <c r="G167" s="14" t="s">
        <v>28</v>
      </c>
      <c r="H167" t="s">
        <v>481</v>
      </c>
      <c r="I167" s="2" t="s">
        <v>482</v>
      </c>
      <c r="J167" s="2">
        <v>0.04513888888888889</v>
      </c>
      <c r="K167" s="1">
        <v>0.05555555555555555</v>
      </c>
      <c r="L167" s="1">
        <v>0.10069444444444445</v>
      </c>
      <c r="M167" s="1" t="s">
        <v>22</v>
      </c>
      <c r="N167" s="1" t="s">
        <v>31</v>
      </c>
      <c r="O167" s="1" t="s">
        <v>483</v>
      </c>
      <c r="P167" s="1" t="s">
        <v>484</v>
      </c>
      <c r="Q167" s="1">
        <v>45293</v>
      </c>
      <c r="R167" s="14">
        <v>5</v>
      </c>
      <c r="S167" s="1" t="s">
        <v>22</v>
      </c>
      <c r="T167" s="1" t="s">
        <v>22</v>
      </c>
      <c r="U167" s="1" t="s">
        <v>22</v>
      </c>
    </row>
    <row r="168" spans="1:21" x14ac:dyDescent="0.25">
      <c r="A168" s="1" t="s">
        <v>478</v>
      </c>
      <c r="B168" s="2" t="s">
        <v>283</v>
      </c>
      <c r="C168" s="1" t="s">
        <v>25</v>
      </c>
      <c r="D168" s="1" t="s">
        <v>485</v>
      </c>
      <c r="E168" s="1" t="s">
        <v>37</v>
      </c>
      <c r="F168" s="1">
        <v>45294</v>
      </c>
      <c r="G168" s="14" t="s">
        <v>133</v>
      </c>
      <c r="H168" t="s">
        <v>486</v>
      </c>
      <c r="I168" s="2" t="s">
        <v>487</v>
      </c>
      <c r="J168" s="2">
        <v>0.020833333333333332</v>
      </c>
      <c r="K168" s="1">
        <v>0.034722222222222224</v>
      </c>
      <c r="L168" s="1">
        <v>0.05555555555555555</v>
      </c>
      <c r="M168" s="1" t="s">
        <v>22</v>
      </c>
      <c r="N168" s="1" t="s">
        <v>54</v>
      </c>
      <c r="O168" s="1" t="s">
        <v>32</v>
      </c>
      <c r="P168" s="1" t="s">
        <v>488</v>
      </c>
      <c r="Q168" s="1">
        <v>45294</v>
      </c>
      <c r="R168" s="14">
        <v>5</v>
      </c>
      <c r="S168" s="1" t="s">
        <v>22</v>
      </c>
      <c r="T168" s="1" t="s">
        <v>22</v>
      </c>
      <c r="U168" s="1" t="s">
        <v>22</v>
      </c>
    </row>
    <row r="169" spans="1:21" x14ac:dyDescent="0.25">
      <c r="A169" s="1" t="s">
        <v>478</v>
      </c>
      <c r="B169" s="2" t="s">
        <v>489</v>
      </c>
      <c r="C169" s="1" t="s">
        <v>490</v>
      </c>
      <c r="D169" s="1" t="s">
        <v>491</v>
      </c>
      <c r="E169" s="1" t="s">
        <v>27</v>
      </c>
      <c r="F169" s="1">
        <v>45294</v>
      </c>
      <c r="G169" s="14" t="s">
        <v>28</v>
      </c>
      <c r="H169" t="s">
        <v>492</v>
      </c>
      <c r="I169" s="2" t="s">
        <v>493</v>
      </c>
      <c r="J169" s="2">
        <v>0.020833333333333332</v>
      </c>
      <c r="K169" s="1">
        <v>0.04861111111111111</v>
      </c>
      <c r="L169" s="1">
        <v>0.06944444444444445</v>
      </c>
      <c r="M169" s="1" t="s">
        <v>22</v>
      </c>
      <c r="N169" s="1" t="s">
        <v>483</v>
      </c>
      <c r="O169" s="1" t="s">
        <v>32</v>
      </c>
      <c r="P169" s="1" t="s">
        <v>42</v>
      </c>
      <c r="Q169" s="1">
        <v>45294</v>
      </c>
      <c r="R169" s="14">
        <v>5</v>
      </c>
      <c r="S169" s="1" t="s">
        <v>22</v>
      </c>
      <c r="T169" s="1" t="s">
        <v>22</v>
      </c>
      <c r="U169" s="1" t="s">
        <v>22</v>
      </c>
    </row>
    <row r="170" spans="1:21" x14ac:dyDescent="0.25">
      <c r="A170" s="1" t="s">
        <v>478</v>
      </c>
      <c r="B170" s="2" t="s">
        <v>223</v>
      </c>
      <c r="C170" s="1" t="s">
        <v>186</v>
      </c>
      <c r="D170" s="1" t="s">
        <v>494</v>
      </c>
      <c r="E170" s="1" t="s">
        <v>37</v>
      </c>
      <c r="F170" s="1">
        <v>45294</v>
      </c>
      <c r="G170" s="14" t="s">
        <v>74</v>
      </c>
      <c r="H170" t="s">
        <v>495</v>
      </c>
      <c r="I170" s="2" t="s">
        <v>496</v>
      </c>
      <c r="J170" s="2">
        <v>0.020833333333333332</v>
      </c>
      <c r="K170" s="1">
        <v>0.027777777777777776</v>
      </c>
      <c r="L170" s="1">
        <v>0.048611111111111105</v>
      </c>
      <c r="M170" s="1" t="s">
        <v>22</v>
      </c>
      <c r="N170" s="1" t="s">
        <v>31</v>
      </c>
      <c r="O170" s="1" t="s">
        <v>483</v>
      </c>
      <c r="P170" s="1" t="s">
        <v>488</v>
      </c>
      <c r="Q170" s="1">
        <v>45294</v>
      </c>
      <c r="R170" s="14">
        <v>5</v>
      </c>
      <c r="S170" s="1" t="s">
        <v>22</v>
      </c>
      <c r="T170" s="1" t="s">
        <v>22</v>
      </c>
      <c r="U170" s="1" t="s">
        <v>22</v>
      </c>
    </row>
    <row r="171" spans="1:21" x14ac:dyDescent="0.25">
      <c r="A171" s="1" t="s">
        <v>478</v>
      </c>
      <c r="B171" s="2" t="s">
        <v>48</v>
      </c>
      <c r="C171" s="1" t="s">
        <v>25</v>
      </c>
      <c r="D171" s="1" t="s">
        <v>497</v>
      </c>
      <c r="E171" s="1" t="s">
        <v>37</v>
      </c>
      <c r="F171" s="1">
        <v>45294</v>
      </c>
      <c r="G171" s="14" t="s">
        <v>74</v>
      </c>
      <c r="H171" t="s">
        <v>498</v>
      </c>
      <c r="I171" s="2" t="s">
        <v>499</v>
      </c>
      <c r="J171" s="2">
        <v>0.03125</v>
      </c>
      <c r="K171" s="1">
        <v>0.03819444444444444</v>
      </c>
      <c r="L171" s="1">
        <v>0.06944444444444445</v>
      </c>
      <c r="M171" s="1" t="s">
        <v>22</v>
      </c>
      <c r="N171" s="1" t="s">
        <v>31</v>
      </c>
      <c r="O171" s="1" t="s">
        <v>483</v>
      </c>
      <c r="P171" s="1" t="s">
        <v>488</v>
      </c>
      <c r="Q171" s="1">
        <v>45294</v>
      </c>
      <c r="R171" s="14">
        <v>5</v>
      </c>
      <c r="S171" s="1" t="s">
        <v>22</v>
      </c>
      <c r="T171" s="1" t="s">
        <v>22</v>
      </c>
      <c r="U171" s="1" t="s">
        <v>22</v>
      </c>
    </row>
    <row r="172" spans="1:21" x14ac:dyDescent="0.25">
      <c r="A172" s="1" t="s">
        <v>478</v>
      </c>
      <c r="B172" s="2" t="s">
        <v>99</v>
      </c>
      <c r="C172" s="1" t="s">
        <v>25</v>
      </c>
      <c r="D172" s="1" t="s">
        <v>500</v>
      </c>
      <c r="E172" s="1" t="s">
        <v>27</v>
      </c>
      <c r="F172" s="1">
        <v>45295</v>
      </c>
      <c r="G172" s="14" t="s">
        <v>28</v>
      </c>
      <c r="H172" t="s">
        <v>501</v>
      </c>
      <c r="I172" s="2" t="s">
        <v>502</v>
      </c>
      <c r="J172" s="2">
        <v>0.020833333333333332</v>
      </c>
      <c r="K172" s="1">
        <v>0.0625</v>
      </c>
      <c r="L172" s="1">
        <v>0.08333333333333333</v>
      </c>
      <c r="M172" s="1" t="s">
        <v>22</v>
      </c>
      <c r="N172" s="1" t="s">
        <v>41</v>
      </c>
      <c r="O172" s="1" t="s">
        <v>483</v>
      </c>
      <c r="P172" s="1" t="s">
        <v>484</v>
      </c>
      <c r="Q172" s="1">
        <v>45295</v>
      </c>
      <c r="R172" s="14">
        <v>5</v>
      </c>
      <c r="S172" s="1" t="s">
        <v>22</v>
      </c>
      <c r="T172" s="1" t="s">
        <v>22</v>
      </c>
      <c r="U172" s="1" t="s">
        <v>22</v>
      </c>
    </row>
    <row r="173" spans="1:21" x14ac:dyDescent="0.25">
      <c r="A173" s="1" t="s">
        <v>478</v>
      </c>
      <c r="B173" s="2" t="s">
        <v>223</v>
      </c>
      <c r="C173" s="1" t="s">
        <v>186</v>
      </c>
      <c r="D173" s="1" t="s">
        <v>503</v>
      </c>
      <c r="E173" s="1" t="s">
        <v>37</v>
      </c>
      <c r="F173" s="1">
        <v>45295</v>
      </c>
      <c r="G173" s="14" t="s">
        <v>96</v>
      </c>
      <c r="H173" t="s">
        <v>504</v>
      </c>
      <c r="I173" s="2" t="s">
        <v>505</v>
      </c>
      <c r="J173" s="2">
        <v>0.020833333333333332</v>
      </c>
      <c r="K173" s="1" t="s">
        <v>22</v>
      </c>
      <c r="L173" s="1">
        <v>0.020833333333333332</v>
      </c>
      <c r="M173" s="1" t="s">
        <v>22</v>
      </c>
      <c r="N173" s="1" t="s">
        <v>347</v>
      </c>
      <c r="O173" s="1" t="s">
        <v>503</v>
      </c>
      <c r="P173" s="1" t="s">
        <v>117</v>
      </c>
      <c r="Q173" s="1">
        <v>45295</v>
      </c>
      <c r="R173" s="14">
        <v>5</v>
      </c>
      <c r="S173" s="1" t="s">
        <v>22</v>
      </c>
      <c r="T173" s="1" t="s">
        <v>22</v>
      </c>
      <c r="U173" s="1" t="s">
        <v>22</v>
      </c>
    </row>
    <row r="174" spans="1:21" x14ac:dyDescent="0.25">
      <c r="A174" s="1" t="s">
        <v>478</v>
      </c>
      <c r="B174" s="2" t="s">
        <v>24</v>
      </c>
      <c r="C174" s="1" t="s">
        <v>25</v>
      </c>
      <c r="D174" s="1" t="s">
        <v>506</v>
      </c>
      <c r="E174" s="1" t="s">
        <v>27</v>
      </c>
      <c r="F174" s="1">
        <v>45296</v>
      </c>
      <c r="G174" s="14" t="s">
        <v>507</v>
      </c>
      <c r="H174" t="s">
        <v>508</v>
      </c>
      <c r="I174" s="2" t="s">
        <v>509</v>
      </c>
      <c r="J174" s="2">
        <v>0.013888888888888888</v>
      </c>
      <c r="K174" s="1">
        <v>0.020833333333333332</v>
      </c>
      <c r="L174" s="1">
        <v>0.034722222222222224</v>
      </c>
      <c r="M174" s="1" t="s">
        <v>22</v>
      </c>
      <c r="N174" s="1" t="s">
        <v>483</v>
      </c>
      <c r="O174" s="1" t="s">
        <v>32</v>
      </c>
      <c r="P174" s="1" t="s">
        <v>488</v>
      </c>
      <c r="Q174" s="1">
        <v>45296</v>
      </c>
      <c r="R174" s="14">
        <v>5</v>
      </c>
      <c r="S174" s="1" t="s">
        <v>22</v>
      </c>
      <c r="T174" s="1" t="s">
        <v>22</v>
      </c>
      <c r="U174" s="1" t="s">
        <v>22</v>
      </c>
    </row>
    <row r="175" spans="1:21" x14ac:dyDescent="0.25">
      <c r="A175" s="1" t="s">
        <v>478</v>
      </c>
      <c r="B175" s="2" t="s">
        <v>510</v>
      </c>
      <c r="C175" s="1" t="s">
        <v>25</v>
      </c>
      <c r="D175" s="1" t="s">
        <v>511</v>
      </c>
      <c r="E175" s="1" t="s">
        <v>27</v>
      </c>
      <c r="F175" s="1">
        <v>45296</v>
      </c>
      <c r="G175" s="14" t="s">
        <v>28</v>
      </c>
      <c r="H175" t="s">
        <v>512</v>
      </c>
      <c r="I175" s="2" t="s">
        <v>512</v>
      </c>
      <c r="J175" s="2">
        <v>0.0625</v>
      </c>
      <c r="K175" s="1">
        <v>0.052083333333333336</v>
      </c>
      <c r="L175" s="1">
        <v>0.11458333333333334</v>
      </c>
      <c r="M175" s="1" t="s">
        <v>22</v>
      </c>
      <c r="N175" s="1" t="s">
        <v>31</v>
      </c>
      <c r="O175" s="1" t="s">
        <v>483</v>
      </c>
      <c r="P175" s="1" t="s">
        <v>488</v>
      </c>
      <c r="Q175" s="1">
        <v>45296</v>
      </c>
      <c r="R175" s="14">
        <v>5</v>
      </c>
      <c r="S175" s="1" t="s">
        <v>22</v>
      </c>
      <c r="T175" s="1" t="s">
        <v>22</v>
      </c>
      <c r="U175" s="1" t="s">
        <v>22</v>
      </c>
    </row>
    <row r="176" spans="1:21" x14ac:dyDescent="0.25">
      <c r="A176" s="1" t="s">
        <v>478</v>
      </c>
      <c r="B176" s="2" t="s">
        <v>247</v>
      </c>
      <c r="C176" s="1" t="s">
        <v>25</v>
      </c>
      <c r="D176" s="1" t="s">
        <v>513</v>
      </c>
      <c r="E176" s="1" t="s">
        <v>27</v>
      </c>
      <c r="F176" s="1">
        <v>45296</v>
      </c>
      <c r="G176" s="14" t="s">
        <v>28</v>
      </c>
      <c r="H176" t="s">
        <v>514</v>
      </c>
      <c r="I176" s="2" t="s">
        <v>514</v>
      </c>
      <c r="J176" s="2">
        <v>0.024305555555555556</v>
      </c>
      <c r="K176" s="1">
        <v>0.03819444444444444</v>
      </c>
      <c r="L176" s="1">
        <v>0.0625</v>
      </c>
      <c r="M176" s="1" t="s">
        <v>22</v>
      </c>
      <c r="N176" s="1" t="s">
        <v>31</v>
      </c>
      <c r="O176" s="1" t="s">
        <v>483</v>
      </c>
      <c r="P176" s="1" t="s">
        <v>488</v>
      </c>
      <c r="Q176" s="1">
        <v>45296</v>
      </c>
      <c r="R176" s="14">
        <v>5</v>
      </c>
      <c r="S176" s="1" t="s">
        <v>22</v>
      </c>
      <c r="T176" s="1" t="s">
        <v>22</v>
      </c>
      <c r="U176" s="1" t="s">
        <v>22</v>
      </c>
    </row>
    <row r="177" spans="1:21" x14ac:dyDescent="0.25">
      <c r="A177" s="1" t="s">
        <v>515</v>
      </c>
      <c r="B177" s="2" t="s">
        <v>170</v>
      </c>
      <c r="C177" s="1" t="s">
        <v>25</v>
      </c>
      <c r="D177" s="1" t="s">
        <v>516</v>
      </c>
      <c r="E177" s="1" t="s">
        <v>27</v>
      </c>
      <c r="F177" s="1">
        <v>44932</v>
      </c>
      <c r="G177" s="14" t="s">
        <v>28</v>
      </c>
      <c r="H177" t="s">
        <v>517</v>
      </c>
      <c r="I177" s="2" t="s">
        <v>518</v>
      </c>
      <c r="J177" s="2">
        <v>0.0625</v>
      </c>
      <c r="K177" s="1">
        <v>0.06597222222222222</v>
      </c>
      <c r="L177" s="1">
        <v>0.1284722222222222</v>
      </c>
      <c r="M177" s="1" t="s">
        <v>22</v>
      </c>
      <c r="N177" s="1" t="s">
        <v>31</v>
      </c>
      <c r="O177" s="1" t="s">
        <v>483</v>
      </c>
      <c r="P177" s="1" t="s">
        <v>42</v>
      </c>
      <c r="Q177" s="1">
        <v>44932</v>
      </c>
      <c r="R177" s="14">
        <v>5</v>
      </c>
      <c r="S177" s="1" t="s">
        <v>22</v>
      </c>
      <c r="T177" s="1" t="s">
        <v>22</v>
      </c>
      <c r="U177" s="1" t="s">
        <v>22</v>
      </c>
    </row>
    <row r="178" spans="1:21" x14ac:dyDescent="0.25">
      <c r="A178" s="1" t="s">
        <v>478</v>
      </c>
      <c r="B178" s="2" t="s">
        <v>43</v>
      </c>
      <c r="C178" s="1" t="s">
        <v>44</v>
      </c>
      <c r="D178" s="1" t="s">
        <v>519</v>
      </c>
      <c r="E178" s="1" t="s">
        <v>27</v>
      </c>
      <c r="F178" s="1">
        <v>45303</v>
      </c>
      <c r="G178" s="14" t="s">
        <v>507</v>
      </c>
      <c r="H178" t="s">
        <v>520</v>
      </c>
      <c r="I178" s="2" t="s">
        <v>521</v>
      </c>
      <c r="J178" s="2">
        <v>0.013888888888888888</v>
      </c>
      <c r="K178" s="1">
        <v>0.034722222222222224</v>
      </c>
      <c r="L178" s="1">
        <v>0.04861111111111111</v>
      </c>
      <c r="M178" s="1" t="s">
        <v>22</v>
      </c>
      <c r="N178" s="1" t="s">
        <v>32</v>
      </c>
      <c r="O178" s="1" t="s">
        <v>483</v>
      </c>
      <c r="P178" s="1" t="s">
        <v>484</v>
      </c>
      <c r="Q178" s="1">
        <v>45303</v>
      </c>
      <c r="R178" s="14">
        <v>5</v>
      </c>
      <c r="S178" s="1" t="s">
        <v>22</v>
      </c>
      <c r="T178" s="1" t="s">
        <v>22</v>
      </c>
      <c r="U178" s="1" t="s">
        <v>22</v>
      </c>
    </row>
    <row r="179" spans="1:21" x14ac:dyDescent="0.25">
      <c r="A179" s="1" t="s">
        <v>478</v>
      </c>
      <c r="B179" s="2" t="s">
        <v>283</v>
      </c>
      <c r="C179" s="1" t="s">
        <v>25</v>
      </c>
      <c r="D179" s="1" t="s">
        <v>522</v>
      </c>
      <c r="E179" s="1" t="s">
        <v>27</v>
      </c>
      <c r="F179" s="1">
        <v>45303</v>
      </c>
      <c r="G179" s="14" t="s">
        <v>74</v>
      </c>
      <c r="H179" t="s">
        <v>523</v>
      </c>
      <c r="I179" s="2" t="s">
        <v>524</v>
      </c>
      <c r="J179" s="2">
        <v>0.024305555555555556</v>
      </c>
      <c r="K179" s="1">
        <v>0.027777777777777776</v>
      </c>
      <c r="L179" s="1">
        <v>0.05208333333333333</v>
      </c>
      <c r="M179" s="1" t="s">
        <v>22</v>
      </c>
      <c r="N179" s="1" t="s">
        <v>31</v>
      </c>
      <c r="O179" s="1" t="s">
        <v>483</v>
      </c>
      <c r="P179" s="1" t="s">
        <v>488</v>
      </c>
      <c r="Q179" s="1">
        <v>45303</v>
      </c>
      <c r="R179" s="14">
        <v>5</v>
      </c>
      <c r="S179" s="1" t="s">
        <v>22</v>
      </c>
      <c r="T179" s="1" t="s">
        <v>22</v>
      </c>
      <c r="U179" s="1" t="s">
        <v>22</v>
      </c>
    </row>
    <row r="180" spans="1:21" x14ac:dyDescent="0.25">
      <c r="A180" s="1" t="s">
        <v>478</v>
      </c>
      <c r="B180" s="2" t="s">
        <v>525</v>
      </c>
      <c r="C180" s="1" t="s">
        <v>25</v>
      </c>
      <c r="D180" s="1" t="s">
        <v>526</v>
      </c>
      <c r="E180" s="1" t="s">
        <v>37</v>
      </c>
      <c r="F180" s="1">
        <v>45307</v>
      </c>
      <c r="G180" s="14" t="s">
        <v>28</v>
      </c>
      <c r="H180" t="s">
        <v>527</v>
      </c>
      <c r="I180" s="2" t="s">
        <v>528</v>
      </c>
      <c r="J180" s="2">
        <v>0.020833333333333332</v>
      </c>
      <c r="K180" s="1">
        <v>0.034722222222222224</v>
      </c>
      <c r="L180" s="1">
        <v>0.05555555555555555</v>
      </c>
      <c r="M180" s="1" t="s">
        <v>22</v>
      </c>
      <c r="N180" s="1" t="s">
        <v>41</v>
      </c>
      <c r="O180" s="1" t="s">
        <v>32</v>
      </c>
      <c r="P180" s="1" t="s">
        <v>484</v>
      </c>
      <c r="Q180" s="1">
        <v>45307</v>
      </c>
      <c r="R180" s="14">
        <v>5</v>
      </c>
      <c r="S180" s="1" t="s">
        <v>22</v>
      </c>
      <c r="T180" s="1" t="s">
        <v>22</v>
      </c>
      <c r="U180" s="1" t="s">
        <v>22</v>
      </c>
    </row>
    <row r="181" spans="1:21" x14ac:dyDescent="0.25">
      <c r="A181" s="1" t="s">
        <v>478</v>
      </c>
      <c r="B181" s="2" t="s">
        <v>529</v>
      </c>
      <c r="C181" s="1" t="s">
        <v>530</v>
      </c>
      <c r="D181" s="1" t="s">
        <v>531</v>
      </c>
      <c r="E181" s="1" t="s">
        <v>37</v>
      </c>
      <c r="F181" s="1">
        <v>45309</v>
      </c>
      <c r="G181" s="14" t="s">
        <v>28</v>
      </c>
      <c r="H181" t="s">
        <v>532</v>
      </c>
      <c r="I181" s="2" t="s">
        <v>533</v>
      </c>
      <c r="J181" s="2">
        <v>0.020833333333333332</v>
      </c>
      <c r="K181" s="1">
        <v>0.04861111111111111</v>
      </c>
      <c r="L181" s="1">
        <v>0.06944444444444445</v>
      </c>
      <c r="M181" s="1" t="s">
        <v>22</v>
      </c>
      <c r="N181" s="1" t="s">
        <v>41</v>
      </c>
      <c r="O181" s="1" t="s">
        <v>32</v>
      </c>
      <c r="P181" s="1" t="s">
        <v>484</v>
      </c>
      <c r="Q181" s="1">
        <v>45309</v>
      </c>
      <c r="R181" s="14">
        <v>5</v>
      </c>
      <c r="S181" s="1" t="s">
        <v>22</v>
      </c>
      <c r="T181" s="1" t="s">
        <v>22</v>
      </c>
      <c r="U181" s="1" t="s">
        <v>22</v>
      </c>
    </row>
    <row r="182" spans="1:21" x14ac:dyDescent="0.25">
      <c r="A182" s="1" t="s">
        <v>478</v>
      </c>
      <c r="B182" s="2" t="s">
        <v>99</v>
      </c>
      <c r="C182" s="1" t="s">
        <v>25</v>
      </c>
      <c r="D182" s="1" t="s">
        <v>534</v>
      </c>
      <c r="E182" s="1" t="s">
        <v>27</v>
      </c>
      <c r="F182" s="1">
        <v>45309</v>
      </c>
      <c r="G182" s="14" t="s">
        <v>28</v>
      </c>
      <c r="H182" t="s">
        <v>535</v>
      </c>
      <c r="I182" s="2" t="s">
        <v>536</v>
      </c>
      <c r="J182" s="2">
        <v>0.020833333333333332</v>
      </c>
      <c r="K182" s="1">
        <v>0.041666666666666664</v>
      </c>
      <c r="L182" s="1">
        <v>0.0625</v>
      </c>
      <c r="M182" s="1" t="s">
        <v>22</v>
      </c>
      <c r="N182" s="1" t="s">
        <v>53</v>
      </c>
      <c r="O182" s="1" t="s">
        <v>32</v>
      </c>
      <c r="P182" s="1" t="s">
        <v>484</v>
      </c>
      <c r="Q182" s="1">
        <v>45309</v>
      </c>
      <c r="R182" s="14">
        <v>5</v>
      </c>
      <c r="S182" s="1" t="s">
        <v>22</v>
      </c>
      <c r="T182" s="1" t="s">
        <v>22</v>
      </c>
      <c r="U182" s="1" t="s">
        <v>22</v>
      </c>
    </row>
    <row r="183" spans="1:21" x14ac:dyDescent="0.25">
      <c r="A183" s="1" t="s">
        <v>478</v>
      </c>
      <c r="B183" s="2" t="s">
        <v>537</v>
      </c>
      <c r="C183" s="1" t="s">
        <v>229</v>
      </c>
      <c r="D183" s="1" t="s">
        <v>538</v>
      </c>
      <c r="E183" s="1" t="s">
        <v>27</v>
      </c>
      <c r="F183" s="1">
        <v>45309</v>
      </c>
      <c r="G183" s="14" t="s">
        <v>507</v>
      </c>
      <c r="H183" t="s">
        <v>539</v>
      </c>
      <c r="I183" s="2" t="s">
        <v>540</v>
      </c>
      <c r="J183" s="2">
        <v>0.020833333333333332</v>
      </c>
      <c r="K183" s="1">
        <v>0.027777777777777776</v>
      </c>
      <c r="L183" s="1">
        <v>0.048611111111111105</v>
      </c>
      <c r="M183" s="1" t="s">
        <v>22</v>
      </c>
      <c r="N183" s="1" t="s">
        <v>53</v>
      </c>
      <c r="O183" s="1" t="s">
        <v>32</v>
      </c>
      <c r="P183" s="1" t="s">
        <v>42</v>
      </c>
      <c r="Q183" s="1">
        <v>45309</v>
      </c>
      <c r="R183" s="14">
        <v>5</v>
      </c>
      <c r="S183" s="1" t="s">
        <v>22</v>
      </c>
      <c r="T183" s="1" t="s">
        <v>22</v>
      </c>
      <c r="U183" s="1" t="s">
        <v>22</v>
      </c>
    </row>
    <row r="184" spans="1:21" x14ac:dyDescent="0.25">
      <c r="A184" s="1" t="s">
        <v>478</v>
      </c>
      <c r="B184" s="2" t="s">
        <v>199</v>
      </c>
      <c r="C184" s="1" t="s">
        <v>541</v>
      </c>
      <c r="D184" s="1" t="s">
        <v>542</v>
      </c>
      <c r="E184" s="1" t="s">
        <v>37</v>
      </c>
      <c r="F184" s="1">
        <v>45314</v>
      </c>
      <c r="G184" s="14" t="s">
        <v>96</v>
      </c>
      <c r="H184" t="s">
        <v>543</v>
      </c>
      <c r="I184" s="2" t="s">
        <v>544</v>
      </c>
      <c r="J184" s="2">
        <v>0.020833333333333332</v>
      </c>
      <c r="K184" s="1" t="s">
        <v>22</v>
      </c>
      <c r="L184" s="1">
        <v>0.020833333333333332</v>
      </c>
      <c r="M184" s="1" t="s">
        <v>22</v>
      </c>
      <c r="N184" s="1" t="s">
        <v>31</v>
      </c>
      <c r="O184" s="1" t="s">
        <v>22</v>
      </c>
      <c r="P184" s="1" t="s">
        <v>488</v>
      </c>
      <c r="Q184" s="1">
        <v>45314</v>
      </c>
      <c r="R184" s="14">
        <v>5</v>
      </c>
      <c r="S184" s="1" t="s">
        <v>22</v>
      </c>
      <c r="T184" s="1" t="s">
        <v>22</v>
      </c>
      <c r="U184" s="1" t="s">
        <v>22</v>
      </c>
    </row>
    <row r="185" spans="1:21" x14ac:dyDescent="0.25">
      <c r="A185" s="1" t="s">
        <v>478</v>
      </c>
      <c r="B185" s="2" t="s">
        <v>545</v>
      </c>
      <c r="C185" s="1" t="s">
        <v>546</v>
      </c>
      <c r="D185" s="1" t="s">
        <v>547</v>
      </c>
      <c r="E185" s="1" t="s">
        <v>37</v>
      </c>
      <c r="F185" s="1">
        <v>45314</v>
      </c>
      <c r="G185" s="14" t="s">
        <v>38</v>
      </c>
      <c r="H185" t="s">
        <v>548</v>
      </c>
      <c r="I185" s="2" t="s">
        <v>549</v>
      </c>
      <c r="J185" s="2">
        <v>0.04513888888888889</v>
      </c>
      <c r="K185" s="1">
        <v>0.034722222222222224</v>
      </c>
      <c r="L185" s="1">
        <v>0.0798611111111111</v>
      </c>
      <c r="M185" s="1" t="s">
        <v>22</v>
      </c>
      <c r="N185" s="1" t="s">
        <v>31</v>
      </c>
      <c r="O185" s="1" t="s">
        <v>483</v>
      </c>
      <c r="P185" s="1" t="s">
        <v>484</v>
      </c>
      <c r="Q185" s="1">
        <v>45314</v>
      </c>
      <c r="R185" s="14">
        <v>5</v>
      </c>
      <c r="S185" s="1" t="s">
        <v>22</v>
      </c>
      <c r="T185" s="1" t="s">
        <v>22</v>
      </c>
      <c r="U185" s="1" t="s">
        <v>22</v>
      </c>
    </row>
    <row r="186" spans="1:21" x14ac:dyDescent="0.25">
      <c r="A186" s="1" t="s">
        <v>478</v>
      </c>
      <c r="B186" s="2" t="s">
        <v>163</v>
      </c>
      <c r="C186" s="1" t="s">
        <v>25</v>
      </c>
      <c r="D186" s="1" t="s">
        <v>550</v>
      </c>
      <c r="E186" s="1" t="s">
        <v>37</v>
      </c>
      <c r="F186" s="1">
        <v>45310</v>
      </c>
      <c r="G186" s="14" t="s">
        <v>38</v>
      </c>
      <c r="H186" t="s">
        <v>551</v>
      </c>
      <c r="I186" s="2" t="s">
        <v>551</v>
      </c>
      <c r="J186" s="2">
        <v>0.04513888888888889</v>
      </c>
      <c r="K186" s="1" t="s">
        <v>22</v>
      </c>
      <c r="L186" s="1">
        <v>0.04513888888888889</v>
      </c>
      <c r="M186" s="1" t="s">
        <v>22</v>
      </c>
      <c r="N186" s="1" t="s">
        <v>31</v>
      </c>
      <c r="O186" s="1" t="s">
        <v>22</v>
      </c>
      <c r="P186" s="1" t="s">
        <v>488</v>
      </c>
      <c r="Q186" s="1">
        <v>45315</v>
      </c>
      <c r="R186" s="14">
        <v>5</v>
      </c>
      <c r="S186" s="1" t="s">
        <v>22</v>
      </c>
      <c r="T186" s="1" t="s">
        <v>22</v>
      </c>
      <c r="U186" s="1" t="s">
        <v>22</v>
      </c>
    </row>
    <row r="187" spans="1:21" x14ac:dyDescent="0.25">
      <c r="A187" s="1" t="s">
        <v>478</v>
      </c>
      <c r="B187" s="2" t="s">
        <v>48</v>
      </c>
      <c r="C187" s="1" t="s">
        <v>25</v>
      </c>
      <c r="D187" s="1" t="s">
        <v>552</v>
      </c>
      <c r="E187" s="1" t="s">
        <v>27</v>
      </c>
      <c r="F187" s="1">
        <v>45320</v>
      </c>
      <c r="G187" s="14" t="s">
        <v>38</v>
      </c>
      <c r="H187" t="s">
        <v>553</v>
      </c>
      <c r="I187" s="2" t="s">
        <v>553</v>
      </c>
      <c r="J187" s="2">
        <v>0.020833333333333332</v>
      </c>
      <c r="K187" s="1">
        <v>0.027777777777777776</v>
      </c>
      <c r="L187" s="1">
        <v>0.048611111111111105</v>
      </c>
      <c r="M187" s="1" t="s">
        <v>22</v>
      </c>
      <c r="N187" s="1" t="s">
        <v>31</v>
      </c>
      <c r="O187" s="1" t="s">
        <v>483</v>
      </c>
      <c r="P187" s="1" t="s">
        <v>484</v>
      </c>
      <c r="Q187" s="1">
        <v>45320</v>
      </c>
      <c r="R187" s="14">
        <v>5</v>
      </c>
      <c r="S187" s="1" t="s">
        <v>22</v>
      </c>
      <c r="T187" s="1" t="s">
        <v>22</v>
      </c>
      <c r="U187" s="1" t="s">
        <v>22</v>
      </c>
    </row>
    <row r="188" spans="1:21" x14ac:dyDescent="0.25">
      <c r="A188" s="1" t="s">
        <v>478</v>
      </c>
      <c r="B188" s="2" t="s">
        <v>286</v>
      </c>
      <c r="C188" s="1" t="s">
        <v>287</v>
      </c>
      <c r="D188" s="1" t="s">
        <v>554</v>
      </c>
      <c r="E188" s="1" t="s">
        <v>37</v>
      </c>
      <c r="F188" s="1">
        <v>45320</v>
      </c>
      <c r="G188" s="14" t="s">
        <v>38</v>
      </c>
      <c r="H188" t="s">
        <v>555</v>
      </c>
      <c r="I188" s="2" t="s">
        <v>556</v>
      </c>
      <c r="J188" s="2">
        <v>0.020833333333333332</v>
      </c>
      <c r="K188" s="1">
        <v>0.03125</v>
      </c>
      <c r="L188" s="1">
        <v>0.05208333333333333</v>
      </c>
      <c r="M188" s="1" t="s">
        <v>22</v>
      </c>
      <c r="N188" s="1" t="s">
        <v>31</v>
      </c>
      <c r="O188" s="1" t="s">
        <v>483</v>
      </c>
      <c r="P188" s="1" t="s">
        <v>484</v>
      </c>
      <c r="Q188" s="1">
        <v>45320</v>
      </c>
      <c r="R188" s="14">
        <v>5</v>
      </c>
      <c r="S188" s="1" t="s">
        <v>22</v>
      </c>
      <c r="T188" s="1" t="s">
        <v>22</v>
      </c>
      <c r="U188" s="1" t="s">
        <v>22</v>
      </c>
    </row>
    <row r="189" spans="1:21" x14ac:dyDescent="0.25">
      <c r="A189" s="1" t="s">
        <v>478</v>
      </c>
      <c r="B189" s="2" t="s">
        <v>118</v>
      </c>
      <c r="C189" s="1" t="s">
        <v>25</v>
      </c>
      <c r="D189" s="1" t="s">
        <v>557</v>
      </c>
      <c r="E189" s="1" t="s">
        <v>37</v>
      </c>
      <c r="F189" s="1">
        <v>45321</v>
      </c>
      <c r="G189" s="14" t="s">
        <v>38</v>
      </c>
      <c r="H189" t="s">
        <v>558</v>
      </c>
      <c r="I189" s="2" t="s">
        <v>558</v>
      </c>
      <c r="J189" s="2">
        <v>0.020833333333333332</v>
      </c>
      <c r="K189" s="1">
        <v>0.034722222222222224</v>
      </c>
      <c r="L189" s="1">
        <v>0.05555555555555555</v>
      </c>
      <c r="M189" s="1" t="s">
        <v>22</v>
      </c>
      <c r="N189" s="1" t="s">
        <v>31</v>
      </c>
      <c r="O189" s="1" t="s">
        <v>483</v>
      </c>
      <c r="P189" s="1" t="s">
        <v>484</v>
      </c>
      <c r="Q189" s="1">
        <v>45321</v>
      </c>
      <c r="R189" s="14">
        <v>5</v>
      </c>
      <c r="S189" s="1" t="s">
        <v>22</v>
      </c>
      <c r="T189" s="1" t="s">
        <v>22</v>
      </c>
      <c r="U189" s="1" t="s">
        <v>22</v>
      </c>
    </row>
    <row r="190" spans="1:21" x14ac:dyDescent="0.25">
      <c r="A190" s="1" t="s">
        <v>559</v>
      </c>
      <c r="B190" s="2" t="s">
        <v>35</v>
      </c>
      <c r="C190" s="1" t="s">
        <v>25</v>
      </c>
      <c r="D190" s="1" t="s">
        <v>560</v>
      </c>
      <c r="E190" s="1" t="s">
        <v>37</v>
      </c>
      <c r="F190" s="1">
        <v>45323</v>
      </c>
      <c r="G190" s="14" t="s">
        <v>38</v>
      </c>
      <c r="H190" t="s">
        <v>561</v>
      </c>
      <c r="I190" s="2" t="s">
        <v>562</v>
      </c>
      <c r="J190" s="2">
        <v>0.020833333333333332</v>
      </c>
      <c r="K190" s="1">
        <v>0.027777777777777776</v>
      </c>
      <c r="L190" s="1">
        <v>0.048611111111111105</v>
      </c>
      <c r="M190" s="1" t="s">
        <v>22</v>
      </c>
      <c r="N190" s="1" t="s">
        <v>31</v>
      </c>
      <c r="O190" s="1" t="s">
        <v>483</v>
      </c>
      <c r="P190" s="1" t="s">
        <v>42</v>
      </c>
      <c r="Q190" s="1">
        <v>45323</v>
      </c>
      <c r="R190" s="14">
        <v>5</v>
      </c>
      <c r="S190" s="1" t="s">
        <v>22</v>
      </c>
      <c r="T190" s="1" t="s">
        <v>22</v>
      </c>
      <c r="U190" s="1" t="s">
        <v>22</v>
      </c>
    </row>
    <row r="191" spans="1:21" x14ac:dyDescent="0.25">
      <c r="A191" s="1" t="s">
        <v>559</v>
      </c>
      <c r="B191" s="2" t="s">
        <v>170</v>
      </c>
      <c r="C191" s="1" t="s">
        <v>25</v>
      </c>
      <c r="D191" s="1" t="s">
        <v>563</v>
      </c>
      <c r="E191" s="1" t="s">
        <v>37</v>
      </c>
      <c r="F191" s="1">
        <v>45323</v>
      </c>
      <c r="G191" s="14" t="s">
        <v>38</v>
      </c>
      <c r="H191" t="s">
        <v>564</v>
      </c>
      <c r="I191" s="2" t="s">
        <v>565</v>
      </c>
      <c r="J191" s="2">
        <v>0.006944444444444444</v>
      </c>
      <c r="K191" s="1">
        <v>0.020833333333333332</v>
      </c>
      <c r="L191" s="1">
        <v>0.027777777777777776</v>
      </c>
      <c r="M191" s="1" t="s">
        <v>22</v>
      </c>
      <c r="N191" s="1" t="s">
        <v>31</v>
      </c>
      <c r="O191" s="1" t="s">
        <v>483</v>
      </c>
      <c r="P191" s="1" t="s">
        <v>42</v>
      </c>
      <c r="Q191" s="1">
        <v>45323</v>
      </c>
      <c r="R191" s="14">
        <v>5</v>
      </c>
      <c r="S191" s="1" t="s">
        <v>22</v>
      </c>
      <c r="T191" s="1" t="s">
        <v>22</v>
      </c>
      <c r="U191" s="1" t="s">
        <v>22</v>
      </c>
    </row>
    <row r="192" spans="1:21" x14ac:dyDescent="0.25">
      <c r="A192" s="1" t="s">
        <v>559</v>
      </c>
      <c r="B192" s="2" t="s">
        <v>566</v>
      </c>
      <c r="C192" s="1" t="s">
        <v>567</v>
      </c>
      <c r="D192" s="1" t="s">
        <v>568</v>
      </c>
      <c r="E192" s="1" t="s">
        <v>37</v>
      </c>
      <c r="F192" s="1">
        <v>45323</v>
      </c>
      <c r="G192" s="14" t="s">
        <v>38</v>
      </c>
      <c r="H192" t="s">
        <v>569</v>
      </c>
      <c r="I192" s="2" t="s">
        <v>570</v>
      </c>
      <c r="J192" s="2">
        <v>0.013888888888888888</v>
      </c>
      <c r="K192" s="1">
        <v>0.027777777777777776</v>
      </c>
      <c r="L192" s="1">
        <v>0.041666666666666664</v>
      </c>
      <c r="M192" s="1" t="s">
        <v>22</v>
      </c>
      <c r="N192" s="1" t="s">
        <v>41</v>
      </c>
      <c r="O192" s="1" t="s">
        <v>483</v>
      </c>
      <c r="P192" s="1" t="s">
        <v>488</v>
      </c>
      <c r="Q192" s="1">
        <v>45323</v>
      </c>
      <c r="R192" s="14">
        <v>5</v>
      </c>
      <c r="S192" s="1" t="s">
        <v>22</v>
      </c>
      <c r="T192" s="1" t="s">
        <v>22</v>
      </c>
      <c r="U192" s="1" t="s">
        <v>22</v>
      </c>
    </row>
    <row r="193" spans="1:21" x14ac:dyDescent="0.25">
      <c r="A193" s="1" t="s">
        <v>559</v>
      </c>
      <c r="B193" s="2" t="s">
        <v>223</v>
      </c>
      <c r="C193" s="1" t="s">
        <v>186</v>
      </c>
      <c r="D193" s="1" t="s">
        <v>571</v>
      </c>
      <c r="E193" s="1" t="s">
        <v>27</v>
      </c>
      <c r="F193" s="1">
        <v>45327</v>
      </c>
      <c r="G193" s="14" t="s">
        <v>38</v>
      </c>
      <c r="H193" t="s">
        <v>572</v>
      </c>
      <c r="I193" s="2" t="s">
        <v>573</v>
      </c>
      <c r="J193" s="2">
        <v>0.027777777777777776</v>
      </c>
      <c r="K193" s="1">
        <v>0.034722222222222224</v>
      </c>
      <c r="L193" s="1">
        <v>0.0625</v>
      </c>
      <c r="M193" s="1" t="s">
        <v>22</v>
      </c>
      <c r="N193" s="1" t="s">
        <v>574</v>
      </c>
      <c r="O193" s="1" t="s">
        <v>483</v>
      </c>
      <c r="P193" s="1" t="s">
        <v>488</v>
      </c>
      <c r="Q193" s="1">
        <v>45327</v>
      </c>
      <c r="R193" s="14">
        <v>5</v>
      </c>
      <c r="S193" s="1" t="s">
        <v>22</v>
      </c>
      <c r="T193" s="1" t="s">
        <v>22</v>
      </c>
      <c r="U193" s="1" t="s">
        <v>22</v>
      </c>
    </row>
    <row r="194" spans="1:21" x14ac:dyDescent="0.25">
      <c r="A194" s="1" t="s">
        <v>559</v>
      </c>
      <c r="B194" s="2" t="s">
        <v>529</v>
      </c>
      <c r="C194" s="1" t="s">
        <v>530</v>
      </c>
      <c r="D194" s="1" t="s">
        <v>575</v>
      </c>
      <c r="E194" s="1" t="s">
        <v>27</v>
      </c>
      <c r="F194" s="1">
        <v>45329</v>
      </c>
      <c r="G194" s="14" t="s">
        <v>38</v>
      </c>
      <c r="H194" t="s">
        <v>576</v>
      </c>
      <c r="I194" s="2" t="s">
        <v>577</v>
      </c>
      <c r="J194" s="2">
        <v>0.027777777777777776</v>
      </c>
      <c r="K194" s="1">
        <v>0.04513888888888889</v>
      </c>
      <c r="L194" s="1">
        <v>0.07291666666666666</v>
      </c>
      <c r="M194" s="1" t="s">
        <v>22</v>
      </c>
      <c r="N194" s="1" t="s">
        <v>31</v>
      </c>
      <c r="O194" s="1" t="s">
        <v>483</v>
      </c>
      <c r="P194" s="1" t="s">
        <v>488</v>
      </c>
      <c r="Q194" s="1">
        <v>45329</v>
      </c>
      <c r="R194" s="14">
        <v>5</v>
      </c>
      <c r="S194" s="1" t="s">
        <v>22</v>
      </c>
      <c r="T194" s="1" t="s">
        <v>22</v>
      </c>
      <c r="U194" s="1" t="s">
        <v>22</v>
      </c>
    </row>
    <row r="195" spans="1:21" x14ac:dyDescent="0.25">
      <c r="A195" s="1" t="s">
        <v>559</v>
      </c>
      <c r="B195" s="2" t="s">
        <v>247</v>
      </c>
      <c r="C195" s="1" t="s">
        <v>25</v>
      </c>
      <c r="D195" s="1" t="s">
        <v>578</v>
      </c>
      <c r="E195" s="1" t="s">
        <v>37</v>
      </c>
      <c r="F195" s="1">
        <v>45331</v>
      </c>
      <c r="G195" s="14" t="s">
        <v>38</v>
      </c>
      <c r="H195" t="s">
        <v>579</v>
      </c>
      <c r="I195" s="2" t="s">
        <v>580</v>
      </c>
      <c r="J195" s="2">
        <v>0.020833333333333332</v>
      </c>
      <c r="K195" s="1">
        <v>0.034722222222222224</v>
      </c>
      <c r="L195" s="1">
        <v>0.05555555555555555</v>
      </c>
      <c r="M195" s="1" t="s">
        <v>22</v>
      </c>
      <c r="N195" s="1" t="s">
        <v>41</v>
      </c>
      <c r="O195" s="1" t="s">
        <v>483</v>
      </c>
      <c r="P195" s="1" t="s">
        <v>488</v>
      </c>
      <c r="Q195" s="1">
        <v>45331</v>
      </c>
      <c r="R195" s="14">
        <v>5</v>
      </c>
      <c r="S195" s="1" t="s">
        <v>22</v>
      </c>
      <c r="T195" s="1" t="s">
        <v>22</v>
      </c>
      <c r="U195" s="1" t="s">
        <v>22</v>
      </c>
    </row>
    <row r="196" spans="1:21" x14ac:dyDescent="0.25">
      <c r="A196" s="1" t="s">
        <v>559</v>
      </c>
      <c r="B196" s="2" t="s">
        <v>259</v>
      </c>
      <c r="C196" s="1" t="s">
        <v>25</v>
      </c>
      <c r="D196" s="1" t="s">
        <v>581</v>
      </c>
      <c r="E196" s="1" t="s">
        <v>27</v>
      </c>
      <c r="F196" s="1">
        <v>45334</v>
      </c>
      <c r="G196" s="14" t="s">
        <v>507</v>
      </c>
      <c r="H196" t="s">
        <v>582</v>
      </c>
      <c r="I196" s="2" t="s">
        <v>583</v>
      </c>
      <c r="J196" s="2">
        <v>0.013888888888888888</v>
      </c>
      <c r="K196" s="1">
        <v>0.03125</v>
      </c>
      <c r="L196" s="1">
        <v>0.04513888888888889</v>
      </c>
      <c r="M196" s="1" t="s">
        <v>22</v>
      </c>
      <c r="N196" s="1" t="s">
        <v>32</v>
      </c>
      <c r="O196" s="1" t="s">
        <v>483</v>
      </c>
      <c r="P196" s="1" t="s">
        <v>42</v>
      </c>
      <c r="Q196" s="1">
        <v>45334</v>
      </c>
      <c r="R196" s="14">
        <v>5</v>
      </c>
      <c r="S196" s="1" t="s">
        <v>22</v>
      </c>
      <c r="T196" s="1" t="s">
        <v>22</v>
      </c>
      <c r="U196" s="1" t="s">
        <v>22</v>
      </c>
    </row>
    <row r="197" spans="1:21" x14ac:dyDescent="0.25">
      <c r="A197" s="1" t="s">
        <v>559</v>
      </c>
      <c r="B197" s="2" t="s">
        <v>185</v>
      </c>
      <c r="C197" s="1" t="s">
        <v>186</v>
      </c>
      <c r="D197" s="1" t="s">
        <v>584</v>
      </c>
      <c r="E197" s="1" t="s">
        <v>27</v>
      </c>
      <c r="F197" s="1">
        <v>45334</v>
      </c>
      <c r="G197" s="14" t="s">
        <v>507</v>
      </c>
      <c r="H197" t="s">
        <v>585</v>
      </c>
      <c r="I197" s="2" t="s">
        <v>586</v>
      </c>
      <c r="J197" s="2">
        <v>0.020833333333333332</v>
      </c>
      <c r="K197" s="1">
        <v>0.034722222222222224</v>
      </c>
      <c r="L197" s="1">
        <v>0.05555555555555555</v>
      </c>
      <c r="M197" s="1" t="s">
        <v>22</v>
      </c>
      <c r="N197" s="1" t="s">
        <v>32</v>
      </c>
      <c r="O197" s="1" t="s">
        <v>483</v>
      </c>
      <c r="P197" s="1" t="s">
        <v>484</v>
      </c>
      <c r="Q197" s="1">
        <v>45334</v>
      </c>
      <c r="R197" s="14">
        <v>5</v>
      </c>
      <c r="S197" s="1" t="s">
        <v>22</v>
      </c>
      <c r="T197" s="1" t="s">
        <v>22</v>
      </c>
      <c r="U197" s="1" t="s">
        <v>22</v>
      </c>
    </row>
    <row r="198" spans="1:21" x14ac:dyDescent="0.25">
      <c r="A198" s="1" t="s">
        <v>559</v>
      </c>
      <c r="B198" s="2" t="s">
        <v>35</v>
      </c>
      <c r="C198" s="1" t="s">
        <v>25</v>
      </c>
      <c r="D198" s="1" t="s">
        <v>587</v>
      </c>
      <c r="E198" s="1" t="s">
        <v>27</v>
      </c>
      <c r="F198" s="1">
        <v>45334</v>
      </c>
      <c r="G198" s="14" t="s">
        <v>38</v>
      </c>
      <c r="H198" t="s">
        <v>588</v>
      </c>
      <c r="I198" s="2" t="s">
        <v>588</v>
      </c>
      <c r="J198" s="2">
        <v>0.034722222222222224</v>
      </c>
      <c r="K198" s="1">
        <v>0.041666666666666664</v>
      </c>
      <c r="L198" s="1">
        <v>0.0763888888888889</v>
      </c>
      <c r="M198" s="1" t="s">
        <v>22</v>
      </c>
      <c r="N198" s="1" t="s">
        <v>31</v>
      </c>
      <c r="O198" s="1" t="s">
        <v>32</v>
      </c>
      <c r="P198" s="1" t="s">
        <v>42</v>
      </c>
      <c r="Q198" s="1">
        <v>45334</v>
      </c>
      <c r="R198" s="14">
        <v>5</v>
      </c>
      <c r="S198" s="1" t="s">
        <v>22</v>
      </c>
      <c r="T198" s="1" t="s">
        <v>22</v>
      </c>
      <c r="U198" s="1" t="s">
        <v>22</v>
      </c>
    </row>
    <row r="199" spans="1:21" x14ac:dyDescent="0.25">
      <c r="A199" s="1" t="s">
        <v>559</v>
      </c>
      <c r="B199" s="2" t="s">
        <v>247</v>
      </c>
      <c r="C199" s="1" t="s">
        <v>25</v>
      </c>
      <c r="D199" s="1" t="s">
        <v>589</v>
      </c>
      <c r="E199" s="1" t="s">
        <v>27</v>
      </c>
      <c r="F199" s="1">
        <v>45335</v>
      </c>
      <c r="G199" s="14" t="s">
        <v>38</v>
      </c>
      <c r="H199" t="s">
        <v>590</v>
      </c>
      <c r="I199" s="2" t="s">
        <v>591</v>
      </c>
      <c r="J199" s="2">
        <v>0.027777777777777776</v>
      </c>
      <c r="K199" s="1">
        <v>0.04513888888888889</v>
      </c>
      <c r="L199" s="1">
        <v>0.07291666666666666</v>
      </c>
      <c r="M199" s="1" t="s">
        <v>22</v>
      </c>
      <c r="N199" s="1" t="s">
        <v>32</v>
      </c>
      <c r="O199" s="1" t="s">
        <v>483</v>
      </c>
      <c r="P199" s="1" t="s">
        <v>488</v>
      </c>
      <c r="Q199" s="1">
        <v>45335</v>
      </c>
      <c r="R199" s="14">
        <v>5</v>
      </c>
      <c r="S199" s="1" t="s">
        <v>22</v>
      </c>
      <c r="T199" s="1" t="s">
        <v>22</v>
      </c>
      <c r="U199" s="1" t="s">
        <v>22</v>
      </c>
    </row>
    <row r="200" spans="1:21" x14ac:dyDescent="0.25">
      <c r="A200" s="1" t="s">
        <v>559</v>
      </c>
      <c r="B200" s="2" t="s">
        <v>24</v>
      </c>
      <c r="C200" s="1" t="s">
        <v>25</v>
      </c>
      <c r="D200" s="1" t="s">
        <v>592</v>
      </c>
      <c r="E200" s="1" t="s">
        <v>27</v>
      </c>
      <c r="F200" s="1">
        <v>45339</v>
      </c>
      <c r="G200" s="14" t="s">
        <v>507</v>
      </c>
      <c r="H200" t="s">
        <v>593</v>
      </c>
      <c r="I200" s="2" t="s">
        <v>594</v>
      </c>
      <c r="J200" s="2">
        <v>0.006944444444444444</v>
      </c>
      <c r="K200" s="1">
        <v>0.027777777777777776</v>
      </c>
      <c r="L200" s="1">
        <v>0.034722222222222224</v>
      </c>
      <c r="M200" s="1" t="s">
        <v>22</v>
      </c>
      <c r="N200" s="1" t="s">
        <v>32</v>
      </c>
      <c r="O200" s="1" t="s">
        <v>483</v>
      </c>
      <c r="P200" s="1" t="s">
        <v>488</v>
      </c>
      <c r="Q200" s="1">
        <v>45339</v>
      </c>
      <c r="R200" s="14">
        <v>5</v>
      </c>
      <c r="S200" s="1" t="s">
        <v>22</v>
      </c>
      <c r="T200" s="1" t="s">
        <v>22</v>
      </c>
      <c r="U200" s="1" t="s">
        <v>22</v>
      </c>
    </row>
    <row r="201" spans="1:21" x14ac:dyDescent="0.25">
      <c r="A201" s="1" t="s">
        <v>559</v>
      </c>
      <c r="B201" s="2" t="s">
        <v>286</v>
      </c>
      <c r="C201" s="1" t="s">
        <v>287</v>
      </c>
      <c r="D201" s="1" t="s">
        <v>595</v>
      </c>
      <c r="E201" s="1" t="s">
        <v>37</v>
      </c>
      <c r="F201" s="1">
        <v>45344</v>
      </c>
      <c r="G201" s="14" t="s">
        <v>38</v>
      </c>
      <c r="H201" t="s">
        <v>596</v>
      </c>
      <c r="I201" s="2" t="s">
        <v>597</v>
      </c>
      <c r="J201" s="2">
        <v>0.020833333333333332</v>
      </c>
      <c r="K201" s="1">
        <v>0.03125</v>
      </c>
      <c r="L201" s="1">
        <v>0.05208333333333333</v>
      </c>
      <c r="M201" s="1" t="s">
        <v>22</v>
      </c>
      <c r="N201" s="1" t="s">
        <v>32</v>
      </c>
      <c r="O201" s="1" t="s">
        <v>41</v>
      </c>
      <c r="P201" s="1" t="s">
        <v>484</v>
      </c>
      <c r="Q201" s="1">
        <v>45344</v>
      </c>
      <c r="R201" s="14">
        <v>5</v>
      </c>
      <c r="S201" s="1" t="s">
        <v>22</v>
      </c>
      <c r="T201" s="1" t="s">
        <v>22</v>
      </c>
      <c r="U201" s="1" t="s">
        <v>22</v>
      </c>
    </row>
    <row r="202" spans="1:21" x14ac:dyDescent="0.25">
      <c r="A202" s="1" t="s">
        <v>559</v>
      </c>
      <c r="B202" s="2" t="s">
        <v>48</v>
      </c>
      <c r="C202" s="1" t="s">
        <v>25</v>
      </c>
      <c r="D202" s="1" t="s">
        <v>598</v>
      </c>
      <c r="E202" s="1" t="s">
        <v>27</v>
      </c>
      <c r="F202" s="1">
        <v>45344</v>
      </c>
      <c r="G202" s="14" t="s">
        <v>38</v>
      </c>
      <c r="H202" t="s">
        <v>599</v>
      </c>
      <c r="I202" s="2" t="s">
        <v>599</v>
      </c>
      <c r="J202" s="2">
        <v>0.041666666666666664</v>
      </c>
      <c r="K202" s="1">
        <v>0.04861111111111111</v>
      </c>
      <c r="L202" s="1">
        <v>0.09027777777777778</v>
      </c>
      <c r="M202" s="1" t="s">
        <v>22</v>
      </c>
      <c r="N202" s="1" t="s">
        <v>31</v>
      </c>
      <c r="O202" s="1" t="s">
        <v>32</v>
      </c>
      <c r="P202" s="1" t="s">
        <v>484</v>
      </c>
      <c r="Q202" s="1">
        <v>45344</v>
      </c>
      <c r="R202" s="14">
        <v>5</v>
      </c>
      <c r="S202" s="1" t="s">
        <v>22</v>
      </c>
      <c r="T202" s="1" t="s">
        <v>22</v>
      </c>
      <c r="U202" s="1" t="s">
        <v>22</v>
      </c>
    </row>
    <row r="203" spans="1:21" x14ac:dyDescent="0.25">
      <c r="A203" s="1" t="s">
        <v>559</v>
      </c>
      <c r="B203" s="2" t="s">
        <v>223</v>
      </c>
      <c r="C203" s="1" t="s">
        <v>186</v>
      </c>
      <c r="D203" s="1" t="s">
        <v>600</v>
      </c>
      <c r="E203" s="1" t="s">
        <v>37</v>
      </c>
      <c r="F203" s="1">
        <v>45345</v>
      </c>
      <c r="G203" s="14" t="s">
        <v>38</v>
      </c>
      <c r="H203" t="s">
        <v>601</v>
      </c>
      <c r="I203" s="2" t="s">
        <v>602</v>
      </c>
      <c r="J203" s="2">
        <v>0.041666666666666664</v>
      </c>
      <c r="K203" s="1">
        <v>0.027777777777777776</v>
      </c>
      <c r="L203" s="1">
        <v>0.06944444444444445</v>
      </c>
      <c r="M203" s="1" t="s">
        <v>22</v>
      </c>
      <c r="N203" s="1" t="s">
        <v>31</v>
      </c>
      <c r="O203" s="1" t="s">
        <v>483</v>
      </c>
      <c r="P203" s="1" t="s">
        <v>488</v>
      </c>
      <c r="Q203" s="1">
        <v>45348</v>
      </c>
      <c r="R203" s="14">
        <v>5</v>
      </c>
      <c r="S203" s="1" t="s">
        <v>22</v>
      </c>
      <c r="T203" s="1" t="s">
        <v>22</v>
      </c>
      <c r="U203" s="1" t="s">
        <v>22</v>
      </c>
    </row>
    <row r="204" spans="1:21" x14ac:dyDescent="0.25">
      <c r="A204" s="1" t="s">
        <v>559</v>
      </c>
      <c r="B204" s="2" t="s">
        <v>260</v>
      </c>
      <c r="C204" s="1" t="s">
        <v>261</v>
      </c>
      <c r="D204" s="1" t="s">
        <v>603</v>
      </c>
      <c r="E204" s="1" t="s">
        <v>37</v>
      </c>
      <c r="F204" s="1">
        <v>45349</v>
      </c>
      <c r="G204" s="14" t="s">
        <v>38</v>
      </c>
      <c r="H204" t="s">
        <v>604</v>
      </c>
      <c r="I204" s="2" t="s">
        <v>605</v>
      </c>
      <c r="J204" s="2">
        <v>0.010416666666666666</v>
      </c>
      <c r="K204" s="1">
        <v>0.041666666666666664</v>
      </c>
      <c r="L204" s="1">
        <v>0.05208333333333333</v>
      </c>
      <c r="M204" s="1" t="s">
        <v>22</v>
      </c>
      <c r="N204" s="1" t="s">
        <v>31</v>
      </c>
      <c r="O204" s="1" t="s">
        <v>41</v>
      </c>
      <c r="P204" s="1" t="s">
        <v>488</v>
      </c>
      <c r="Q204" s="1">
        <v>45349</v>
      </c>
      <c r="R204" s="14">
        <v>5</v>
      </c>
      <c r="S204" s="1" t="s">
        <v>22</v>
      </c>
      <c r="T204" s="1" t="s">
        <v>22</v>
      </c>
      <c r="U204" s="1" t="s">
        <v>22</v>
      </c>
    </row>
    <row r="205" spans="1:21" x14ac:dyDescent="0.25">
      <c r="A205" s="1" t="s">
        <v>559</v>
      </c>
      <c r="B205" s="2" t="s">
        <v>163</v>
      </c>
      <c r="C205" s="1" t="s">
        <v>25</v>
      </c>
      <c r="D205" s="1" t="s">
        <v>606</v>
      </c>
      <c r="E205" s="1" t="s">
        <v>27</v>
      </c>
      <c r="F205" s="1">
        <v>45350</v>
      </c>
      <c r="G205" s="14" t="s">
        <v>38</v>
      </c>
      <c r="H205" t="s">
        <v>607</v>
      </c>
      <c r="I205" s="2" t="s">
        <v>608</v>
      </c>
      <c r="J205" s="2">
        <v>0.05555555555555555</v>
      </c>
      <c r="K205" s="1">
        <v>0.06597222222222222</v>
      </c>
      <c r="L205" s="1">
        <v>0.12152777777777778</v>
      </c>
      <c r="M205" s="1" t="s">
        <v>22</v>
      </c>
      <c r="N205" s="1" t="s">
        <v>32</v>
      </c>
      <c r="O205" s="1" t="s">
        <v>41</v>
      </c>
      <c r="P205" s="1" t="s">
        <v>488</v>
      </c>
      <c r="Q205" s="1">
        <v>45350</v>
      </c>
      <c r="R205" s="14">
        <v>5</v>
      </c>
      <c r="S205" s="1" t="s">
        <v>22</v>
      </c>
      <c r="T205" s="1" t="s">
        <v>22</v>
      </c>
      <c r="U205" s="1" t="s">
        <v>22</v>
      </c>
    </row>
    <row r="206" spans="1:21" x14ac:dyDescent="0.25">
      <c r="A206" s="1" t="s">
        <v>559</v>
      </c>
      <c r="B206" s="2" t="s">
        <v>609</v>
      </c>
      <c r="C206" s="1" t="s">
        <v>567</v>
      </c>
      <c r="D206" s="1" t="s">
        <v>606</v>
      </c>
      <c r="E206" s="1" t="s">
        <v>27</v>
      </c>
      <c r="F206" s="1">
        <v>45350</v>
      </c>
      <c r="G206" s="14" t="s">
        <v>38</v>
      </c>
      <c r="H206" t="s">
        <v>610</v>
      </c>
      <c r="I206" s="2" t="s">
        <v>611</v>
      </c>
      <c r="J206" s="2">
        <v>0.010416666666666666</v>
      </c>
      <c r="K206" s="1">
        <v>0.027777777777777776</v>
      </c>
      <c r="L206" s="1">
        <v>0.03819444444444444</v>
      </c>
      <c r="M206" s="1" t="s">
        <v>22</v>
      </c>
      <c r="N206" s="1" t="s">
        <v>32</v>
      </c>
      <c r="O206" s="1" t="s">
        <v>41</v>
      </c>
      <c r="P206" s="1" t="s">
        <v>488</v>
      </c>
      <c r="Q206" s="1">
        <v>45350</v>
      </c>
      <c r="R206" s="14">
        <v>5</v>
      </c>
      <c r="S206" s="1" t="s">
        <v>22</v>
      </c>
      <c r="T206" s="1" t="s">
        <v>22</v>
      </c>
      <c r="U206" s="1" t="s">
        <v>22</v>
      </c>
    </row>
    <row r="207" spans="1:21" x14ac:dyDescent="0.25">
      <c r="A207" s="1" t="s">
        <v>559</v>
      </c>
      <c r="B207" s="2" t="s">
        <v>566</v>
      </c>
      <c r="C207" s="1" t="s">
        <v>567</v>
      </c>
      <c r="D207" s="1" t="s">
        <v>606</v>
      </c>
      <c r="E207" s="1" t="s">
        <v>27</v>
      </c>
      <c r="F207" s="1">
        <v>45350</v>
      </c>
      <c r="G207" s="14" t="s">
        <v>38</v>
      </c>
      <c r="H207" t="s">
        <v>610</v>
      </c>
      <c r="I207" s="2" t="s">
        <v>611</v>
      </c>
      <c r="J207" s="2">
        <v>0.010416666666666666</v>
      </c>
      <c r="K207" s="1">
        <v>0.027777777777777776</v>
      </c>
      <c r="L207" s="1">
        <v>0.03819444444444444</v>
      </c>
      <c r="M207" s="1" t="s">
        <v>22</v>
      </c>
      <c r="N207" s="1" t="s">
        <v>32</v>
      </c>
      <c r="O207" s="1" t="s">
        <v>41</v>
      </c>
      <c r="P207" s="1" t="s">
        <v>488</v>
      </c>
      <c r="Q207" s="1">
        <v>45350</v>
      </c>
      <c r="R207" s="14">
        <v>5</v>
      </c>
      <c r="S207" s="1" t="s">
        <v>22</v>
      </c>
      <c r="T207" s="1" t="s">
        <v>22</v>
      </c>
      <c r="U207" s="1" t="s">
        <v>22</v>
      </c>
    </row>
    <row r="208" spans="1:21" x14ac:dyDescent="0.25">
      <c r="A208" s="1" t="s">
        <v>559</v>
      </c>
      <c r="B208" s="2" t="s">
        <v>612</v>
      </c>
      <c r="C208" s="1" t="s">
        <v>567</v>
      </c>
      <c r="D208" s="1" t="s">
        <v>606</v>
      </c>
      <c r="E208" s="1" t="s">
        <v>27</v>
      </c>
      <c r="F208" s="1">
        <v>45350</v>
      </c>
      <c r="G208" s="14" t="s">
        <v>38</v>
      </c>
      <c r="H208" t="s">
        <v>610</v>
      </c>
      <c r="I208" s="2" t="s">
        <v>611</v>
      </c>
      <c r="J208" s="2">
        <v>0.006944444444444444</v>
      </c>
      <c r="K208" s="1">
        <v>0.034722222222222224</v>
      </c>
      <c r="L208" s="1">
        <v>0.04166666666666667</v>
      </c>
      <c r="M208" s="1" t="s">
        <v>22</v>
      </c>
      <c r="N208" s="1" t="s">
        <v>32</v>
      </c>
      <c r="O208" s="1" t="s">
        <v>41</v>
      </c>
      <c r="P208" s="1" t="s">
        <v>488</v>
      </c>
      <c r="Q208" s="1">
        <v>45350</v>
      </c>
      <c r="R208" s="14">
        <v>5</v>
      </c>
      <c r="S208" s="1" t="s">
        <v>22</v>
      </c>
      <c r="T208" s="1" t="s">
        <v>22</v>
      </c>
      <c r="U208" s="1" t="s">
        <v>22</v>
      </c>
    </row>
    <row r="209" spans="1:21" x14ac:dyDescent="0.25">
      <c r="A209" s="1" t="s">
        <v>559</v>
      </c>
      <c r="B209" s="2" t="s">
        <v>223</v>
      </c>
      <c r="C209" s="1" t="s">
        <v>186</v>
      </c>
      <c r="D209" s="1" t="s">
        <v>613</v>
      </c>
      <c r="E209" s="1" t="s">
        <v>37</v>
      </c>
      <c r="F209" s="1">
        <v>45351</v>
      </c>
      <c r="G209" s="14" t="s">
        <v>38</v>
      </c>
      <c r="H209" t="s">
        <v>614</v>
      </c>
      <c r="I209" s="2" t="s">
        <v>615</v>
      </c>
      <c r="J209" s="2">
        <v>0.013888888888888888</v>
      </c>
      <c r="K209" s="1">
        <v>0.020833333333333332</v>
      </c>
      <c r="L209" s="1">
        <v>0.034722222222222224</v>
      </c>
      <c r="M209" s="1" t="s">
        <v>22</v>
      </c>
      <c r="N209" s="1" t="s">
        <v>31</v>
      </c>
      <c r="O209" s="1" t="s">
        <v>32</v>
      </c>
      <c r="P209" s="1" t="s">
        <v>488</v>
      </c>
      <c r="Q209" s="1">
        <v>45355</v>
      </c>
      <c r="R209" s="14">
        <v>5</v>
      </c>
      <c r="S209" s="1" t="s">
        <v>22</v>
      </c>
      <c r="T209" s="1" t="s">
        <v>22</v>
      </c>
      <c r="U209" s="1" t="s">
        <v>22</v>
      </c>
    </row>
    <row r="210" spans="1:21" x14ac:dyDescent="0.25">
      <c r="A210" s="1" t="s">
        <v>559</v>
      </c>
      <c r="B210" s="2" t="s">
        <v>616</v>
      </c>
      <c r="C210" s="1" t="s">
        <v>617</v>
      </c>
      <c r="D210" s="1" t="s">
        <v>618</v>
      </c>
      <c r="E210" s="1" t="s">
        <v>37</v>
      </c>
      <c r="F210" s="1">
        <v>45351</v>
      </c>
      <c r="G210" s="14" t="s">
        <v>38</v>
      </c>
      <c r="H210" t="s">
        <v>619</v>
      </c>
      <c r="I210" s="2" t="s">
        <v>620</v>
      </c>
      <c r="J210" s="2">
        <v>0.013888888888888888</v>
      </c>
      <c r="K210" s="1">
        <v>0.034722222222222224</v>
      </c>
      <c r="L210" s="1">
        <v>0.04861111111111111</v>
      </c>
      <c r="M210" s="1" t="s">
        <v>22</v>
      </c>
      <c r="N210" s="1" t="s">
        <v>31</v>
      </c>
      <c r="O210" s="1" t="s">
        <v>41</v>
      </c>
      <c r="P210" s="1" t="s">
        <v>484</v>
      </c>
      <c r="Q210" s="1">
        <v>45351</v>
      </c>
      <c r="R210" s="14">
        <v>5</v>
      </c>
      <c r="S210" s="1" t="s">
        <v>22</v>
      </c>
      <c r="T210" s="1" t="s">
        <v>22</v>
      </c>
      <c r="U210" s="1" t="s">
        <v>22</v>
      </c>
    </row>
    <row r="211" spans="1:21" x14ac:dyDescent="0.25">
      <c r="A211" s="1" t="s">
        <v>621</v>
      </c>
      <c r="B211" s="2" t="s">
        <v>35</v>
      </c>
      <c r="C211" s="1" t="s">
        <v>25</v>
      </c>
      <c r="D211" s="1" t="s">
        <v>622</v>
      </c>
      <c r="E211" s="1" t="s">
        <v>27</v>
      </c>
      <c r="F211" s="1">
        <v>45352</v>
      </c>
      <c r="G211" s="14" t="s">
        <v>38</v>
      </c>
      <c r="H211" t="s">
        <v>623</v>
      </c>
      <c r="I211" s="2" t="s">
        <v>624</v>
      </c>
      <c r="J211" s="2">
        <v>0.020833333333333332</v>
      </c>
      <c r="K211" s="1">
        <v>0.03819444444444445</v>
      </c>
      <c r="L211" s="1">
        <v>0.059027777777777776</v>
      </c>
      <c r="M211" s="1" t="s">
        <v>22</v>
      </c>
      <c r="N211" s="1" t="s">
        <v>574</v>
      </c>
      <c r="O211" s="1" t="s">
        <v>41</v>
      </c>
      <c r="P211" s="1" t="s">
        <v>42</v>
      </c>
      <c r="Q211" s="1">
        <v>45352</v>
      </c>
      <c r="R211" s="14">
        <v>5</v>
      </c>
      <c r="S211" s="1" t="s">
        <v>22</v>
      </c>
      <c r="T211" s="1" t="s">
        <v>22</v>
      </c>
      <c r="U211" s="1" t="s">
        <v>22</v>
      </c>
    </row>
    <row r="212" spans="1:21" x14ac:dyDescent="0.25">
      <c r="A212" s="1" t="s">
        <v>621</v>
      </c>
      <c r="B212" s="2" t="s">
        <v>625</v>
      </c>
      <c r="C212" s="1" t="s">
        <v>567</v>
      </c>
      <c r="D212" s="1" t="s">
        <v>626</v>
      </c>
      <c r="E212" s="1" t="s">
        <v>27</v>
      </c>
      <c r="F212" s="1">
        <v>45355</v>
      </c>
      <c r="G212" s="14" t="s">
        <v>507</v>
      </c>
      <c r="H212" t="s">
        <v>627</v>
      </c>
      <c r="I212" s="2" t="s">
        <v>628</v>
      </c>
      <c r="J212" s="2">
        <v>0.013888888888888888</v>
      </c>
      <c r="K212" s="1">
        <v>0.024305555555555556</v>
      </c>
      <c r="L212" s="1">
        <v>0.03819444444444445</v>
      </c>
      <c r="M212" s="1" t="s">
        <v>22</v>
      </c>
      <c r="N212" s="1" t="s">
        <v>32</v>
      </c>
      <c r="O212" s="1" t="s">
        <v>483</v>
      </c>
      <c r="P212" s="1" t="s">
        <v>488</v>
      </c>
      <c r="Q212" s="1">
        <v>45355</v>
      </c>
      <c r="R212" s="14">
        <v>5</v>
      </c>
      <c r="S212" s="1" t="s">
        <v>22</v>
      </c>
      <c r="T212" s="1" t="s">
        <v>22</v>
      </c>
      <c r="U212" s="1" t="s">
        <v>22</v>
      </c>
    </row>
    <row r="213" spans="1:21" x14ac:dyDescent="0.25">
      <c r="A213" s="1" t="s">
        <v>621</v>
      </c>
      <c r="B213" s="2" t="s">
        <v>223</v>
      </c>
      <c r="C213" s="1" t="s">
        <v>186</v>
      </c>
      <c r="D213" s="1" t="s">
        <v>629</v>
      </c>
      <c r="E213" s="1" t="s">
        <v>37</v>
      </c>
      <c r="F213" s="1">
        <v>45356</v>
      </c>
      <c r="G213" s="14" t="s">
        <v>74</v>
      </c>
      <c r="H213" t="s">
        <v>630</v>
      </c>
      <c r="I213" s="2" t="s">
        <v>631</v>
      </c>
      <c r="J213" s="2">
        <v>0.041666666666666664</v>
      </c>
      <c r="K213" s="1">
        <v>0.03125</v>
      </c>
      <c r="L213" s="1">
        <v>0.07291666666666666</v>
      </c>
      <c r="M213" s="1" t="s">
        <v>22</v>
      </c>
      <c r="N213" s="1" t="s">
        <v>31</v>
      </c>
      <c r="O213" s="1" t="s">
        <v>32</v>
      </c>
      <c r="P213" s="1" t="s">
        <v>488</v>
      </c>
      <c r="Q213" s="1">
        <v>45356</v>
      </c>
      <c r="R213" s="14">
        <v>5</v>
      </c>
      <c r="S213" s="1" t="s">
        <v>22</v>
      </c>
      <c r="T213" s="1" t="s">
        <v>22</v>
      </c>
      <c r="U213" s="1" t="s">
        <v>22</v>
      </c>
    </row>
    <row r="214" spans="1:21" x14ac:dyDescent="0.25">
      <c r="A214" s="1" t="s">
        <v>621</v>
      </c>
      <c r="B214" s="2" t="s">
        <v>185</v>
      </c>
      <c r="C214" s="1" t="s">
        <v>186</v>
      </c>
      <c r="D214" s="1" t="s">
        <v>632</v>
      </c>
      <c r="E214" s="1" t="s">
        <v>37</v>
      </c>
      <c r="F214" s="1">
        <v>45362</v>
      </c>
      <c r="G214" s="14" t="s">
        <v>38</v>
      </c>
      <c r="H214" t="s">
        <v>633</v>
      </c>
      <c r="I214" s="2" t="s">
        <v>634</v>
      </c>
      <c r="J214" s="2">
        <v>0</v>
      </c>
      <c r="K214" s="1">
        <v>0.03125</v>
      </c>
      <c r="L214" s="1">
        <v>0.03125</v>
      </c>
      <c r="M214" s="1" t="s">
        <v>22</v>
      </c>
      <c r="N214" s="1" t="s">
        <v>54</v>
      </c>
      <c r="O214" s="1" t="s">
        <v>41</v>
      </c>
      <c r="P214" s="1" t="s">
        <v>484</v>
      </c>
      <c r="Q214" s="1">
        <v>45362</v>
      </c>
      <c r="R214" s="14">
        <v>5</v>
      </c>
      <c r="S214" s="1" t="s">
        <v>22</v>
      </c>
      <c r="T214" s="1" t="s">
        <v>22</v>
      </c>
      <c r="U214" s="1" t="s">
        <v>22</v>
      </c>
    </row>
    <row r="215" spans="1:21" x14ac:dyDescent="0.25">
      <c r="A215" s="1" t="s">
        <v>621</v>
      </c>
      <c r="B215" s="2" t="s">
        <v>284</v>
      </c>
      <c r="C215" s="1" t="s">
        <v>285</v>
      </c>
      <c r="D215" s="1" t="s">
        <v>635</v>
      </c>
      <c r="E215" s="1" t="s">
        <v>37</v>
      </c>
      <c r="F215" s="1">
        <v>45364</v>
      </c>
      <c r="G215" s="14" t="s">
        <v>38</v>
      </c>
      <c r="H215" t="s">
        <v>636</v>
      </c>
      <c r="I215" s="2" t="s">
        <v>637</v>
      </c>
      <c r="J215" s="2">
        <v>0.010416666666666666</v>
      </c>
      <c r="K215" s="1">
        <v>0.034722222222222224</v>
      </c>
      <c r="L215" s="1">
        <v>0.04513888888888889</v>
      </c>
      <c r="M215" s="1" t="s">
        <v>22</v>
      </c>
      <c r="N215" s="1" t="s">
        <v>31</v>
      </c>
      <c r="O215" s="1" t="s">
        <v>41</v>
      </c>
      <c r="P215" s="1" t="s">
        <v>484</v>
      </c>
      <c r="Q215" s="1">
        <v>45364</v>
      </c>
      <c r="R215" s="14">
        <v>5</v>
      </c>
      <c r="S215" s="1" t="s">
        <v>22</v>
      </c>
      <c r="T215" s="1" t="s">
        <v>22</v>
      </c>
      <c r="U215" s="1" t="s">
        <v>22</v>
      </c>
    </row>
    <row r="216" spans="1:21" x14ac:dyDescent="0.25">
      <c r="A216" s="1" t="s">
        <v>621</v>
      </c>
      <c r="B216" s="2" t="s">
        <v>223</v>
      </c>
      <c r="C216" s="1" t="s">
        <v>186</v>
      </c>
      <c r="D216" s="1" t="s">
        <v>638</v>
      </c>
      <c r="E216" s="1" t="s">
        <v>27</v>
      </c>
      <c r="F216" s="1">
        <v>45364</v>
      </c>
      <c r="G216" s="14" t="s">
        <v>38</v>
      </c>
      <c r="H216" t="s">
        <v>639</v>
      </c>
      <c r="I216" s="2" t="s">
        <v>640</v>
      </c>
      <c r="J216" s="2">
        <v>0.03125</v>
      </c>
      <c r="K216" s="1">
        <v>0.0625</v>
      </c>
      <c r="L216" s="1">
        <v>0.09375</v>
      </c>
      <c r="M216" s="1" t="s">
        <v>22</v>
      </c>
      <c r="N216" s="1" t="s">
        <v>31</v>
      </c>
      <c r="O216" s="1" t="s">
        <v>41</v>
      </c>
      <c r="P216" s="1" t="s">
        <v>488</v>
      </c>
      <c r="Q216" s="1">
        <v>45364</v>
      </c>
      <c r="R216" s="14">
        <v>5</v>
      </c>
      <c r="S216" s="1" t="s">
        <v>22</v>
      </c>
      <c r="T216" s="1" t="s">
        <v>22</v>
      </c>
      <c r="U216" s="1" t="s">
        <v>22</v>
      </c>
    </row>
    <row r="217" spans="1:21" x14ac:dyDescent="0.25">
      <c r="A217" s="1" t="s">
        <v>621</v>
      </c>
      <c r="B217" s="2" t="s">
        <v>641</v>
      </c>
      <c r="C217" s="1" t="s">
        <v>261</v>
      </c>
      <c r="D217" s="1" t="s">
        <v>642</v>
      </c>
      <c r="E217" s="1" t="s">
        <v>37</v>
      </c>
      <c r="F217" s="1">
        <v>45366</v>
      </c>
      <c r="G217" s="14" t="s">
        <v>38</v>
      </c>
      <c r="H217" t="s">
        <v>643</v>
      </c>
      <c r="I217" s="2" t="s">
        <v>644</v>
      </c>
      <c r="J217" s="2">
        <v>0.11805555555555555</v>
      </c>
      <c r="K217" s="1">
        <v>0.0763888888888889</v>
      </c>
      <c r="L217" s="1">
        <v>0.19444444444444445</v>
      </c>
      <c r="M217" s="1" t="s">
        <v>22</v>
      </c>
      <c r="N217" s="1" t="s">
        <v>31</v>
      </c>
      <c r="O217" s="1" t="s">
        <v>41</v>
      </c>
      <c r="P217" s="1" t="s">
        <v>42</v>
      </c>
      <c r="Q217" s="1">
        <v>45366</v>
      </c>
      <c r="R217" s="14">
        <v>5</v>
      </c>
      <c r="S217" s="1" t="s">
        <v>22</v>
      </c>
      <c r="T217" s="1" t="s">
        <v>22</v>
      </c>
      <c r="U217" s="1" t="s">
        <v>22</v>
      </c>
    </row>
    <row r="218" spans="1:21" x14ac:dyDescent="0.25">
      <c r="A218" s="1" t="s">
        <v>621</v>
      </c>
      <c r="B218" s="2" t="s">
        <v>35</v>
      </c>
      <c r="C218" s="1" t="s">
        <v>25</v>
      </c>
      <c r="D218" s="1" t="s">
        <v>645</v>
      </c>
      <c r="E218" s="1" t="s">
        <v>27</v>
      </c>
      <c r="F218" s="1">
        <v>45366</v>
      </c>
      <c r="G218" s="14" t="s">
        <v>38</v>
      </c>
      <c r="H218" t="s">
        <v>646</v>
      </c>
      <c r="I218" s="2" t="s">
        <v>647</v>
      </c>
      <c r="J218" s="2">
        <v>0.034722222222222224</v>
      </c>
      <c r="K218" s="1">
        <v>0.041666666666666664</v>
      </c>
      <c r="L218" s="1">
        <v>0.0763888888888889</v>
      </c>
      <c r="M218" s="1" t="s">
        <v>22</v>
      </c>
      <c r="N218" s="1" t="s">
        <v>41</v>
      </c>
      <c r="O218" s="1" t="s">
        <v>31</v>
      </c>
      <c r="P218" s="1" t="s">
        <v>42</v>
      </c>
      <c r="Q218" s="1">
        <v>45366</v>
      </c>
      <c r="R218" s="14">
        <v>5</v>
      </c>
      <c r="S218" s="1" t="s">
        <v>22</v>
      </c>
      <c r="T218" s="1" t="s">
        <v>22</v>
      </c>
      <c r="U218" s="1" t="s">
        <v>22</v>
      </c>
    </row>
    <row r="219" spans="1:21" x14ac:dyDescent="0.25">
      <c r="A219" s="1" t="s">
        <v>621</v>
      </c>
      <c r="B219" s="2" t="s">
        <v>99</v>
      </c>
      <c r="C219" s="1" t="s">
        <v>25</v>
      </c>
      <c r="D219" s="1" t="s">
        <v>648</v>
      </c>
      <c r="E219" s="1" t="s">
        <v>27</v>
      </c>
      <c r="F219" s="1">
        <v>45378</v>
      </c>
      <c r="G219" s="14" t="s">
        <v>28</v>
      </c>
      <c r="H219" t="s">
        <v>649</v>
      </c>
      <c r="I219" s="2" t="s">
        <v>650</v>
      </c>
      <c r="J219" s="2">
        <v>0.034722222222222224</v>
      </c>
      <c r="K219" s="1">
        <v>0.06944444444444445</v>
      </c>
      <c r="L219" s="1">
        <v>0.10416666666666667</v>
      </c>
      <c r="M219" s="1" t="s">
        <v>22</v>
      </c>
      <c r="N219" s="1" t="s">
        <v>32</v>
      </c>
      <c r="O219" s="1" t="s">
        <v>41</v>
      </c>
      <c r="P219" s="1" t="s">
        <v>47</v>
      </c>
      <c r="Q219" s="1">
        <v>45378</v>
      </c>
      <c r="R219" s="14">
        <v>5</v>
      </c>
      <c r="S219" s="1" t="s">
        <v>22</v>
      </c>
      <c r="T219" s="1" t="s">
        <v>22</v>
      </c>
      <c r="U219" s="1" t="s">
        <v>22</v>
      </c>
    </row>
    <row r="220" spans="1:21" x14ac:dyDescent="0.25">
      <c r="A220" s="1" t="s">
        <v>621</v>
      </c>
      <c r="B220" s="2" t="s">
        <v>334</v>
      </c>
      <c r="C220" s="1" t="s">
        <v>335</v>
      </c>
      <c r="D220" s="1" t="s">
        <v>651</v>
      </c>
      <c r="E220" s="1" t="s">
        <v>27</v>
      </c>
      <c r="F220" s="1">
        <v>45378</v>
      </c>
      <c r="G220" s="14" t="s">
        <v>133</v>
      </c>
      <c r="H220" t="s">
        <v>652</v>
      </c>
      <c r="I220" s="2" t="s">
        <v>653</v>
      </c>
      <c r="J220" s="2">
        <v>0.020833333333333332</v>
      </c>
      <c r="K220" s="1">
        <v>0.024305555555555556</v>
      </c>
      <c r="L220" s="1">
        <v>0.04513888888888889</v>
      </c>
      <c r="M220" s="1" t="s">
        <v>22</v>
      </c>
      <c r="N220" s="1" t="s">
        <v>54</v>
      </c>
      <c r="O220" s="1" t="s">
        <v>41</v>
      </c>
      <c r="P220" s="1" t="s">
        <v>42</v>
      </c>
      <c r="Q220" s="1">
        <v>45378</v>
      </c>
      <c r="R220" s="14">
        <v>5</v>
      </c>
      <c r="S220" s="1" t="s">
        <v>22</v>
      </c>
      <c r="T220" s="1" t="s">
        <v>22</v>
      </c>
      <c r="U220" s="1" t="s">
        <v>22</v>
      </c>
    </row>
    <row r="221" spans="1:21" x14ac:dyDescent="0.25">
      <c r="A221" s="1" t="s">
        <v>621</v>
      </c>
      <c r="B221" s="2" t="s">
        <v>641</v>
      </c>
      <c r="C221" s="1" t="s">
        <v>261</v>
      </c>
      <c r="D221" s="1" t="s">
        <v>654</v>
      </c>
      <c r="E221" s="1" t="s">
        <v>27</v>
      </c>
      <c r="F221" s="1">
        <v>45378</v>
      </c>
      <c r="G221" s="14" t="s">
        <v>74</v>
      </c>
      <c r="H221" t="s">
        <v>655</v>
      </c>
      <c r="I221" s="2" t="s">
        <v>656</v>
      </c>
      <c r="J221" s="2">
        <v>0.020833333333333332</v>
      </c>
      <c r="K221" s="1">
        <v>0.052083333333333336</v>
      </c>
      <c r="L221" s="1">
        <v>0.07291666666666667</v>
      </c>
      <c r="M221" s="1" t="s">
        <v>22</v>
      </c>
      <c r="N221" s="1" t="s">
        <v>32</v>
      </c>
      <c r="O221" s="1" t="s">
        <v>41</v>
      </c>
      <c r="P221" s="1" t="s">
        <v>42</v>
      </c>
      <c r="Q221" s="1">
        <v>45378</v>
      </c>
      <c r="R221" s="14">
        <v>5</v>
      </c>
      <c r="S221" s="1" t="s">
        <v>22</v>
      </c>
      <c r="T221" s="1" t="s">
        <v>22</v>
      </c>
      <c r="U221" s="1" t="s">
        <v>22</v>
      </c>
    </row>
    <row r="222" spans="1:21" x14ac:dyDescent="0.25">
      <c r="A222" s="1" t="s">
        <v>657</v>
      </c>
      <c r="B222" s="2" t="s">
        <v>99</v>
      </c>
      <c r="C222" s="1" t="s">
        <v>25</v>
      </c>
      <c r="D222" s="1" t="s">
        <v>658</v>
      </c>
      <c r="E222" s="1" t="s">
        <v>27</v>
      </c>
      <c r="F222" s="1">
        <v>45385</v>
      </c>
      <c r="G222" s="14" t="s">
        <v>28</v>
      </c>
      <c r="H222" t="s">
        <v>659</v>
      </c>
      <c r="I222" s="2" t="s">
        <v>660</v>
      </c>
      <c r="J222" s="2">
        <v>0.03125</v>
      </c>
      <c r="K222" s="1">
        <v>0.027777777777777776</v>
      </c>
      <c r="L222" s="1">
        <v>0.059027777777777776</v>
      </c>
      <c r="M222" s="1" t="s">
        <v>22</v>
      </c>
      <c r="N222" s="1" t="s">
        <v>41</v>
      </c>
      <c r="O222" s="1" t="s">
        <v>32</v>
      </c>
      <c r="P222" s="1" t="s">
        <v>47</v>
      </c>
      <c r="Q222" s="1">
        <v>45385</v>
      </c>
      <c r="R222" s="14">
        <v>5</v>
      </c>
      <c r="S222" s="1" t="s">
        <v>22</v>
      </c>
      <c r="T222" s="1" t="s">
        <v>22</v>
      </c>
      <c r="U222" s="1" t="s">
        <v>22</v>
      </c>
    </row>
    <row r="223" spans="1:21" x14ac:dyDescent="0.25">
      <c r="A223" s="1" t="s">
        <v>657</v>
      </c>
      <c r="B223" s="2" t="s">
        <v>616</v>
      </c>
      <c r="C223" s="1" t="s">
        <v>617</v>
      </c>
      <c r="D223" s="1" t="s">
        <v>661</v>
      </c>
      <c r="E223" s="1" t="s">
        <v>27</v>
      </c>
      <c r="F223" s="1">
        <v>45386</v>
      </c>
      <c r="G223" s="14" t="s">
        <v>507</v>
      </c>
      <c r="H223" t="s">
        <v>662</v>
      </c>
      <c r="I223" s="2" t="s">
        <v>663</v>
      </c>
      <c r="J223" s="2">
        <v>0.013888888888888888</v>
      </c>
      <c r="K223" s="1">
        <v>0.03125</v>
      </c>
      <c r="L223" s="1">
        <v>0.04513888888888889</v>
      </c>
      <c r="M223" s="1" t="s">
        <v>22</v>
      </c>
      <c r="N223" s="1" t="s">
        <v>32</v>
      </c>
      <c r="O223" s="1" t="s">
        <v>41</v>
      </c>
      <c r="P223" s="1" t="s">
        <v>47</v>
      </c>
      <c r="Q223" s="1">
        <v>45386</v>
      </c>
      <c r="R223" s="14">
        <v>5</v>
      </c>
      <c r="S223" s="1" t="s">
        <v>22</v>
      </c>
      <c r="T223" s="1" t="s">
        <v>22</v>
      </c>
      <c r="U223" s="1" t="s">
        <v>22</v>
      </c>
    </row>
    <row r="224" spans="1:21" x14ac:dyDescent="0.25">
      <c r="A224" s="1" t="s">
        <v>657</v>
      </c>
      <c r="B224" s="2" t="s">
        <v>286</v>
      </c>
      <c r="C224" s="1" t="s">
        <v>287</v>
      </c>
      <c r="D224" s="1" t="s">
        <v>664</v>
      </c>
      <c r="E224" s="1" t="s">
        <v>37</v>
      </c>
      <c r="F224" s="1">
        <v>45386</v>
      </c>
      <c r="G224" s="14" t="s">
        <v>28</v>
      </c>
      <c r="H224" t="s">
        <v>665</v>
      </c>
      <c r="I224" s="2" t="s">
        <v>666</v>
      </c>
      <c r="J224" s="2">
        <v>0.020833333333333332</v>
      </c>
      <c r="K224" s="1">
        <v>0.05555555555555555</v>
      </c>
      <c r="L224" s="1">
        <v>0.07638888888888888</v>
      </c>
      <c r="M224" s="1" t="s">
        <v>22</v>
      </c>
      <c r="N224" s="1" t="s">
        <v>31</v>
      </c>
      <c r="O224" s="1" t="s">
        <v>483</v>
      </c>
      <c r="P224" s="1" t="s">
        <v>47</v>
      </c>
      <c r="Q224" s="1">
        <v>45386</v>
      </c>
      <c r="R224" s="14">
        <v>5</v>
      </c>
      <c r="S224" s="1" t="s">
        <v>22</v>
      </c>
      <c r="T224" s="1" t="s">
        <v>22</v>
      </c>
      <c r="U224" s="1" t="s">
        <v>22</v>
      </c>
    </row>
    <row r="225" spans="1:21" x14ac:dyDescent="0.25">
      <c r="A225" s="1" t="s">
        <v>657</v>
      </c>
      <c r="B225" s="2" t="s">
        <v>667</v>
      </c>
      <c r="C225" s="1" t="s">
        <v>668</v>
      </c>
      <c r="D225" s="1" t="s">
        <v>669</v>
      </c>
      <c r="E225" s="1" t="s">
        <v>37</v>
      </c>
      <c r="F225" s="1">
        <v>45390</v>
      </c>
      <c r="G225" s="14" t="s">
        <v>670</v>
      </c>
      <c r="H225" t="s">
        <v>671</v>
      </c>
      <c r="I225" s="2" t="s">
        <v>672</v>
      </c>
      <c r="J225" s="2">
        <v>0.013888888888888888</v>
      </c>
      <c r="K225" s="1">
        <v>0.020833333333333332</v>
      </c>
      <c r="L225" s="1">
        <v>0.034722222222222224</v>
      </c>
      <c r="M225" s="1" t="s">
        <v>22</v>
      </c>
      <c r="N225" s="1" t="s">
        <v>41</v>
      </c>
      <c r="O225" s="1" t="s">
        <v>32</v>
      </c>
      <c r="P225" s="1" t="s">
        <v>42</v>
      </c>
      <c r="Q225" s="1">
        <v>45390</v>
      </c>
      <c r="R225" s="14">
        <v>5</v>
      </c>
      <c r="S225" s="1" t="s">
        <v>22</v>
      </c>
      <c r="T225" s="1" t="s">
        <v>22</v>
      </c>
      <c r="U225" s="1" t="s">
        <v>22</v>
      </c>
    </row>
    <row r="226" spans="1:21" x14ac:dyDescent="0.25">
      <c r="A226" s="1" t="s">
        <v>657</v>
      </c>
      <c r="B226" s="2" t="s">
        <v>625</v>
      </c>
      <c r="C226" s="1" t="s">
        <v>567</v>
      </c>
      <c r="D226" s="1" t="s">
        <v>673</v>
      </c>
      <c r="E226" s="1" t="s">
        <v>37</v>
      </c>
      <c r="F226" s="1">
        <v>45392</v>
      </c>
      <c r="G226" s="14" t="s">
        <v>38</v>
      </c>
      <c r="H226" t="s">
        <v>674</v>
      </c>
      <c r="I226" s="2" t="s">
        <v>675</v>
      </c>
      <c r="J226" s="2">
        <v>0.013888888888888888</v>
      </c>
      <c r="K226" s="1">
        <v>0.027777777777777776</v>
      </c>
      <c r="L226" s="1">
        <v>0.041666666666666664</v>
      </c>
      <c r="M226" s="1" t="s">
        <v>22</v>
      </c>
      <c r="N226" s="1" t="s">
        <v>31</v>
      </c>
      <c r="O226" s="1" t="s">
        <v>41</v>
      </c>
      <c r="P226" s="1" t="s">
        <v>488</v>
      </c>
      <c r="Q226" s="1">
        <v>45392</v>
      </c>
      <c r="R226" s="14">
        <v>5</v>
      </c>
      <c r="S226" s="1" t="s">
        <v>22</v>
      </c>
      <c r="T226" s="1" t="s">
        <v>22</v>
      </c>
      <c r="U226" s="1" t="s">
        <v>22</v>
      </c>
    </row>
    <row r="227" spans="1:21" x14ac:dyDescent="0.25">
      <c r="A227" s="1" t="s">
        <v>657</v>
      </c>
      <c r="B227" s="2" t="s">
        <v>247</v>
      </c>
      <c r="C227" s="1" t="s">
        <v>25</v>
      </c>
      <c r="D227" s="1" t="s">
        <v>676</v>
      </c>
      <c r="E227" s="1" t="s">
        <v>37</v>
      </c>
      <c r="F227" s="1">
        <v>45392</v>
      </c>
      <c r="G227" s="14" t="s">
        <v>38</v>
      </c>
      <c r="H227" t="s">
        <v>677</v>
      </c>
      <c r="I227" s="2" t="s">
        <v>678</v>
      </c>
      <c r="J227" s="2">
        <v>0.013888888888888888</v>
      </c>
      <c r="K227" s="1">
        <v>0.03125</v>
      </c>
      <c r="L227" s="1">
        <v>0.04513888888888889</v>
      </c>
      <c r="M227" s="1" t="s">
        <v>22</v>
      </c>
      <c r="N227" s="1" t="s">
        <v>31</v>
      </c>
      <c r="O227" s="1" t="s">
        <v>41</v>
      </c>
      <c r="P227" s="1" t="s">
        <v>488</v>
      </c>
      <c r="Q227" s="1">
        <v>45392</v>
      </c>
      <c r="R227" s="14">
        <v>5</v>
      </c>
      <c r="S227" s="1" t="s">
        <v>22</v>
      </c>
      <c r="T227" s="1" t="s">
        <v>22</v>
      </c>
      <c r="U227" s="1" t="s">
        <v>22</v>
      </c>
    </row>
    <row r="228" spans="1:21" x14ac:dyDescent="0.25">
      <c r="A228" s="1" t="s">
        <v>657</v>
      </c>
      <c r="B228" s="2" t="s">
        <v>641</v>
      </c>
      <c r="C228" s="1" t="s">
        <v>261</v>
      </c>
      <c r="D228" s="1" t="s">
        <v>679</v>
      </c>
      <c r="E228" s="1" t="s">
        <v>27</v>
      </c>
      <c r="F228" s="1">
        <v>45394</v>
      </c>
      <c r="G228" s="14" t="s">
        <v>28</v>
      </c>
      <c r="H228" t="s">
        <v>680</v>
      </c>
      <c r="I228" s="2" t="s">
        <v>681</v>
      </c>
      <c r="J228" s="2">
        <v>0.020833333333333332</v>
      </c>
      <c r="K228" s="1">
        <v>0.041666666666666664</v>
      </c>
      <c r="L228" s="1">
        <v>0.0625</v>
      </c>
      <c r="M228" s="1" t="s">
        <v>22</v>
      </c>
      <c r="N228" s="1" t="s">
        <v>53</v>
      </c>
      <c r="O228" s="1" t="s">
        <v>32</v>
      </c>
      <c r="P228" s="1" t="s">
        <v>42</v>
      </c>
      <c r="Q228" s="1">
        <v>45394</v>
      </c>
      <c r="R228" s="14">
        <v>5</v>
      </c>
      <c r="S228" s="1" t="s">
        <v>22</v>
      </c>
      <c r="T228" s="1" t="s">
        <v>22</v>
      </c>
      <c r="U228" s="1" t="s">
        <v>22</v>
      </c>
    </row>
    <row r="229" spans="1:21" x14ac:dyDescent="0.25">
      <c r="A229" s="1" t="s">
        <v>657</v>
      </c>
      <c r="B229" s="2" t="s">
        <v>286</v>
      </c>
      <c r="C229" s="1" t="s">
        <v>287</v>
      </c>
      <c r="D229" s="1" t="s">
        <v>682</v>
      </c>
      <c r="E229" s="1" t="s">
        <v>37</v>
      </c>
      <c r="F229" s="1">
        <v>45404</v>
      </c>
      <c r="G229" s="14" t="s">
        <v>38</v>
      </c>
      <c r="H229" t="s">
        <v>683</v>
      </c>
      <c r="I229" s="2" t="s">
        <v>684</v>
      </c>
      <c r="J229" s="2">
        <v>0.08333333333333333</v>
      </c>
      <c r="K229" s="1">
        <v>0.1076388888888889</v>
      </c>
      <c r="L229" s="1">
        <v>0.1909722222222222</v>
      </c>
      <c r="M229" s="1" t="s">
        <v>22</v>
      </c>
      <c r="N229" s="1" t="s">
        <v>31</v>
      </c>
      <c r="O229" s="1" t="s">
        <v>41</v>
      </c>
      <c r="P229" s="1" t="s">
        <v>47</v>
      </c>
      <c r="Q229" s="1">
        <v>45404</v>
      </c>
      <c r="R229" s="14">
        <v>5</v>
      </c>
      <c r="S229" s="1" t="s">
        <v>22</v>
      </c>
      <c r="T229" s="1" t="s">
        <v>22</v>
      </c>
      <c r="U229" s="1" t="s">
        <v>22</v>
      </c>
    </row>
    <row r="230" spans="1:21" x14ac:dyDescent="0.25">
      <c r="A230" s="1" t="s">
        <v>657</v>
      </c>
      <c r="B230" s="2" t="s">
        <v>641</v>
      </c>
      <c r="C230" s="1" t="s">
        <v>261</v>
      </c>
      <c r="D230" s="1" t="s">
        <v>685</v>
      </c>
      <c r="E230" s="1" t="s">
        <v>27</v>
      </c>
      <c r="F230" s="1">
        <v>45406</v>
      </c>
      <c r="G230" s="14" t="s">
        <v>74</v>
      </c>
      <c r="H230" t="s">
        <v>686</v>
      </c>
      <c r="I230" s="2" t="s">
        <v>687</v>
      </c>
      <c r="J230" s="2">
        <v>0.020833333333333332</v>
      </c>
      <c r="K230" s="1">
        <v>0.041666666666666664</v>
      </c>
      <c r="L230" s="1">
        <v>0.0625</v>
      </c>
      <c r="M230" s="1" t="s">
        <v>22</v>
      </c>
      <c r="N230" s="1" t="s">
        <v>32</v>
      </c>
      <c r="O230" s="1" t="s">
        <v>41</v>
      </c>
      <c r="P230" s="1" t="s">
        <v>42</v>
      </c>
      <c r="Q230" s="1">
        <v>45406</v>
      </c>
      <c r="R230" s="14">
        <v>5</v>
      </c>
      <c r="S230" s="1" t="s">
        <v>22</v>
      </c>
      <c r="T230" s="1" t="s">
        <v>22</v>
      </c>
      <c r="U230" s="1" t="s">
        <v>22</v>
      </c>
    </row>
    <row r="231" spans="1:21" x14ac:dyDescent="0.25">
      <c r="A231" s="1" t="s">
        <v>688</v>
      </c>
      <c r="B231" s="2" t="s">
        <v>529</v>
      </c>
      <c r="C231" s="1" t="s">
        <v>530</v>
      </c>
      <c r="D231" s="1" t="s">
        <v>689</v>
      </c>
      <c r="E231" s="1" t="s">
        <v>37</v>
      </c>
      <c r="F231" s="1">
        <v>45414</v>
      </c>
      <c r="G231" s="14" t="s">
        <v>28</v>
      </c>
      <c r="H231" t="s">
        <v>690</v>
      </c>
      <c r="I231" s="2" t="s">
        <v>691</v>
      </c>
      <c r="J231" s="2">
        <v>0.020833333333333332</v>
      </c>
      <c r="K231" s="1">
        <v>0.041666666666666664</v>
      </c>
      <c r="L231" s="1">
        <v>0.0625</v>
      </c>
      <c r="M231" s="1" t="s">
        <v>22</v>
      </c>
      <c r="N231" s="1" t="s">
        <v>53</v>
      </c>
      <c r="O231" s="1" t="s">
        <v>32</v>
      </c>
      <c r="P231" s="1" t="s">
        <v>47</v>
      </c>
      <c r="Q231" s="1">
        <v>45414</v>
      </c>
      <c r="R231" s="14">
        <v>5</v>
      </c>
      <c r="S231" s="1" t="s">
        <v>22</v>
      </c>
      <c r="T231" s="1" t="s">
        <v>22</v>
      </c>
      <c r="U231" s="1" t="s">
        <v>22</v>
      </c>
    </row>
    <row r="232" spans="1:21" x14ac:dyDescent="0.25">
      <c r="A232" s="1" t="s">
        <v>688</v>
      </c>
      <c r="B232" s="2" t="s">
        <v>48</v>
      </c>
      <c r="C232" s="1" t="s">
        <v>25</v>
      </c>
      <c r="D232" s="1" t="s">
        <v>692</v>
      </c>
      <c r="E232" s="1" t="s">
        <v>27</v>
      </c>
      <c r="F232" s="1">
        <v>45414</v>
      </c>
      <c r="G232" s="14" t="s">
        <v>38</v>
      </c>
      <c r="H232" t="s">
        <v>693</v>
      </c>
      <c r="I232" s="2" t="s">
        <v>694</v>
      </c>
      <c r="J232" s="2">
        <v>0.020833333333333332</v>
      </c>
      <c r="K232" s="1">
        <v>0.03819444444444445</v>
      </c>
      <c r="L232" s="1">
        <v>0.059027777777777776</v>
      </c>
      <c r="M232" s="1" t="s">
        <v>22</v>
      </c>
      <c r="N232" s="1" t="s">
        <v>53</v>
      </c>
      <c r="O232" s="1" t="s">
        <v>32</v>
      </c>
      <c r="P232" s="1" t="s">
        <v>47</v>
      </c>
      <c r="Q232" s="1">
        <v>45415</v>
      </c>
      <c r="R232" s="14">
        <v>5</v>
      </c>
      <c r="S232" s="1" t="s">
        <v>22</v>
      </c>
      <c r="T232" s="1" t="s">
        <v>22</v>
      </c>
      <c r="U232" s="1" t="s">
        <v>22</v>
      </c>
    </row>
    <row r="233" spans="1:21" x14ac:dyDescent="0.25">
      <c r="A233" s="1" t="s">
        <v>688</v>
      </c>
      <c r="B233" s="2" t="s">
        <v>641</v>
      </c>
      <c r="C233" s="1" t="s">
        <v>261</v>
      </c>
      <c r="D233" s="1" t="s">
        <v>695</v>
      </c>
      <c r="E233" s="1" t="s">
        <v>37</v>
      </c>
      <c r="F233" s="1">
        <v>45418</v>
      </c>
      <c r="G233" s="14" t="s">
        <v>696</v>
      </c>
      <c r="H233" t="s">
        <v>697</v>
      </c>
      <c r="I233" s="2" t="s">
        <v>698</v>
      </c>
      <c r="J233" s="2">
        <v>0.006944444444444444</v>
      </c>
      <c r="K233" s="1">
        <v>0.017361111111111112</v>
      </c>
      <c r="L233" s="1">
        <v>0.024305555555555556</v>
      </c>
      <c r="M233" s="1" t="s">
        <v>22</v>
      </c>
      <c r="N233" s="1" t="s">
        <v>31</v>
      </c>
      <c r="O233" s="1" t="s">
        <v>32</v>
      </c>
      <c r="P233" s="1" t="s">
        <v>42</v>
      </c>
      <c r="Q233" s="1">
        <v>45418</v>
      </c>
      <c r="R233" s="14">
        <v>5</v>
      </c>
      <c r="S233" s="1" t="s">
        <v>22</v>
      </c>
      <c r="T233" s="1" t="s">
        <v>22</v>
      </c>
      <c r="U233" s="1" t="s">
        <v>22</v>
      </c>
    </row>
    <row r="234" spans="1:21" x14ac:dyDescent="0.25">
      <c r="A234" s="1" t="s">
        <v>688</v>
      </c>
      <c r="B234" s="2" t="s">
        <v>334</v>
      </c>
      <c r="C234" s="1" t="s">
        <v>335</v>
      </c>
      <c r="D234" s="1" t="s">
        <v>699</v>
      </c>
      <c r="E234" s="1" t="s">
        <v>37</v>
      </c>
      <c r="F234" s="1">
        <v>45421</v>
      </c>
      <c r="G234" s="14" t="s">
        <v>38</v>
      </c>
      <c r="H234" t="s">
        <v>700</v>
      </c>
      <c r="I234" s="2" t="s">
        <v>701</v>
      </c>
      <c r="J234" s="2">
        <v>0.020833333333333332</v>
      </c>
      <c r="K234" s="1">
        <v>0.05555555555555555</v>
      </c>
      <c r="L234" s="1">
        <v>0.07638888888888888</v>
      </c>
      <c r="M234" s="1" t="s">
        <v>22</v>
      </c>
      <c r="N234" s="1" t="s">
        <v>31</v>
      </c>
      <c r="O234" s="1" t="s">
        <v>41</v>
      </c>
      <c r="P234" s="1" t="s">
        <v>42</v>
      </c>
      <c r="Q234" s="1">
        <v>45421</v>
      </c>
      <c r="R234" s="14">
        <v>5</v>
      </c>
      <c r="S234" s="1" t="s">
        <v>22</v>
      </c>
      <c r="T234" s="1" t="s">
        <v>22</v>
      </c>
      <c r="U234" s="1" t="s">
        <v>22</v>
      </c>
    </row>
    <row r="235" spans="1:21" x14ac:dyDescent="0.25">
      <c r="A235" s="1" t="s">
        <v>688</v>
      </c>
      <c r="B235" s="2" t="s">
        <v>223</v>
      </c>
      <c r="C235" s="1" t="s">
        <v>186</v>
      </c>
      <c r="D235" s="1" t="s">
        <v>702</v>
      </c>
      <c r="E235" s="1" t="s">
        <v>27</v>
      </c>
      <c r="F235" s="1">
        <v>45422</v>
      </c>
      <c r="G235" s="14" t="s">
        <v>28</v>
      </c>
      <c r="H235" t="s">
        <v>703</v>
      </c>
      <c r="I235" s="2" t="s">
        <v>704</v>
      </c>
      <c r="J235" s="2">
        <v>0.010416666666666666</v>
      </c>
      <c r="K235" s="1">
        <v>0.04861111111111111</v>
      </c>
      <c r="L235" s="1">
        <v>0.059027777777777776</v>
      </c>
      <c r="M235" s="1" t="s">
        <v>22</v>
      </c>
      <c r="N235" s="1" t="s">
        <v>31</v>
      </c>
      <c r="O235" s="1" t="s">
        <v>41</v>
      </c>
      <c r="P235" s="1" t="s">
        <v>488</v>
      </c>
      <c r="Q235" s="1">
        <v>45422</v>
      </c>
      <c r="R235" s="14">
        <v>5</v>
      </c>
      <c r="S235" s="1" t="s">
        <v>22</v>
      </c>
      <c r="T235" s="1" t="s">
        <v>22</v>
      </c>
      <c r="U235" s="1" t="s">
        <v>22</v>
      </c>
    </row>
    <row r="236" spans="1:21" x14ac:dyDescent="0.25">
      <c r="A236" s="1" t="s">
        <v>688</v>
      </c>
      <c r="B236" s="2" t="s">
        <v>281</v>
      </c>
      <c r="C236" s="1" t="s">
        <v>282</v>
      </c>
      <c r="D236" s="1" t="s">
        <v>705</v>
      </c>
      <c r="E236" s="1" t="s">
        <v>27</v>
      </c>
      <c r="F236" s="1">
        <v>45427</v>
      </c>
      <c r="G236" s="14" t="s">
        <v>74</v>
      </c>
      <c r="H236" t="s">
        <v>706</v>
      </c>
      <c r="I236" s="2" t="s">
        <v>707</v>
      </c>
      <c r="J236" s="2">
        <v>0.034722222222222224</v>
      </c>
      <c r="K236" s="1">
        <v>0.07083333333333333</v>
      </c>
      <c r="L236" s="1">
        <v>0.10555555555555556</v>
      </c>
      <c r="M236" s="1" t="s">
        <v>22</v>
      </c>
      <c r="N236" s="1" t="s">
        <v>32</v>
      </c>
      <c r="O236" s="1" t="s">
        <v>41</v>
      </c>
      <c r="P236" s="1" t="s">
        <v>708</v>
      </c>
      <c r="Q236" s="1">
        <v>45427</v>
      </c>
      <c r="R236" s="14">
        <v>5</v>
      </c>
      <c r="S236" s="1" t="s">
        <v>22</v>
      </c>
      <c r="T236" s="1" t="s">
        <v>22</v>
      </c>
      <c r="U236" s="1" t="s">
        <v>22</v>
      </c>
    </row>
    <row r="237" spans="1:21" x14ac:dyDescent="0.25">
      <c r="A237" s="1" t="s">
        <v>688</v>
      </c>
      <c r="B237" s="2" t="s">
        <v>48</v>
      </c>
      <c r="C237" s="1" t="s">
        <v>25</v>
      </c>
      <c r="D237" s="1" t="s">
        <v>709</v>
      </c>
      <c r="E237" s="1" t="s">
        <v>37</v>
      </c>
      <c r="F237" s="1">
        <v>45434</v>
      </c>
      <c r="G237" s="14" t="s">
        <v>133</v>
      </c>
      <c r="H237" t="s">
        <v>710</v>
      </c>
      <c r="I237" s="2" t="s">
        <v>711</v>
      </c>
      <c r="J237" s="2">
        <v>0.013888888888888888</v>
      </c>
      <c r="K237" s="1">
        <v>0.024305555555555556</v>
      </c>
      <c r="L237" s="1">
        <v>0.03819444444444445</v>
      </c>
      <c r="M237" s="1" t="s">
        <v>22</v>
      </c>
      <c r="N237" s="1" t="s">
        <v>31</v>
      </c>
      <c r="O237" s="1" t="s">
        <v>483</v>
      </c>
      <c r="P237" s="1" t="s">
        <v>47</v>
      </c>
      <c r="Q237" s="1">
        <v>45434</v>
      </c>
      <c r="R237" s="14">
        <v>5</v>
      </c>
      <c r="S237" s="1" t="s">
        <v>22</v>
      </c>
      <c r="T237" s="1" t="s">
        <v>22</v>
      </c>
      <c r="U237" s="1" t="s">
        <v>22</v>
      </c>
    </row>
    <row r="238" spans="1:21" x14ac:dyDescent="0.25">
      <c r="A238" s="1" t="s">
        <v>688</v>
      </c>
      <c r="B238" s="2" t="s">
        <v>35</v>
      </c>
      <c r="C238" s="1" t="s">
        <v>25</v>
      </c>
      <c r="D238" s="1" t="s">
        <v>712</v>
      </c>
      <c r="E238" s="1" t="s">
        <v>713</v>
      </c>
      <c r="F238" s="1">
        <v>45435</v>
      </c>
      <c r="G238" s="14" t="s">
        <v>507</v>
      </c>
      <c r="H238" t="s">
        <v>714</v>
      </c>
      <c r="I238" s="2" t="s">
        <v>715</v>
      </c>
      <c r="J238" s="2">
        <v>0</v>
      </c>
      <c r="K238" s="1">
        <v>0.013888888888888888</v>
      </c>
      <c r="L238" s="1">
        <v>0.013888888888888888</v>
      </c>
      <c r="M238" s="1" t="s">
        <v>22</v>
      </c>
      <c r="N238" s="1" t="s">
        <v>716</v>
      </c>
      <c r="O238" s="1" t="s">
        <v>41</v>
      </c>
      <c r="P238" s="1" t="s">
        <v>42</v>
      </c>
      <c r="Q238" s="1">
        <v>45435</v>
      </c>
      <c r="R238" s="14">
        <v>5</v>
      </c>
      <c r="S238" s="1" t="s">
        <v>22</v>
      </c>
      <c r="T238" s="1" t="s">
        <v>22</v>
      </c>
      <c r="U238" s="1" t="s">
        <v>22</v>
      </c>
    </row>
    <row r="239" spans="1:21" x14ac:dyDescent="0.25">
      <c r="A239" s="1" t="s">
        <v>688</v>
      </c>
      <c r="B239" s="2" t="s">
        <v>72</v>
      </c>
      <c r="C239" s="1" t="s">
        <v>44</v>
      </c>
      <c r="D239" s="1" t="s">
        <v>717</v>
      </c>
      <c r="E239" s="1" t="s">
        <v>713</v>
      </c>
      <c r="F239" s="1">
        <v>45437</v>
      </c>
      <c r="G239" s="14" t="s">
        <v>507</v>
      </c>
      <c r="H239" t="s">
        <v>718</v>
      </c>
      <c r="I239" s="2" t="s">
        <v>719</v>
      </c>
      <c r="J239" s="2">
        <v>0.020833333333333332</v>
      </c>
      <c r="K239" s="1">
        <v>0.03819444444444445</v>
      </c>
      <c r="L239" s="1">
        <v>0.059027777777777776</v>
      </c>
      <c r="M239" s="1" t="s">
        <v>22</v>
      </c>
      <c r="N239" s="1" t="s">
        <v>53</v>
      </c>
      <c r="O239" s="1" t="s">
        <v>32</v>
      </c>
      <c r="P239" s="1" t="s">
        <v>708</v>
      </c>
      <c r="Q239" s="1">
        <v>45437</v>
      </c>
      <c r="R239" s="14">
        <v>5</v>
      </c>
      <c r="S239" s="1" t="s">
        <v>22</v>
      </c>
      <c r="T239" s="1" t="s">
        <v>22</v>
      </c>
      <c r="U239" s="1" t="s">
        <v>22</v>
      </c>
    </row>
    <row r="240" spans="1:21" x14ac:dyDescent="0.25">
      <c r="A240" s="1" t="s">
        <v>688</v>
      </c>
      <c r="B240" s="2" t="s">
        <v>334</v>
      </c>
      <c r="C240" s="1" t="s">
        <v>335</v>
      </c>
      <c r="D240" s="1" t="s">
        <v>720</v>
      </c>
      <c r="E240" s="1" t="s">
        <v>37</v>
      </c>
      <c r="F240" s="1">
        <v>45443</v>
      </c>
      <c r="G240" s="14" t="s">
        <v>28</v>
      </c>
      <c r="H240" t="s">
        <v>721</v>
      </c>
      <c r="I240" s="2" t="s">
        <v>721</v>
      </c>
      <c r="J240" s="2">
        <v>0.049305555555555554</v>
      </c>
      <c r="K240" s="1">
        <v>0.04861111111111111</v>
      </c>
      <c r="L240" s="1">
        <v>0.09791666666666667</v>
      </c>
      <c r="M240" s="1" t="s">
        <v>22</v>
      </c>
      <c r="N240" s="1" t="s">
        <v>574</v>
      </c>
      <c r="O240" s="1" t="s">
        <v>32</v>
      </c>
      <c r="P240" s="1" t="s">
        <v>42</v>
      </c>
      <c r="Q240" s="1">
        <v>45443</v>
      </c>
      <c r="R240" s="14">
        <v>5</v>
      </c>
      <c r="S240" s="1" t="s">
        <v>22</v>
      </c>
      <c r="T240" s="1" t="s">
        <v>22</v>
      </c>
      <c r="U240" s="1" t="s">
        <v>22</v>
      </c>
    </row>
    <row r="241" spans="1:21" x14ac:dyDescent="0.25">
      <c r="A241" s="1" t="s">
        <v>722</v>
      </c>
      <c r="B241" s="2" t="s">
        <v>113</v>
      </c>
      <c r="C241" s="1" t="s">
        <v>25</v>
      </c>
      <c r="D241" s="1" t="s">
        <v>723</v>
      </c>
      <c r="E241" s="1" t="s">
        <v>37</v>
      </c>
      <c r="F241" s="1">
        <v>45451</v>
      </c>
      <c r="G241" s="14" t="s">
        <v>507</v>
      </c>
      <c r="H241" t="s">
        <v>724</v>
      </c>
      <c r="I241" s="2" t="s">
        <v>725</v>
      </c>
      <c r="J241" s="2">
        <v>0.03125</v>
      </c>
      <c r="K241" s="1">
        <v>0.04513888888888889</v>
      </c>
      <c r="L241" s="1">
        <v>0.0763888888888889</v>
      </c>
      <c r="M241" s="1" t="s">
        <v>22</v>
      </c>
      <c r="N241" s="1" t="s">
        <v>574</v>
      </c>
      <c r="O241" s="1" t="s">
        <v>32</v>
      </c>
      <c r="P241" s="1" t="s">
        <v>47</v>
      </c>
      <c r="Q241" s="1">
        <v>45451</v>
      </c>
      <c r="R241" s="14">
        <v>5</v>
      </c>
      <c r="S241" s="1" t="s">
        <v>22</v>
      </c>
      <c r="T241" s="1" t="s">
        <v>22</v>
      </c>
      <c r="U241" s="1" t="s">
        <v>22</v>
      </c>
    </row>
    <row r="242" spans="1:21" x14ac:dyDescent="0.25">
      <c r="A242" s="1" t="s">
        <v>722</v>
      </c>
      <c r="B242" s="2" t="s">
        <v>286</v>
      </c>
      <c r="C242" s="1" t="s">
        <v>287</v>
      </c>
      <c r="D242" s="1" t="s">
        <v>726</v>
      </c>
      <c r="E242" s="1" t="s">
        <v>37</v>
      </c>
      <c r="F242" s="1">
        <v>45454</v>
      </c>
      <c r="G242" s="14" t="s">
        <v>74</v>
      </c>
      <c r="H242" t="s">
        <v>727</v>
      </c>
      <c r="I242" s="2" t="s">
        <v>728</v>
      </c>
      <c r="J242" s="2">
        <v>0.020833333333333332</v>
      </c>
      <c r="K242" s="1">
        <v>0.03125</v>
      </c>
      <c r="L242" s="1">
        <v>0.05208333333333333</v>
      </c>
      <c r="M242" s="1" t="s">
        <v>22</v>
      </c>
      <c r="N242" s="1" t="s">
        <v>53</v>
      </c>
      <c r="O242" s="1" t="s">
        <v>41</v>
      </c>
      <c r="P242" s="1" t="s">
        <v>47</v>
      </c>
      <c r="Q242" s="1">
        <v>45454</v>
      </c>
      <c r="R242" s="14">
        <v>5</v>
      </c>
      <c r="S242" s="1" t="s">
        <v>22</v>
      </c>
      <c r="T242" s="1" t="s">
        <v>22</v>
      </c>
      <c r="U242" s="1" t="s">
        <v>22</v>
      </c>
    </row>
    <row r="243" spans="1:21" x14ac:dyDescent="0.25">
      <c r="A243" s="1" t="s">
        <v>722</v>
      </c>
      <c r="B243" s="2" t="s">
        <v>545</v>
      </c>
      <c r="C243" s="1" t="s">
        <v>546</v>
      </c>
      <c r="D243" s="1" t="s">
        <v>729</v>
      </c>
      <c r="E243" s="1" t="s">
        <v>37</v>
      </c>
      <c r="F243" s="1">
        <v>45454</v>
      </c>
      <c r="G243" s="14" t="s">
        <v>353</v>
      </c>
      <c r="H243" t="s">
        <v>730</v>
      </c>
      <c r="I243" s="2" t="s">
        <v>731</v>
      </c>
      <c r="J243" s="2">
        <v>0.020833333333333332</v>
      </c>
      <c r="K243" s="1">
        <v>0.03125</v>
      </c>
      <c r="L243" s="1">
        <v>0.05208333333333333</v>
      </c>
      <c r="M243" s="1" t="s">
        <v>22</v>
      </c>
      <c r="N243" s="1" t="s">
        <v>53</v>
      </c>
      <c r="O243" s="1" t="s">
        <v>41</v>
      </c>
      <c r="P243" s="1" t="s">
        <v>47</v>
      </c>
      <c r="Q243" s="1">
        <v>45454</v>
      </c>
      <c r="R243" s="14">
        <v>5</v>
      </c>
      <c r="S243" s="1" t="s">
        <v>22</v>
      </c>
      <c r="T243" s="1" t="s">
        <v>22</v>
      </c>
      <c r="U243" s="1" t="s">
        <v>22</v>
      </c>
    </row>
    <row r="244" spans="1:21" x14ac:dyDescent="0.25">
      <c r="A244" s="1" t="s">
        <v>722</v>
      </c>
      <c r="B244" s="2" t="s">
        <v>247</v>
      </c>
      <c r="C244" s="1" t="s">
        <v>25</v>
      </c>
      <c r="D244" s="1" t="s">
        <v>732</v>
      </c>
      <c r="E244" s="1" t="s">
        <v>37</v>
      </c>
      <c r="F244" s="1">
        <v>45455</v>
      </c>
      <c r="G244" s="14" t="s">
        <v>28</v>
      </c>
      <c r="H244" t="s">
        <v>733</v>
      </c>
      <c r="I244" s="2" t="s">
        <v>734</v>
      </c>
      <c r="J244" s="2">
        <v>0.027777777777777776</v>
      </c>
      <c r="K244" s="1">
        <v>0.07083333333333333</v>
      </c>
      <c r="L244" s="1">
        <v>0.09861111111111111</v>
      </c>
      <c r="M244" s="1" t="s">
        <v>22</v>
      </c>
      <c r="N244" s="1" t="s">
        <v>32</v>
      </c>
      <c r="O244" s="1" t="s">
        <v>41</v>
      </c>
      <c r="P244" s="1" t="s">
        <v>708</v>
      </c>
      <c r="Q244" s="1">
        <v>45456</v>
      </c>
      <c r="R244" s="14">
        <v>5</v>
      </c>
      <c r="S244" s="1" t="s">
        <v>22</v>
      </c>
      <c r="T244" s="1" t="s">
        <v>22</v>
      </c>
      <c r="U244" s="1" t="s">
        <v>22</v>
      </c>
    </row>
    <row r="245" spans="1:21" x14ac:dyDescent="0.25">
      <c r="A245" s="1" t="s">
        <v>722</v>
      </c>
      <c r="B245" s="2" t="s">
        <v>99</v>
      </c>
      <c r="C245" s="1" t="s">
        <v>25</v>
      </c>
      <c r="D245" s="1" t="s">
        <v>735</v>
      </c>
      <c r="E245" s="1" t="s">
        <v>37</v>
      </c>
      <c r="F245" s="1">
        <v>45456</v>
      </c>
      <c r="G245" s="14" t="s">
        <v>28</v>
      </c>
      <c r="H245" t="s">
        <v>736</v>
      </c>
      <c r="I245" s="2" t="s">
        <v>737</v>
      </c>
      <c r="J245" s="2">
        <v>0.010416666666666666</v>
      </c>
      <c r="K245" s="1">
        <v>0.041666666666666664</v>
      </c>
      <c r="L245" s="1">
        <v>0.05208333333333333</v>
      </c>
      <c r="M245" s="1" t="s">
        <v>22</v>
      </c>
      <c r="N245" s="1" t="s">
        <v>31</v>
      </c>
      <c r="O245" s="1" t="s">
        <v>32</v>
      </c>
      <c r="P245" s="1" t="s">
        <v>47</v>
      </c>
      <c r="Q245" s="1">
        <v>45456</v>
      </c>
      <c r="R245" s="14">
        <v>5</v>
      </c>
      <c r="S245" s="1" t="s">
        <v>22</v>
      </c>
      <c r="T245" s="1" t="s">
        <v>22</v>
      </c>
      <c r="U245" s="1" t="s">
        <v>22</v>
      </c>
    </row>
    <row r="246" spans="1:21" x14ac:dyDescent="0.25">
      <c r="A246" s="1" t="s">
        <v>722</v>
      </c>
      <c r="B246" s="2" t="s">
        <v>529</v>
      </c>
      <c r="C246" s="1" t="s">
        <v>530</v>
      </c>
      <c r="D246" s="1" t="s">
        <v>738</v>
      </c>
      <c r="E246" s="1" t="s">
        <v>37</v>
      </c>
      <c r="F246" s="1">
        <v>45457</v>
      </c>
      <c r="G246" s="14" t="s">
        <v>28</v>
      </c>
      <c r="H246" t="s">
        <v>739</v>
      </c>
      <c r="I246" s="2" t="s">
        <v>740</v>
      </c>
      <c r="J246" s="2">
        <v>0.027777777777777776</v>
      </c>
      <c r="K246" s="1">
        <v>0.04583333333333333</v>
      </c>
      <c r="L246" s="1">
        <v>0.0736111111111111</v>
      </c>
      <c r="M246" s="1" t="s">
        <v>22</v>
      </c>
      <c r="N246" s="1" t="s">
        <v>32</v>
      </c>
      <c r="O246" s="1" t="s">
        <v>41</v>
      </c>
      <c r="P246" s="1" t="s">
        <v>47</v>
      </c>
      <c r="Q246" s="1">
        <v>45457</v>
      </c>
      <c r="R246" s="14">
        <v>5</v>
      </c>
      <c r="S246" s="1" t="s">
        <v>22</v>
      </c>
      <c r="T246" s="1" t="s">
        <v>22</v>
      </c>
      <c r="U246" s="1" t="s">
        <v>22</v>
      </c>
    </row>
    <row r="247" spans="1:21" x14ac:dyDescent="0.25">
      <c r="A247" s="1" t="s">
        <v>722</v>
      </c>
      <c r="B247" s="2" t="s">
        <v>35</v>
      </c>
      <c r="C247" s="1" t="s">
        <v>25</v>
      </c>
      <c r="D247" s="1" t="s">
        <v>741</v>
      </c>
      <c r="E247" s="1" t="s">
        <v>37</v>
      </c>
      <c r="F247" s="1">
        <v>45460</v>
      </c>
      <c r="G247" s="14" t="s">
        <v>28</v>
      </c>
      <c r="H247" t="s">
        <v>742</v>
      </c>
      <c r="I247" s="2" t="s">
        <v>743</v>
      </c>
      <c r="J247" s="2">
        <v>0.0625</v>
      </c>
      <c r="K247" s="1">
        <v>0.034722222222222224</v>
      </c>
      <c r="L247" s="1">
        <v>0.09722222222222222</v>
      </c>
      <c r="M247" s="1" t="s">
        <v>22</v>
      </c>
      <c r="N247" s="1" t="s">
        <v>31</v>
      </c>
      <c r="O247" s="1" t="s">
        <v>32</v>
      </c>
      <c r="P247" s="1" t="s">
        <v>42</v>
      </c>
      <c r="Q247" s="1">
        <v>45462</v>
      </c>
      <c r="R247" s="14">
        <v>5</v>
      </c>
      <c r="S247" s="1" t="s">
        <v>22</v>
      </c>
      <c r="T247" s="1" t="s">
        <v>22</v>
      </c>
      <c r="U247" s="1" t="s">
        <v>22</v>
      </c>
    </row>
    <row r="248" spans="1:21" x14ac:dyDescent="0.25">
      <c r="A248" s="1" t="s">
        <v>722</v>
      </c>
      <c r="B248" s="2" t="s">
        <v>479</v>
      </c>
      <c r="C248" s="1" t="s">
        <v>25</v>
      </c>
      <c r="D248" s="1" t="s">
        <v>744</v>
      </c>
      <c r="E248" s="1" t="s">
        <v>27</v>
      </c>
      <c r="F248" s="1">
        <v>45461</v>
      </c>
      <c r="G248" s="14" t="s">
        <v>507</v>
      </c>
      <c r="H248" t="s">
        <v>745</v>
      </c>
      <c r="I248" s="2" t="s">
        <v>746</v>
      </c>
      <c r="J248" s="2">
        <v>0.013888888888888888</v>
      </c>
      <c r="K248" s="1">
        <v>0.025694444444444443</v>
      </c>
      <c r="L248" s="1">
        <v>0.03958333333333333</v>
      </c>
      <c r="M248" s="1" t="s">
        <v>22</v>
      </c>
      <c r="N248" s="1" t="s">
        <v>32</v>
      </c>
      <c r="O248" s="1" t="s">
        <v>41</v>
      </c>
      <c r="P248" s="1" t="s">
        <v>42</v>
      </c>
      <c r="Q248" s="1">
        <v>45461</v>
      </c>
      <c r="R248" s="14">
        <v>5</v>
      </c>
      <c r="S248" s="1" t="s">
        <v>22</v>
      </c>
      <c r="T248" s="1" t="s">
        <v>22</v>
      </c>
      <c r="U248" s="1" t="s">
        <v>22</v>
      </c>
    </row>
    <row r="249" spans="1:21" x14ac:dyDescent="0.25">
      <c r="A249" s="1" t="s">
        <v>722</v>
      </c>
      <c r="B249" s="2" t="s">
        <v>35</v>
      </c>
      <c r="C249" s="1" t="s">
        <v>25</v>
      </c>
      <c r="D249" s="1" t="s">
        <v>747</v>
      </c>
      <c r="E249" s="1" t="s">
        <v>27</v>
      </c>
      <c r="F249" s="1">
        <v>45471</v>
      </c>
      <c r="G249" s="14" t="s">
        <v>507</v>
      </c>
      <c r="H249" t="s">
        <v>748</v>
      </c>
      <c r="I249" s="2" t="s">
        <v>749</v>
      </c>
      <c r="J249" s="2">
        <v>0.010416666666666666</v>
      </c>
      <c r="K249" s="1">
        <v>0.027777777777777776</v>
      </c>
      <c r="L249" s="1">
        <v>0.03819444444444444</v>
      </c>
      <c r="M249" s="1" t="s">
        <v>22</v>
      </c>
      <c r="N249" s="1" t="s">
        <v>41</v>
      </c>
      <c r="O249" s="1" t="s">
        <v>32</v>
      </c>
      <c r="P249" s="1" t="s">
        <v>42</v>
      </c>
      <c r="Q249" s="1">
        <v>45471</v>
      </c>
      <c r="R249" s="14">
        <v>5</v>
      </c>
      <c r="S249" s="1" t="s">
        <v>22</v>
      </c>
      <c r="T249" s="1" t="s">
        <v>22</v>
      </c>
      <c r="U249" s="1" t="s">
        <v>22</v>
      </c>
    </row>
    <row r="250" spans="1:21" x14ac:dyDescent="0.25">
      <c r="A250" s="1" t="s">
        <v>750</v>
      </c>
      <c r="B250" s="2" t="s">
        <v>641</v>
      </c>
      <c r="C250" s="1" t="s">
        <v>261</v>
      </c>
      <c r="D250" s="1" t="s">
        <v>751</v>
      </c>
      <c r="E250" s="1" t="s">
        <v>27</v>
      </c>
      <c r="F250" s="1">
        <v>45476</v>
      </c>
      <c r="G250" s="14" t="s">
        <v>133</v>
      </c>
      <c r="H250" t="s">
        <v>752</v>
      </c>
      <c r="I250" s="2" t="s">
        <v>753</v>
      </c>
      <c r="J250" s="2">
        <v>0.013888888888888888</v>
      </c>
      <c r="K250" s="1">
        <v>0.04861111111111111</v>
      </c>
      <c r="L250" s="1">
        <v>0.0625</v>
      </c>
      <c r="M250" s="1" t="s">
        <v>22</v>
      </c>
      <c r="N250" s="1" t="s">
        <v>32</v>
      </c>
      <c r="O250" s="1" t="s">
        <v>41</v>
      </c>
      <c r="P250" s="1" t="s">
        <v>42</v>
      </c>
      <c r="Q250" s="1">
        <v>45476</v>
      </c>
      <c r="R250" s="14">
        <v>5</v>
      </c>
      <c r="S250" s="1" t="s">
        <v>22</v>
      </c>
      <c r="T250" s="1" t="s">
        <v>22</v>
      </c>
      <c r="U250" s="1" t="s">
        <v>22</v>
      </c>
    </row>
    <row r="251" spans="1:21" x14ac:dyDescent="0.25">
      <c r="A251" s="1" t="s">
        <v>750</v>
      </c>
      <c r="B251" s="2" t="s">
        <v>641</v>
      </c>
      <c r="C251" s="1" t="s">
        <v>261</v>
      </c>
      <c r="D251" s="1" t="s">
        <v>754</v>
      </c>
      <c r="E251" s="1" t="s">
        <v>37</v>
      </c>
      <c r="F251" s="1">
        <v>45483</v>
      </c>
      <c r="G251" s="14" t="s">
        <v>96</v>
      </c>
      <c r="H251" t="s">
        <v>755</v>
      </c>
      <c r="I251" s="2" t="s">
        <v>755</v>
      </c>
      <c r="J251" s="2">
        <v>0.0625</v>
      </c>
      <c r="K251" s="1">
        <v>0.027777777777777776</v>
      </c>
      <c r="L251" s="1">
        <v>0.09027777777777778</v>
      </c>
      <c r="M251" s="1" t="s">
        <v>22</v>
      </c>
      <c r="N251" s="1" t="s">
        <v>31</v>
      </c>
      <c r="O251" s="1" t="s">
        <v>32</v>
      </c>
      <c r="P251" s="1" t="s">
        <v>42</v>
      </c>
      <c r="Q251" s="1">
        <v>45483</v>
      </c>
      <c r="R251" s="14">
        <v>5</v>
      </c>
      <c r="S251" s="1" t="s">
        <v>22</v>
      </c>
      <c r="T251" s="1" t="s">
        <v>22</v>
      </c>
      <c r="U251" s="1" t="s">
        <v>22</v>
      </c>
    </row>
    <row r="252" spans="1:21" x14ac:dyDescent="0.25">
      <c r="A252" s="1" t="s">
        <v>750</v>
      </c>
      <c r="B252" s="2" t="s">
        <v>286</v>
      </c>
      <c r="C252" s="1" t="s">
        <v>287</v>
      </c>
      <c r="D252" s="1" t="s">
        <v>756</v>
      </c>
      <c r="E252" s="1" t="s">
        <v>37</v>
      </c>
      <c r="F252" s="1">
        <v>45483</v>
      </c>
      <c r="G252" s="14" t="s">
        <v>38</v>
      </c>
      <c r="H252" t="s">
        <v>757</v>
      </c>
      <c r="I252" s="2" t="s">
        <v>757</v>
      </c>
      <c r="J252" s="2">
        <v>0.0625</v>
      </c>
      <c r="K252" s="1">
        <v>0.059027777777777776</v>
      </c>
      <c r="L252" s="1">
        <v>0.12152777777777778</v>
      </c>
      <c r="M252" s="1" t="s">
        <v>22</v>
      </c>
      <c r="N252" s="1" t="s">
        <v>31</v>
      </c>
      <c r="O252" s="1" t="s">
        <v>41</v>
      </c>
      <c r="P252" s="1" t="s">
        <v>47</v>
      </c>
      <c r="Q252" s="1">
        <v>45483</v>
      </c>
      <c r="R252" s="14">
        <v>5</v>
      </c>
      <c r="S252" s="1" t="s">
        <v>22</v>
      </c>
      <c r="T252" s="1" t="s">
        <v>22</v>
      </c>
      <c r="U252" s="1" t="s">
        <v>22</v>
      </c>
    </row>
    <row r="253" spans="1:21" x14ac:dyDescent="0.25">
      <c r="A253" s="1" t="s">
        <v>750</v>
      </c>
      <c r="B253" s="2" t="s">
        <v>308</v>
      </c>
      <c r="C253" s="1" t="s">
        <v>309</v>
      </c>
      <c r="D253" s="1" t="s">
        <v>758</v>
      </c>
      <c r="E253" s="1" t="s">
        <v>27</v>
      </c>
      <c r="F253" s="1">
        <v>45485</v>
      </c>
      <c r="G253" s="14" t="s">
        <v>38</v>
      </c>
      <c r="H253" t="s">
        <v>759</v>
      </c>
      <c r="I253" s="2" t="s">
        <v>759</v>
      </c>
      <c r="J253" s="2">
        <v>0.024305555555555556</v>
      </c>
      <c r="K253" s="1">
        <v>0.04513888888888889</v>
      </c>
      <c r="L253" s="1">
        <v>0.06944444444444445</v>
      </c>
      <c r="M253" s="1" t="s">
        <v>22</v>
      </c>
      <c r="N253" s="1" t="s">
        <v>31</v>
      </c>
      <c r="O253" s="1" t="s">
        <v>32</v>
      </c>
      <c r="P253" s="1" t="s">
        <v>42</v>
      </c>
      <c r="Q253" s="1">
        <v>45485</v>
      </c>
      <c r="R253" s="14">
        <v>5</v>
      </c>
      <c r="S253" s="1" t="s">
        <v>22</v>
      </c>
      <c r="T253" s="1" t="s">
        <v>22</v>
      </c>
      <c r="U253" s="1" t="s">
        <v>22</v>
      </c>
    </row>
    <row r="254" spans="1:21" x14ac:dyDescent="0.25">
      <c r="A254" s="1" t="s">
        <v>750</v>
      </c>
      <c r="B254" s="2" t="s">
        <v>24</v>
      </c>
      <c r="C254" s="1" t="s">
        <v>25</v>
      </c>
      <c r="D254" s="1" t="s">
        <v>760</v>
      </c>
      <c r="E254" s="1" t="s">
        <v>27</v>
      </c>
      <c r="F254" s="1">
        <v>45485</v>
      </c>
      <c r="G254" s="14" t="s">
        <v>38</v>
      </c>
      <c r="H254" t="s">
        <v>761</v>
      </c>
      <c r="I254" s="2" t="s">
        <v>761</v>
      </c>
      <c r="J254" s="2">
        <v>0.024305555555555556</v>
      </c>
      <c r="K254" s="1">
        <v>0.027777777777777776</v>
      </c>
      <c r="L254" s="1">
        <v>0.05208333333333333</v>
      </c>
      <c r="M254" s="1" t="s">
        <v>22</v>
      </c>
      <c r="N254" s="1" t="s">
        <v>31</v>
      </c>
      <c r="O254" s="1" t="s">
        <v>32</v>
      </c>
      <c r="P254" s="1" t="s">
        <v>112</v>
      </c>
      <c r="Q254" s="1">
        <v>45485</v>
      </c>
      <c r="R254" s="14">
        <v>5</v>
      </c>
      <c r="S254" s="1" t="s">
        <v>22</v>
      </c>
      <c r="T254" s="1" t="s">
        <v>22</v>
      </c>
      <c r="U254" s="1" t="s">
        <v>22</v>
      </c>
    </row>
    <row r="255" spans="1:21" x14ac:dyDescent="0.25">
      <c r="A255" s="1" t="s">
        <v>750</v>
      </c>
      <c r="B255" s="2" t="s">
        <v>247</v>
      </c>
      <c r="C255" s="1" t="s">
        <v>25</v>
      </c>
      <c r="D255" s="1" t="s">
        <v>762</v>
      </c>
      <c r="E255" s="1" t="s">
        <v>27</v>
      </c>
      <c r="F255" s="1">
        <v>45490</v>
      </c>
      <c r="G255" s="14" t="s">
        <v>38</v>
      </c>
      <c r="H255" t="s">
        <v>763</v>
      </c>
      <c r="I255" s="2" t="s">
        <v>764</v>
      </c>
      <c r="J255" s="2">
        <v>0.020833333333333332</v>
      </c>
      <c r="K255" s="1">
        <v>0.027777777777777776</v>
      </c>
      <c r="L255" s="1">
        <v>0.048611111111111105</v>
      </c>
      <c r="M255" s="1" t="s">
        <v>22</v>
      </c>
      <c r="N255" s="1" t="s">
        <v>31</v>
      </c>
      <c r="O255" s="1" t="s">
        <v>32</v>
      </c>
      <c r="P255" s="1" t="s">
        <v>47</v>
      </c>
      <c r="Q255" s="1">
        <v>45490</v>
      </c>
      <c r="R255" s="14">
        <v>5</v>
      </c>
      <c r="S255" s="1" t="s">
        <v>22</v>
      </c>
      <c r="T255" s="1" t="s">
        <v>22</v>
      </c>
      <c r="U255" s="1" t="s">
        <v>22</v>
      </c>
    </row>
    <row r="256" spans="1:21" x14ac:dyDescent="0.25">
      <c r="A256" s="1" t="s">
        <v>750</v>
      </c>
      <c r="B256" s="2" t="s">
        <v>113</v>
      </c>
      <c r="C256" s="1" t="s">
        <v>25</v>
      </c>
      <c r="D256" s="1" t="s">
        <v>765</v>
      </c>
      <c r="E256" s="1" t="s">
        <v>27</v>
      </c>
      <c r="F256" s="1">
        <v>45490</v>
      </c>
      <c r="G256" s="14" t="s">
        <v>28</v>
      </c>
      <c r="H256" t="s">
        <v>766</v>
      </c>
      <c r="I256" s="2" t="s">
        <v>767</v>
      </c>
      <c r="J256" s="2">
        <v>0.03125</v>
      </c>
      <c r="K256" s="1">
        <v>0.041666666666666664</v>
      </c>
      <c r="L256" s="1">
        <v>0.07291666666666666</v>
      </c>
      <c r="M256" s="1" t="s">
        <v>22</v>
      </c>
      <c r="N256" s="1" t="s">
        <v>31</v>
      </c>
      <c r="O256" s="1" t="s">
        <v>32</v>
      </c>
      <c r="P256" s="1" t="s">
        <v>47</v>
      </c>
      <c r="Q256" s="1">
        <v>45490</v>
      </c>
      <c r="R256" s="14">
        <v>5</v>
      </c>
      <c r="S256" s="1" t="s">
        <v>22</v>
      </c>
      <c r="T256" s="1" t="s">
        <v>22</v>
      </c>
      <c r="U256" s="1" t="s">
        <v>22</v>
      </c>
    </row>
    <row r="257" spans="1:21" x14ac:dyDescent="0.25">
      <c r="A257" s="1" t="s">
        <v>750</v>
      </c>
      <c r="B257" s="2" t="s">
        <v>24</v>
      </c>
      <c r="C257" s="1" t="s">
        <v>25</v>
      </c>
      <c r="D257" s="1" t="s">
        <v>768</v>
      </c>
      <c r="E257" s="1" t="s">
        <v>27</v>
      </c>
      <c r="F257" s="1">
        <v>45485</v>
      </c>
      <c r="G257" s="14" t="s">
        <v>38</v>
      </c>
      <c r="H257" t="s">
        <v>769</v>
      </c>
      <c r="I257" s="2" t="s">
        <v>770</v>
      </c>
      <c r="J257" s="2">
        <v>0.024305555555555556</v>
      </c>
      <c r="K257" s="1">
        <v>0.052083333333333336</v>
      </c>
      <c r="L257" s="1">
        <v>0.0763888888888889</v>
      </c>
      <c r="M257" s="1" t="s">
        <v>22</v>
      </c>
      <c r="N257" s="1" t="s">
        <v>31</v>
      </c>
      <c r="O257" s="1" t="s">
        <v>41</v>
      </c>
      <c r="P257" s="1" t="s">
        <v>112</v>
      </c>
      <c r="Q257" s="1">
        <v>45491</v>
      </c>
      <c r="R257" s="14">
        <v>5</v>
      </c>
      <c r="S257" s="1" t="s">
        <v>22</v>
      </c>
      <c r="T257" s="1" t="s">
        <v>22</v>
      </c>
      <c r="U257" s="1" t="s">
        <v>22</v>
      </c>
    </row>
    <row r="258" spans="1:21" x14ac:dyDescent="0.25">
      <c r="A258" s="1" t="s">
        <v>750</v>
      </c>
      <c r="B258" s="2" t="s">
        <v>258</v>
      </c>
      <c r="C258" s="1" t="s">
        <v>25</v>
      </c>
      <c r="D258" s="1" t="s">
        <v>771</v>
      </c>
      <c r="E258" s="1" t="s">
        <v>27</v>
      </c>
      <c r="F258" s="1">
        <v>45497</v>
      </c>
      <c r="G258" s="14" t="s">
        <v>507</v>
      </c>
      <c r="H258" t="s">
        <v>772</v>
      </c>
      <c r="I258" s="2" t="s">
        <v>773</v>
      </c>
      <c r="J258" s="2">
        <v>0.020833333333333332</v>
      </c>
      <c r="K258" s="1">
        <v>0.04513888888888889</v>
      </c>
      <c r="L258" s="1">
        <v>0.06597222222222222</v>
      </c>
      <c r="M258" s="1" t="s">
        <v>22</v>
      </c>
      <c r="N258" s="1" t="s">
        <v>32</v>
      </c>
      <c r="O258" s="1" t="s">
        <v>41</v>
      </c>
      <c r="P258" s="1" t="s">
        <v>42</v>
      </c>
      <c r="Q258" s="1">
        <v>45497</v>
      </c>
      <c r="R258" s="14">
        <v>5</v>
      </c>
      <c r="S258" s="1" t="s">
        <v>22</v>
      </c>
      <c r="T258" s="1" t="s">
        <v>22</v>
      </c>
      <c r="U258" s="1" t="s">
        <v>22</v>
      </c>
    </row>
    <row r="259" spans="1:21" x14ac:dyDescent="0.25">
      <c r="A259" s="1" t="s">
        <v>750</v>
      </c>
      <c r="B259" s="2" t="s">
        <v>199</v>
      </c>
      <c r="C259" s="1" t="s">
        <v>200</v>
      </c>
      <c r="D259" s="1" t="s">
        <v>774</v>
      </c>
      <c r="E259" s="1" t="s">
        <v>37</v>
      </c>
      <c r="F259" s="1">
        <v>45497</v>
      </c>
      <c r="G259" s="14" t="s">
        <v>38</v>
      </c>
      <c r="H259" t="s">
        <v>775</v>
      </c>
      <c r="I259" s="2" t="s">
        <v>776</v>
      </c>
      <c r="J259" s="2">
        <v>0.020833333333333332</v>
      </c>
      <c r="K259" s="1" t="s">
        <v>22</v>
      </c>
      <c r="L259" s="1">
        <v>0.020833333333333332</v>
      </c>
      <c r="M259" s="1" t="s">
        <v>22</v>
      </c>
      <c r="N259" s="1" t="s">
        <v>31</v>
      </c>
      <c r="O259" s="1" t="s">
        <v>22</v>
      </c>
      <c r="P259" s="1" t="s">
        <v>117</v>
      </c>
      <c r="Q259" s="1">
        <v>45497</v>
      </c>
      <c r="R259" s="14">
        <v>5</v>
      </c>
      <c r="S259" s="1" t="s">
        <v>22</v>
      </c>
      <c r="T259" s="1" t="s">
        <v>22</v>
      </c>
      <c r="U259" s="1" t="s">
        <v>22</v>
      </c>
    </row>
    <row r="260" spans="1:21" x14ac:dyDescent="0.25">
      <c r="A260" s="1" t="s">
        <v>750</v>
      </c>
      <c r="B260" s="2" t="s">
        <v>286</v>
      </c>
      <c r="C260" s="1" t="s">
        <v>287</v>
      </c>
      <c r="D260" s="1" t="s">
        <v>777</v>
      </c>
      <c r="E260" s="1" t="s">
        <v>37</v>
      </c>
      <c r="F260" s="1">
        <v>45497</v>
      </c>
      <c r="G260" s="14" t="s">
        <v>670</v>
      </c>
      <c r="H260" t="s">
        <v>778</v>
      </c>
      <c r="I260" s="2" t="s">
        <v>779</v>
      </c>
      <c r="J260" s="2">
        <v>0.041666666666666664</v>
      </c>
      <c r="K260" s="1">
        <v>0.020833333333333332</v>
      </c>
      <c r="L260" s="1">
        <v>0.0625</v>
      </c>
      <c r="M260" s="1" t="s">
        <v>22</v>
      </c>
      <c r="N260" s="1" t="s">
        <v>31</v>
      </c>
      <c r="O260" s="1" t="s">
        <v>32</v>
      </c>
      <c r="P260" s="1" t="s">
        <v>47</v>
      </c>
      <c r="Q260" s="1">
        <v>45497</v>
      </c>
      <c r="R260" s="14">
        <v>5</v>
      </c>
      <c r="S260" s="1" t="s">
        <v>22</v>
      </c>
      <c r="T260" s="1" t="s">
        <v>22</v>
      </c>
      <c r="U260" s="1" t="s">
        <v>22</v>
      </c>
    </row>
    <row r="261" spans="1:21" x14ac:dyDescent="0.25">
      <c r="A261" s="1" t="s">
        <v>750</v>
      </c>
      <c r="B261" s="2" t="s">
        <v>545</v>
      </c>
      <c r="C261" s="1" t="s">
        <v>546</v>
      </c>
      <c r="D261" s="1" t="s">
        <v>780</v>
      </c>
      <c r="E261" s="1" t="s">
        <v>27</v>
      </c>
      <c r="F261" s="1">
        <v>45503</v>
      </c>
      <c r="G261" s="14" t="s">
        <v>28</v>
      </c>
      <c r="H261" t="s">
        <v>781</v>
      </c>
      <c r="I261" s="2" t="s">
        <v>782</v>
      </c>
      <c r="J261" s="2">
        <v>0.020833333333333332</v>
      </c>
      <c r="K261" s="1">
        <v>0.027777777777777776</v>
      </c>
      <c r="L261" s="1">
        <v>0.048611111111111105</v>
      </c>
      <c r="M261" s="1" t="s">
        <v>22</v>
      </c>
      <c r="N261" s="1" t="s">
        <v>53</v>
      </c>
      <c r="O261" s="1" t="s">
        <v>32</v>
      </c>
      <c r="P261" s="1" t="s">
        <v>47</v>
      </c>
      <c r="Q261" s="1">
        <v>45503</v>
      </c>
      <c r="R261" s="14">
        <v>5</v>
      </c>
      <c r="S261" s="1" t="s">
        <v>22</v>
      </c>
      <c r="T261" s="1" t="s">
        <v>22</v>
      </c>
      <c r="U261" s="1" t="s">
        <v>22</v>
      </c>
    </row>
    <row r="262" spans="1:21" x14ac:dyDescent="0.25">
      <c r="A262" s="1" t="s">
        <v>783</v>
      </c>
      <c r="B262" s="2" t="s">
        <v>118</v>
      </c>
      <c r="C262" s="1" t="s">
        <v>25</v>
      </c>
      <c r="D262" s="1" t="s">
        <v>784</v>
      </c>
      <c r="E262" s="1" t="s">
        <v>27</v>
      </c>
      <c r="F262" s="1">
        <v>45505</v>
      </c>
      <c r="G262" s="14" t="s">
        <v>38</v>
      </c>
      <c r="H262" t="s">
        <v>785</v>
      </c>
      <c r="I262" s="2" t="s">
        <v>786</v>
      </c>
      <c r="J262" s="2">
        <v>0.034722222222222224</v>
      </c>
      <c r="K262" s="1">
        <v>0.059027777777777776</v>
      </c>
      <c r="L262" s="1">
        <v>0.09375</v>
      </c>
      <c r="M262" s="1" t="s">
        <v>22</v>
      </c>
      <c r="N262" s="1" t="s">
        <v>31</v>
      </c>
      <c r="O262" s="1" t="s">
        <v>41</v>
      </c>
      <c r="P262" s="1" t="s">
        <v>42</v>
      </c>
      <c r="Q262" s="1">
        <v>45505</v>
      </c>
      <c r="R262" s="14">
        <v>5</v>
      </c>
      <c r="S262" s="1" t="s">
        <v>22</v>
      </c>
      <c r="T262" s="1" t="s">
        <v>22</v>
      </c>
      <c r="U262" s="1" t="s">
        <v>22</v>
      </c>
    </row>
    <row r="263" spans="1:21" x14ac:dyDescent="0.25">
      <c r="A263" s="1" t="s">
        <v>783</v>
      </c>
      <c r="B263" s="2" t="s">
        <v>667</v>
      </c>
      <c r="C263" s="1" t="s">
        <v>668</v>
      </c>
      <c r="D263" s="1" t="s">
        <v>787</v>
      </c>
      <c r="E263" s="1" t="s">
        <v>27</v>
      </c>
      <c r="F263" s="1">
        <v>45507</v>
      </c>
      <c r="G263" s="14" t="s">
        <v>507</v>
      </c>
      <c r="H263" t="s">
        <v>788</v>
      </c>
      <c r="I263" s="2" t="s">
        <v>789</v>
      </c>
      <c r="J263" s="2">
        <v>0.034722222222222224</v>
      </c>
      <c r="K263" s="1">
        <v>0.03125</v>
      </c>
      <c r="L263" s="1">
        <v>0.06597222222222222</v>
      </c>
      <c r="M263" s="1" t="s">
        <v>22</v>
      </c>
      <c r="N263" s="1" t="s">
        <v>31</v>
      </c>
      <c r="O263" s="1" t="s">
        <v>41</v>
      </c>
      <c r="P263" s="1" t="s">
        <v>42</v>
      </c>
      <c r="Q263" s="1">
        <v>45507</v>
      </c>
      <c r="R263" s="14">
        <v>5</v>
      </c>
      <c r="S263" s="1" t="s">
        <v>22</v>
      </c>
      <c r="T263" s="1" t="s">
        <v>22</v>
      </c>
      <c r="U263" s="1" t="s">
        <v>22</v>
      </c>
    </row>
    <row r="264" spans="1:21" x14ac:dyDescent="0.25">
      <c r="A264" s="1" t="s">
        <v>783</v>
      </c>
      <c r="B264" s="2" t="s">
        <v>667</v>
      </c>
      <c r="C264" s="1" t="s">
        <v>668</v>
      </c>
      <c r="D264" s="1" t="s">
        <v>790</v>
      </c>
      <c r="E264" s="1" t="s">
        <v>37</v>
      </c>
      <c r="F264" s="1">
        <v>45507</v>
      </c>
      <c r="G264" s="14" t="s">
        <v>74</v>
      </c>
      <c r="H264" t="s">
        <v>791</v>
      </c>
      <c r="I264" s="2" t="s">
        <v>792</v>
      </c>
      <c r="J264" s="2">
        <v>0.034722222222222224</v>
      </c>
      <c r="K264" s="1">
        <v>0.027777777777777776</v>
      </c>
      <c r="L264" s="1">
        <v>0.0625</v>
      </c>
      <c r="M264" s="1" t="s">
        <v>22</v>
      </c>
      <c r="N264" s="1" t="s">
        <v>31</v>
      </c>
      <c r="O264" s="1" t="s">
        <v>41</v>
      </c>
      <c r="P264" s="1" t="s">
        <v>42</v>
      </c>
      <c r="Q264" s="1">
        <v>45507</v>
      </c>
      <c r="R264" s="14">
        <v>5</v>
      </c>
      <c r="S264" s="1" t="s">
        <v>22</v>
      </c>
      <c r="T264" s="1" t="s">
        <v>22</v>
      </c>
      <c r="U264" s="1" t="s">
        <v>22</v>
      </c>
    </row>
    <row r="265" spans="1:21" x14ac:dyDescent="0.25">
      <c r="A265" s="1" t="s">
        <v>783</v>
      </c>
      <c r="B265" s="2" t="s">
        <v>24</v>
      </c>
      <c r="C265" s="1" t="s">
        <v>25</v>
      </c>
      <c r="D265" s="1" t="s">
        <v>793</v>
      </c>
      <c r="E265" s="1" t="s">
        <v>37</v>
      </c>
      <c r="F265" s="1">
        <v>45510</v>
      </c>
      <c r="G265" s="14" t="s">
        <v>28</v>
      </c>
      <c r="H265" t="s">
        <v>794</v>
      </c>
      <c r="I265" s="2" t="s">
        <v>795</v>
      </c>
      <c r="J265" s="2">
        <v>0.03125</v>
      </c>
      <c r="K265" s="1">
        <v>0.06597222222222222</v>
      </c>
      <c r="L265" s="1">
        <v>0.09722222222222222</v>
      </c>
      <c r="M265" s="1" t="s">
        <v>22</v>
      </c>
      <c r="N265" s="1" t="s">
        <v>41</v>
      </c>
      <c r="O265" s="1" t="s">
        <v>32</v>
      </c>
      <c r="P265" s="1" t="s">
        <v>244</v>
      </c>
      <c r="Q265" s="1">
        <v>45510</v>
      </c>
      <c r="R265" s="14">
        <v>5</v>
      </c>
      <c r="S265" s="1" t="s">
        <v>22</v>
      </c>
      <c r="T265" s="1" t="s">
        <v>22</v>
      </c>
      <c r="U265" s="1" t="s">
        <v>22</v>
      </c>
    </row>
    <row r="266" spans="1:21" x14ac:dyDescent="0.25">
      <c r="A266" s="1" t="s">
        <v>783</v>
      </c>
      <c r="B266" s="2" t="s">
        <v>796</v>
      </c>
      <c r="C266" s="1" t="s">
        <v>285</v>
      </c>
      <c r="D266" s="1" t="s">
        <v>797</v>
      </c>
      <c r="E266" s="1" t="s">
        <v>37</v>
      </c>
      <c r="F266" s="1">
        <v>45511</v>
      </c>
      <c r="G266" s="14" t="s">
        <v>798</v>
      </c>
      <c r="H266" t="s">
        <v>799</v>
      </c>
      <c r="I266" s="2" t="s">
        <v>800</v>
      </c>
      <c r="J266" s="2">
        <v>0.020833333333333332</v>
      </c>
      <c r="K266" s="1">
        <v>0.027777777777777776</v>
      </c>
      <c r="L266" s="1">
        <v>0.048611111111111105</v>
      </c>
      <c r="M266" s="1" t="s">
        <v>22</v>
      </c>
      <c r="N266" s="1" t="s">
        <v>31</v>
      </c>
      <c r="O266" s="1" t="s">
        <v>32</v>
      </c>
      <c r="P266" s="1" t="s">
        <v>47</v>
      </c>
      <c r="Q266" s="1">
        <v>45511</v>
      </c>
      <c r="R266" s="14">
        <v>5</v>
      </c>
      <c r="S266" s="1" t="s">
        <v>22</v>
      </c>
      <c r="T266" s="1" t="s">
        <v>22</v>
      </c>
      <c r="U266" s="1" t="s">
        <v>22</v>
      </c>
    </row>
    <row r="267" spans="1:21" x14ac:dyDescent="0.25">
      <c r="A267" s="1" t="s">
        <v>783</v>
      </c>
      <c r="B267" s="2" t="s">
        <v>113</v>
      </c>
      <c r="C267" s="1" t="s">
        <v>25</v>
      </c>
      <c r="D267" s="1" t="s">
        <v>801</v>
      </c>
      <c r="E267" s="1" t="s">
        <v>37</v>
      </c>
      <c r="F267" s="1">
        <v>45511</v>
      </c>
      <c r="G267" s="14" t="s">
        <v>133</v>
      </c>
      <c r="H267" t="s">
        <v>802</v>
      </c>
      <c r="I267" s="2" t="s">
        <v>803</v>
      </c>
      <c r="J267" s="2">
        <v>0.013888888888888888</v>
      </c>
      <c r="K267" s="1" t="s">
        <v>22</v>
      </c>
      <c r="L267" s="1">
        <v>0.013888888888888888</v>
      </c>
      <c r="M267" s="1" t="s">
        <v>22</v>
      </c>
      <c r="N267" s="1" t="s">
        <v>32</v>
      </c>
      <c r="O267" s="1" t="s">
        <v>41</v>
      </c>
      <c r="P267" s="1" t="s">
        <v>47</v>
      </c>
      <c r="Q267" s="1">
        <v>45511</v>
      </c>
      <c r="R267" s="14">
        <v>5</v>
      </c>
      <c r="S267" s="1" t="s">
        <v>22</v>
      </c>
      <c r="T267" s="1" t="s">
        <v>22</v>
      </c>
      <c r="U267" s="1" t="s">
        <v>22</v>
      </c>
    </row>
    <row r="268" spans="1:21" x14ac:dyDescent="0.25">
      <c r="A268" s="1" t="s">
        <v>783</v>
      </c>
      <c r="B268" s="2" t="s">
        <v>804</v>
      </c>
      <c r="C268" s="1" t="s">
        <v>25</v>
      </c>
      <c r="D268" s="1" t="s">
        <v>805</v>
      </c>
      <c r="E268" s="1" t="s">
        <v>27</v>
      </c>
      <c r="F268" s="1">
        <v>45512</v>
      </c>
      <c r="G268" s="14" t="s">
        <v>133</v>
      </c>
      <c r="H268" t="s">
        <v>806</v>
      </c>
      <c r="I268" s="2" t="s">
        <v>807</v>
      </c>
      <c r="J268" s="2">
        <v>0.010416666666666666</v>
      </c>
      <c r="K268" s="1">
        <v>0.04861111111111111</v>
      </c>
      <c r="L268" s="1">
        <v>0.059027777777777776</v>
      </c>
      <c r="M268" s="1" t="s">
        <v>22</v>
      </c>
      <c r="N268" s="1" t="s">
        <v>41</v>
      </c>
      <c r="O268" s="1" t="s">
        <v>32</v>
      </c>
      <c r="P268" s="1" t="s">
        <v>47</v>
      </c>
      <c r="Q268" s="1">
        <v>45512</v>
      </c>
      <c r="R268" s="14">
        <v>5</v>
      </c>
      <c r="S268" s="1" t="s">
        <v>22</v>
      </c>
      <c r="T268" s="1" t="s">
        <v>22</v>
      </c>
      <c r="U268" s="1" t="s">
        <v>22</v>
      </c>
    </row>
    <row r="269" spans="1:21" x14ac:dyDescent="0.25">
      <c r="A269" s="1" t="s">
        <v>783</v>
      </c>
      <c r="B269" s="2" t="s">
        <v>286</v>
      </c>
      <c r="C269" s="1" t="s">
        <v>287</v>
      </c>
      <c r="D269" s="1" t="s">
        <v>808</v>
      </c>
      <c r="E269" s="1" t="s">
        <v>27</v>
      </c>
      <c r="F269" s="1">
        <v>45518</v>
      </c>
      <c r="G269" s="14" t="s">
        <v>38</v>
      </c>
      <c r="H269" t="s">
        <v>809</v>
      </c>
      <c r="I269" s="2" t="s">
        <v>810</v>
      </c>
      <c r="J269" s="2">
        <v>0.034722222222222224</v>
      </c>
      <c r="K269" s="1">
        <v>0.024305555555555556</v>
      </c>
      <c r="L269" s="1">
        <v>0.059027777777777776</v>
      </c>
      <c r="M269" s="1" t="s">
        <v>22</v>
      </c>
      <c r="N269" s="1" t="s">
        <v>31</v>
      </c>
      <c r="O269" s="1" t="s">
        <v>41</v>
      </c>
      <c r="P269" s="1" t="s">
        <v>47</v>
      </c>
      <c r="Q269" s="1">
        <v>45518</v>
      </c>
      <c r="R269" s="14">
        <v>5</v>
      </c>
      <c r="S269" s="1" t="s">
        <v>22</v>
      </c>
      <c r="T269" s="1" t="s">
        <v>22</v>
      </c>
      <c r="U269" s="1" t="s">
        <v>22</v>
      </c>
    </row>
    <row r="270" spans="1:21" x14ac:dyDescent="0.25">
      <c r="A270" s="1" t="s">
        <v>783</v>
      </c>
      <c r="B270" s="2" t="s">
        <v>286</v>
      </c>
      <c r="C270" s="1" t="s">
        <v>287</v>
      </c>
      <c r="D270" s="1" t="s">
        <v>811</v>
      </c>
      <c r="E270" s="1" t="s">
        <v>27</v>
      </c>
      <c r="F270" s="1">
        <v>45520</v>
      </c>
      <c r="G270" s="14" t="s">
        <v>38</v>
      </c>
      <c r="H270" t="s">
        <v>812</v>
      </c>
      <c r="I270" s="2" t="s">
        <v>813</v>
      </c>
      <c r="J270" s="2">
        <v>0.041666666666666664</v>
      </c>
      <c r="K270" s="1">
        <v>0.034722222222222224</v>
      </c>
      <c r="L270" s="1">
        <v>0.0763888888888889</v>
      </c>
      <c r="M270" s="1" t="s">
        <v>22</v>
      </c>
      <c r="N270" s="1" t="s">
        <v>31</v>
      </c>
      <c r="O270" s="1" t="s">
        <v>32</v>
      </c>
      <c r="P270" s="1" t="s">
        <v>47</v>
      </c>
      <c r="Q270" s="1">
        <v>45520</v>
      </c>
      <c r="R270" s="14">
        <v>5</v>
      </c>
      <c r="S270" s="1" t="s">
        <v>22</v>
      </c>
      <c r="T270" s="1" t="s">
        <v>22</v>
      </c>
      <c r="U270" s="1" t="s">
        <v>22</v>
      </c>
    </row>
    <row r="271" spans="1:21" x14ac:dyDescent="0.25">
      <c r="A271" s="1" t="s">
        <v>783</v>
      </c>
      <c r="B271" s="2" t="s">
        <v>163</v>
      </c>
      <c r="C271" s="1" t="s">
        <v>25</v>
      </c>
      <c r="D271" s="1" t="s">
        <v>814</v>
      </c>
      <c r="E271" s="1" t="s">
        <v>37</v>
      </c>
      <c r="F271" s="1">
        <v>45524</v>
      </c>
      <c r="G271" s="14" t="s">
        <v>28</v>
      </c>
      <c r="H271" t="s">
        <v>815</v>
      </c>
      <c r="I271" s="2" t="s">
        <v>816</v>
      </c>
      <c r="J271" s="2">
        <v>0.013888888888888888</v>
      </c>
      <c r="K271" s="1">
        <v>0.041666666666666664</v>
      </c>
      <c r="L271" s="1">
        <v>0.05555555555555555</v>
      </c>
      <c r="M271" s="1" t="s">
        <v>22</v>
      </c>
      <c r="N271" s="1" t="s">
        <v>31</v>
      </c>
      <c r="O271" s="1" t="s">
        <v>32</v>
      </c>
      <c r="P271" s="1" t="s">
        <v>47</v>
      </c>
      <c r="Q271" s="1">
        <v>45524</v>
      </c>
      <c r="R271" s="14">
        <v>5</v>
      </c>
      <c r="S271" s="1" t="s">
        <v>22</v>
      </c>
      <c r="T271" s="1" t="s">
        <v>22</v>
      </c>
      <c r="U271" s="1" t="s">
        <v>22</v>
      </c>
    </row>
    <row r="272" spans="1:21" x14ac:dyDescent="0.25">
      <c r="A272" s="1" t="s">
        <v>783</v>
      </c>
      <c r="B272" s="2" t="s">
        <v>479</v>
      </c>
      <c r="C272" s="1" t="s">
        <v>25</v>
      </c>
      <c r="D272" s="1" t="s">
        <v>817</v>
      </c>
      <c r="E272" s="1" t="s">
        <v>27</v>
      </c>
      <c r="F272" s="1">
        <v>45525</v>
      </c>
      <c r="G272" s="14" t="s">
        <v>38</v>
      </c>
      <c r="H272" t="s">
        <v>818</v>
      </c>
      <c r="I272" s="2" t="s">
        <v>819</v>
      </c>
      <c r="J272" s="2">
        <v>0.020833333333333332</v>
      </c>
      <c r="K272" s="1">
        <v>0.04861111111111111</v>
      </c>
      <c r="L272" s="1">
        <v>0.06944444444444445</v>
      </c>
      <c r="M272" s="1" t="s">
        <v>22</v>
      </c>
      <c r="N272" s="1" t="s">
        <v>31</v>
      </c>
      <c r="O272" s="1" t="s">
        <v>32</v>
      </c>
      <c r="P272" s="1" t="s">
        <v>42</v>
      </c>
      <c r="Q272" s="1">
        <v>45525</v>
      </c>
      <c r="R272" s="14">
        <v>5</v>
      </c>
      <c r="S272" s="1" t="s">
        <v>22</v>
      </c>
      <c r="T272" s="1" t="s">
        <v>22</v>
      </c>
      <c r="U272" s="1" t="s">
        <v>22</v>
      </c>
    </row>
    <row r="273" spans="1:21" x14ac:dyDescent="0.25">
      <c r="A273" s="1" t="s">
        <v>783</v>
      </c>
      <c r="B273" s="2" t="s">
        <v>258</v>
      </c>
      <c r="C273" s="1" t="s">
        <v>25</v>
      </c>
      <c r="D273" s="1" t="s">
        <v>771</v>
      </c>
      <c r="E273" s="1" t="s">
        <v>27</v>
      </c>
      <c r="F273" s="1">
        <v>45534</v>
      </c>
      <c r="G273" s="14" t="s">
        <v>820</v>
      </c>
      <c r="H273" t="s">
        <v>821</v>
      </c>
      <c r="I273" s="2" t="s">
        <v>822</v>
      </c>
      <c r="J273" s="2">
        <v>0.03125</v>
      </c>
      <c r="K273" s="1">
        <v>0.034722222222222224</v>
      </c>
      <c r="L273" s="1">
        <v>0.06597222222222222</v>
      </c>
      <c r="M273" s="1" t="s">
        <v>22</v>
      </c>
      <c r="N273" s="1" t="s">
        <v>41</v>
      </c>
      <c r="O273" s="1" t="s">
        <v>32</v>
      </c>
      <c r="P273" s="1" t="s">
        <v>42</v>
      </c>
      <c r="Q273" s="1">
        <v>45534</v>
      </c>
      <c r="R273" s="14">
        <v>5</v>
      </c>
      <c r="S273" s="1" t="s">
        <v>22</v>
      </c>
      <c r="T273" s="1" t="s">
        <v>22</v>
      </c>
      <c r="U273" s="1" t="s">
        <v>22</v>
      </c>
    </row>
    <row r="274" spans="1:21" x14ac:dyDescent="0.25">
      <c r="A274" s="1" t="s">
        <v>823</v>
      </c>
      <c r="B274" s="2" t="s">
        <v>99</v>
      </c>
      <c r="C274" s="1" t="s">
        <v>25</v>
      </c>
      <c r="D274" s="1" t="s">
        <v>824</v>
      </c>
      <c r="E274" s="1" t="s">
        <v>27</v>
      </c>
      <c r="F274" s="1">
        <v>45540</v>
      </c>
      <c r="G274" s="14" t="s">
        <v>28</v>
      </c>
      <c r="H274" t="s">
        <v>825</v>
      </c>
      <c r="I274" s="2" t="s">
        <v>826</v>
      </c>
      <c r="J274" s="2">
        <v>0.020833333333333332</v>
      </c>
      <c r="K274" s="1">
        <v>0.0625</v>
      </c>
      <c r="L274" s="1">
        <v>0.08333333333333333</v>
      </c>
      <c r="M274" s="1" t="s">
        <v>22</v>
      </c>
      <c r="N274" s="1" t="s">
        <v>31</v>
      </c>
      <c r="O274" s="1" t="s">
        <v>41</v>
      </c>
      <c r="P274" s="1" t="s">
        <v>47</v>
      </c>
      <c r="Q274" s="1">
        <v>45541</v>
      </c>
      <c r="R274" s="14">
        <v>5</v>
      </c>
      <c r="S274" s="1" t="s">
        <v>22</v>
      </c>
      <c r="T274" s="1" t="s">
        <v>22</v>
      </c>
      <c r="U274" s="1" t="s">
        <v>22</v>
      </c>
    </row>
    <row r="275" spans="1:21" x14ac:dyDescent="0.25">
      <c r="A275" s="1" t="s">
        <v>823</v>
      </c>
      <c r="B275" s="2" t="s">
        <v>641</v>
      </c>
      <c r="C275" s="1" t="s">
        <v>261</v>
      </c>
      <c r="D275" s="1" t="s">
        <v>827</v>
      </c>
      <c r="E275" s="1" t="s">
        <v>27</v>
      </c>
      <c r="F275" s="1">
        <v>45545</v>
      </c>
      <c r="G275" s="14" t="s">
        <v>38</v>
      </c>
      <c r="H275" t="s">
        <v>828</v>
      </c>
      <c r="I275" s="2" t="s">
        <v>829</v>
      </c>
      <c r="J275" s="2">
        <v>0.020833333333333332</v>
      </c>
      <c r="K275" s="1">
        <v>0.04513888888888889</v>
      </c>
      <c r="L275" s="1">
        <v>0.06597222222222222</v>
      </c>
      <c r="M275" s="1" t="s">
        <v>22</v>
      </c>
      <c r="N275" s="1" t="s">
        <v>32</v>
      </c>
      <c r="O275" s="1" t="s">
        <v>41</v>
      </c>
      <c r="P275" s="1" t="s">
        <v>42</v>
      </c>
      <c r="Q275" s="1">
        <v>45545</v>
      </c>
      <c r="R275" s="14">
        <v>5</v>
      </c>
      <c r="S275" s="1" t="s">
        <v>22</v>
      </c>
      <c r="T275" s="1" t="s">
        <v>22</v>
      </c>
      <c r="U275" s="1" t="s">
        <v>22</v>
      </c>
    </row>
    <row r="276" spans="1:21" x14ac:dyDescent="0.25">
      <c r="A276" s="1" t="s">
        <v>823</v>
      </c>
      <c r="B276" s="2" t="s">
        <v>199</v>
      </c>
      <c r="C276" s="1" t="s">
        <v>541</v>
      </c>
      <c r="D276" s="1" t="s">
        <v>830</v>
      </c>
      <c r="E276" s="1" t="s">
        <v>37</v>
      </c>
      <c r="F276" s="1">
        <v>45546</v>
      </c>
      <c r="G276" s="14" t="s">
        <v>133</v>
      </c>
      <c r="H276" t="s">
        <v>831</v>
      </c>
      <c r="I276" s="2" t="s">
        <v>832</v>
      </c>
      <c r="J276" s="2">
        <v>0.013888888888888888</v>
      </c>
      <c r="K276" s="1">
        <v>0.052083333333333336</v>
      </c>
      <c r="L276" s="1">
        <v>0.06597222222222222</v>
      </c>
      <c r="M276" s="1" t="s">
        <v>22</v>
      </c>
      <c r="N276" s="1" t="s">
        <v>32</v>
      </c>
      <c r="O276" s="1" t="s">
        <v>41</v>
      </c>
      <c r="P276" s="1" t="s">
        <v>42</v>
      </c>
      <c r="Q276" s="1">
        <v>45546</v>
      </c>
      <c r="R276" s="14">
        <v>5</v>
      </c>
      <c r="S276" s="1" t="s">
        <v>22</v>
      </c>
      <c r="T276" s="1" t="s">
        <v>22</v>
      </c>
      <c r="U276" s="1" t="s">
        <v>22</v>
      </c>
    </row>
    <row r="277" spans="1:21" x14ac:dyDescent="0.25">
      <c r="A277" s="1" t="s">
        <v>823</v>
      </c>
      <c r="B277" s="2" t="s">
        <v>99</v>
      </c>
      <c r="C277" s="1" t="s">
        <v>25</v>
      </c>
      <c r="D277" s="1" t="s">
        <v>833</v>
      </c>
      <c r="E277" s="1" t="s">
        <v>27</v>
      </c>
      <c r="F277" s="1">
        <v>45553</v>
      </c>
      <c r="G277" s="14" t="s">
        <v>28</v>
      </c>
      <c r="H277" t="s">
        <v>834</v>
      </c>
      <c r="I277" s="2" t="s">
        <v>835</v>
      </c>
      <c r="J277" s="2">
        <v>0.020833333333333332</v>
      </c>
      <c r="K277" s="1">
        <v>0.04513888888888889</v>
      </c>
      <c r="L277" s="1">
        <v>0.06597222222222222</v>
      </c>
      <c r="M277" s="1" t="s">
        <v>22</v>
      </c>
      <c r="N277" s="1" t="s">
        <v>31</v>
      </c>
      <c r="O277" s="1" t="s">
        <v>41</v>
      </c>
      <c r="P277" s="1" t="s">
        <v>47</v>
      </c>
      <c r="Q277" s="1">
        <v>45553</v>
      </c>
      <c r="R277" s="14">
        <v>5</v>
      </c>
      <c r="S277" s="1" t="s">
        <v>22</v>
      </c>
      <c r="T277" s="1" t="s">
        <v>22</v>
      </c>
      <c r="U277" s="1" t="s">
        <v>22</v>
      </c>
    </row>
    <row r="278" spans="1:21" x14ac:dyDescent="0.25">
      <c r="A278" s="1" t="s">
        <v>823</v>
      </c>
      <c r="B278" s="2" t="s">
        <v>163</v>
      </c>
      <c r="C278" s="1" t="s">
        <v>25</v>
      </c>
      <c r="D278" s="1" t="s">
        <v>836</v>
      </c>
      <c r="E278" s="1" t="s">
        <v>27</v>
      </c>
      <c r="F278" s="1">
        <v>45555</v>
      </c>
      <c r="G278" s="14" t="s">
        <v>28</v>
      </c>
      <c r="H278" t="s">
        <v>837</v>
      </c>
      <c r="I278" s="2" t="s">
        <v>838</v>
      </c>
      <c r="J278" s="2">
        <v>0.020833333333333332</v>
      </c>
      <c r="K278" s="1">
        <v>0.041666666666666664</v>
      </c>
      <c r="L278" s="1">
        <v>0.0625</v>
      </c>
      <c r="M278" s="1" t="s">
        <v>22</v>
      </c>
      <c r="N278" s="1" t="s">
        <v>53</v>
      </c>
      <c r="O278" s="1" t="s">
        <v>32</v>
      </c>
      <c r="P278" s="1" t="s">
        <v>47</v>
      </c>
      <c r="Q278" s="1">
        <v>45555</v>
      </c>
      <c r="R278" s="14">
        <v>5</v>
      </c>
      <c r="S278" s="1" t="s">
        <v>22</v>
      </c>
      <c r="T278" s="1" t="s">
        <v>22</v>
      </c>
      <c r="U278" s="1" t="s">
        <v>22</v>
      </c>
    </row>
    <row r="279" spans="1:21" x14ac:dyDescent="0.25">
      <c r="A279" s="1" t="s">
        <v>823</v>
      </c>
      <c r="B279" s="2" t="s">
        <v>334</v>
      </c>
      <c r="C279" s="1" t="s">
        <v>335</v>
      </c>
      <c r="D279" s="1" t="s">
        <v>839</v>
      </c>
      <c r="E279" s="1" t="s">
        <v>37</v>
      </c>
      <c r="F279" s="1">
        <v>45559</v>
      </c>
      <c r="G279" s="14" t="s">
        <v>507</v>
      </c>
      <c r="H279" t="s">
        <v>840</v>
      </c>
      <c r="I279" s="2" t="s">
        <v>841</v>
      </c>
      <c r="J279" s="2">
        <v>0.020833333333333332</v>
      </c>
      <c r="K279" s="1">
        <v>0.034722222222222224</v>
      </c>
      <c r="L279" s="1">
        <v>0.05555555555555555</v>
      </c>
      <c r="M279" s="1" t="s">
        <v>22</v>
      </c>
      <c r="N279" s="1" t="s">
        <v>574</v>
      </c>
      <c r="O279" s="1" t="s">
        <v>32</v>
      </c>
      <c r="P279" s="1" t="s">
        <v>42</v>
      </c>
      <c r="Q279" s="1">
        <v>45555</v>
      </c>
      <c r="R279" s="14">
        <v>5</v>
      </c>
      <c r="S279" s="1" t="s">
        <v>22</v>
      </c>
      <c r="T279" s="1" t="s">
        <v>22</v>
      </c>
      <c r="U279" s="1" t="s">
        <v>22</v>
      </c>
    </row>
    <row r="280" spans="1:21" x14ac:dyDescent="0.25">
      <c r="A280" s="1" t="s">
        <v>823</v>
      </c>
      <c r="B280" s="2" t="s">
        <v>281</v>
      </c>
      <c r="C280" s="1" t="s">
        <v>282</v>
      </c>
      <c r="D280" s="1" t="s">
        <v>842</v>
      </c>
      <c r="E280" s="1" t="s">
        <v>27</v>
      </c>
      <c r="F280" s="1">
        <v>45561</v>
      </c>
      <c r="G280" s="14" t="s">
        <v>74</v>
      </c>
      <c r="H280" t="s">
        <v>843</v>
      </c>
      <c r="I280" s="2" t="s">
        <v>844</v>
      </c>
      <c r="J280" s="2">
        <v>0.034722222222222224</v>
      </c>
      <c r="K280" s="1">
        <v>0.059027777777777776</v>
      </c>
      <c r="L280" s="1">
        <v>0.09375</v>
      </c>
      <c r="M280" s="1" t="s">
        <v>22</v>
      </c>
      <c r="N280" s="1" t="s">
        <v>32</v>
      </c>
      <c r="O280" s="1" t="s">
        <v>41</v>
      </c>
      <c r="P280" s="1" t="s">
        <v>244</v>
      </c>
      <c r="Q280" s="1">
        <v>45561</v>
      </c>
      <c r="R280" s="14">
        <v>5</v>
      </c>
      <c r="S280" s="1" t="s">
        <v>22</v>
      </c>
      <c r="T280" s="1" t="s">
        <v>22</v>
      </c>
      <c r="U280" s="1" t="s">
        <v>22</v>
      </c>
    </row>
    <row r="281" spans="1:21" x14ac:dyDescent="0.25">
      <c r="A281" s="1" t="s">
        <v>823</v>
      </c>
      <c r="B281" s="2" t="s">
        <v>286</v>
      </c>
      <c r="C281" s="1" t="s">
        <v>287</v>
      </c>
      <c r="D281" s="1" t="s">
        <v>845</v>
      </c>
      <c r="E281" s="1" t="s">
        <v>37</v>
      </c>
      <c r="F281" s="1">
        <v>45561</v>
      </c>
      <c r="G281" s="14" t="s">
        <v>74</v>
      </c>
      <c r="H281" t="s">
        <v>846</v>
      </c>
      <c r="I281" s="2" t="s">
        <v>847</v>
      </c>
      <c r="J281" s="2">
        <v>0.020833333333333332</v>
      </c>
      <c r="K281" s="1">
        <v>0.041666666666666664</v>
      </c>
      <c r="L281" s="1">
        <v>0.0625</v>
      </c>
      <c r="M281" s="1" t="s">
        <v>22</v>
      </c>
      <c r="N281" s="1" t="s">
        <v>574</v>
      </c>
      <c r="O281" s="1" t="s">
        <v>41</v>
      </c>
      <c r="P281" s="1" t="s">
        <v>47</v>
      </c>
      <c r="Q281" s="1">
        <v>45561</v>
      </c>
      <c r="R281" s="14">
        <v>5</v>
      </c>
      <c r="S281" s="1" t="s">
        <v>22</v>
      </c>
      <c r="T281" s="1" t="s">
        <v>22</v>
      </c>
      <c r="U281" s="1" t="s">
        <v>22</v>
      </c>
    </row>
    <row r="282" spans="1:21" x14ac:dyDescent="0.25">
      <c r="A282" s="1" t="s">
        <v>823</v>
      </c>
      <c r="B282" s="2" t="s">
        <v>545</v>
      </c>
      <c r="C282" s="1" t="s">
        <v>546</v>
      </c>
      <c r="D282" s="1" t="s">
        <v>848</v>
      </c>
      <c r="E282" s="1" t="s">
        <v>37</v>
      </c>
      <c r="F282" s="1">
        <v>45562</v>
      </c>
      <c r="G282" s="14" t="s">
        <v>74</v>
      </c>
      <c r="H282" t="s">
        <v>849</v>
      </c>
      <c r="I282" s="2" t="s">
        <v>849</v>
      </c>
      <c r="J282" s="2">
        <v>0.020833333333333332</v>
      </c>
      <c r="K282" s="1">
        <v>0.03125</v>
      </c>
      <c r="L282" s="1">
        <v>0.05208333333333333</v>
      </c>
      <c r="M282" s="1" t="s">
        <v>22</v>
      </c>
      <c r="N282" s="1" t="s">
        <v>31</v>
      </c>
      <c r="O282" s="1" t="s">
        <v>41</v>
      </c>
      <c r="P282" s="1" t="s">
        <v>47</v>
      </c>
      <c r="Q282" s="1">
        <v>45562</v>
      </c>
      <c r="R282" s="14">
        <v>5</v>
      </c>
      <c r="S282" s="1" t="s">
        <v>22</v>
      </c>
      <c r="T282" s="1" t="s">
        <v>22</v>
      </c>
      <c r="U282" s="1" t="s">
        <v>22</v>
      </c>
    </row>
    <row r="283" spans="1:21" x14ac:dyDescent="0.25">
      <c r="A283" s="1" t="s">
        <v>823</v>
      </c>
      <c r="B283" s="2" t="s">
        <v>545</v>
      </c>
      <c r="C283" s="1" t="s">
        <v>546</v>
      </c>
      <c r="D283" s="1" t="s">
        <v>850</v>
      </c>
      <c r="E283" s="1" t="s">
        <v>37</v>
      </c>
      <c r="F283" s="1">
        <v>45565</v>
      </c>
      <c r="G283" s="14" t="s">
        <v>353</v>
      </c>
      <c r="H283" t="s">
        <v>851</v>
      </c>
      <c r="I283" s="2" t="s">
        <v>852</v>
      </c>
      <c r="J283" s="2">
        <v>0.006944444444444444</v>
      </c>
      <c r="K283" s="1">
        <v>0.013888888888888888</v>
      </c>
      <c r="L283" s="1">
        <v>0.020833333333333332</v>
      </c>
      <c r="M283" s="1" t="s">
        <v>22</v>
      </c>
      <c r="N283" s="1" t="s">
        <v>41</v>
      </c>
      <c r="O283" s="1" t="s">
        <v>32</v>
      </c>
      <c r="P283" s="1" t="s">
        <v>47</v>
      </c>
      <c r="Q283" s="1">
        <v>45565</v>
      </c>
      <c r="R283" s="14">
        <v>5</v>
      </c>
      <c r="S283" s="1" t="s">
        <v>22</v>
      </c>
      <c r="T283" s="1" t="s">
        <v>22</v>
      </c>
      <c r="U283" s="1" t="s">
        <v>22</v>
      </c>
    </row>
    <row r="284" spans="1:21" x14ac:dyDescent="0.25">
      <c r="A284" s="1" t="s">
        <v>853</v>
      </c>
      <c r="B284" s="2" t="s">
        <v>199</v>
      </c>
      <c r="C284" s="1" t="s">
        <v>541</v>
      </c>
      <c r="D284" s="1" t="s">
        <v>854</v>
      </c>
      <c r="E284" s="1" t="s">
        <v>37</v>
      </c>
      <c r="F284" s="1">
        <v>45569</v>
      </c>
      <c r="G284" s="14" t="s">
        <v>74</v>
      </c>
      <c r="H284" t="s">
        <v>855</v>
      </c>
      <c r="I284" s="2" t="s">
        <v>856</v>
      </c>
      <c r="J284" s="2">
        <v>0.020833333333333332</v>
      </c>
      <c r="K284" s="1">
        <v>0.027777777777777776</v>
      </c>
      <c r="L284" s="1">
        <v>0.048611111111111105</v>
      </c>
      <c r="M284" s="1" t="s">
        <v>22</v>
      </c>
      <c r="N284" s="1" t="s">
        <v>31</v>
      </c>
      <c r="O284" s="1" t="s">
        <v>41</v>
      </c>
      <c r="P284" s="1" t="s">
        <v>42</v>
      </c>
      <c r="Q284" s="1">
        <v>45569</v>
      </c>
      <c r="R284" s="14">
        <v>5</v>
      </c>
      <c r="S284" s="1" t="s">
        <v>22</v>
      </c>
      <c r="T284" s="1" t="s">
        <v>22</v>
      </c>
      <c r="U284" s="1" t="s">
        <v>22</v>
      </c>
    </row>
    <row r="285" spans="1:21" x14ac:dyDescent="0.25">
      <c r="A285" s="1" t="s">
        <v>853</v>
      </c>
      <c r="B285" s="2" t="s">
        <v>48</v>
      </c>
      <c r="C285" s="1" t="s">
        <v>25</v>
      </c>
      <c r="D285" s="1" t="s">
        <v>857</v>
      </c>
      <c r="E285" s="1" t="s">
        <v>713</v>
      </c>
      <c r="F285" s="1">
        <v>45570</v>
      </c>
      <c r="G285" s="14" t="s">
        <v>74</v>
      </c>
      <c r="H285" t="s">
        <v>858</v>
      </c>
      <c r="I285" s="2" t="s">
        <v>859</v>
      </c>
      <c r="J285" s="2">
        <v>0.0625</v>
      </c>
      <c r="K285" s="1">
        <v>0.027777777777777776</v>
      </c>
      <c r="L285" s="1">
        <v>0.09027777777777778</v>
      </c>
      <c r="M285" s="1" t="s">
        <v>22</v>
      </c>
      <c r="N285" s="1" t="s">
        <v>31</v>
      </c>
      <c r="O285" s="1" t="s">
        <v>32</v>
      </c>
      <c r="P285" s="1" t="s">
        <v>47</v>
      </c>
      <c r="Q285" s="1">
        <v>45570</v>
      </c>
      <c r="R285" s="14">
        <v>5</v>
      </c>
      <c r="S285" s="1" t="s">
        <v>22</v>
      </c>
      <c r="T285" s="1" t="s">
        <v>22</v>
      </c>
      <c r="U285" s="1" t="s">
        <v>22</v>
      </c>
    </row>
    <row r="286" spans="1:21" x14ac:dyDescent="0.25">
      <c r="A286" s="1" t="s">
        <v>853</v>
      </c>
      <c r="B286" s="2" t="s">
        <v>641</v>
      </c>
      <c r="C286" s="1" t="s">
        <v>261</v>
      </c>
      <c r="D286" s="1" t="s">
        <v>860</v>
      </c>
      <c r="E286" s="1" t="s">
        <v>37</v>
      </c>
      <c r="F286" s="1">
        <v>45572</v>
      </c>
      <c r="G286" s="14" t="s">
        <v>38</v>
      </c>
      <c r="H286" t="s">
        <v>861</v>
      </c>
      <c r="I286" s="2" t="s">
        <v>862</v>
      </c>
      <c r="J286" s="2">
        <v>0.020833333333333332</v>
      </c>
      <c r="K286" s="1">
        <v>0.03125</v>
      </c>
      <c r="L286" s="1">
        <v>0.05208333333333333</v>
      </c>
      <c r="M286" s="1" t="s">
        <v>22</v>
      </c>
      <c r="N286" s="1" t="s">
        <v>32</v>
      </c>
      <c r="O286" s="1" t="s">
        <v>41</v>
      </c>
      <c r="P286" s="1" t="s">
        <v>42</v>
      </c>
      <c r="Q286" s="1">
        <v>45572</v>
      </c>
      <c r="R286" s="14">
        <v>5</v>
      </c>
      <c r="S286" s="1" t="s">
        <v>22</v>
      </c>
      <c r="T286" s="1" t="s">
        <v>22</v>
      </c>
      <c r="U286" s="1" t="s">
        <v>22</v>
      </c>
    </row>
    <row r="287" spans="1:21" x14ac:dyDescent="0.25">
      <c r="A287" s="1" t="s">
        <v>853</v>
      </c>
      <c r="B287" s="2" t="s">
        <v>258</v>
      </c>
      <c r="C287" s="1" t="s">
        <v>25</v>
      </c>
      <c r="D287" s="1" t="s">
        <v>863</v>
      </c>
      <c r="E287" s="1" t="s">
        <v>27</v>
      </c>
      <c r="F287" s="1">
        <v>45573</v>
      </c>
      <c r="G287" s="14" t="s">
        <v>864</v>
      </c>
      <c r="H287" t="s">
        <v>865</v>
      </c>
      <c r="I287" s="2" t="s">
        <v>866</v>
      </c>
      <c r="J287" s="2">
        <v>0.03125</v>
      </c>
      <c r="K287" s="1">
        <v>0.034722222222222224</v>
      </c>
      <c r="L287" s="1">
        <v>0.06597222222222222</v>
      </c>
      <c r="M287" s="1" t="s">
        <v>22</v>
      </c>
      <c r="N287" s="1" t="s">
        <v>41</v>
      </c>
      <c r="O287" s="1" t="s">
        <v>32</v>
      </c>
      <c r="P287" s="1" t="s">
        <v>42</v>
      </c>
      <c r="Q287" s="1">
        <v>45573</v>
      </c>
      <c r="R287" s="14">
        <v>5</v>
      </c>
      <c r="S287" s="1" t="s">
        <v>22</v>
      </c>
      <c r="T287" s="1" t="s">
        <v>22</v>
      </c>
      <c r="U287" s="1" t="s">
        <v>22</v>
      </c>
    </row>
    <row r="288" spans="1:21" x14ac:dyDescent="0.25">
      <c r="A288" s="1" t="s">
        <v>853</v>
      </c>
      <c r="B288" s="2" t="s">
        <v>479</v>
      </c>
      <c r="C288" s="1" t="s">
        <v>25</v>
      </c>
      <c r="D288" s="1" t="s">
        <v>817</v>
      </c>
      <c r="E288" s="1" t="s">
        <v>27</v>
      </c>
      <c r="F288" s="1">
        <v>45574</v>
      </c>
      <c r="G288" s="14" t="s">
        <v>38</v>
      </c>
      <c r="H288" t="s">
        <v>867</v>
      </c>
      <c r="I288" s="2" t="s">
        <v>868</v>
      </c>
      <c r="J288" s="2">
        <v>0.027777777777777776</v>
      </c>
      <c r="K288" s="1">
        <v>0.041666666666666664</v>
      </c>
      <c r="L288" s="1">
        <v>0.06944444444444445</v>
      </c>
      <c r="M288" s="1" t="s">
        <v>22</v>
      </c>
      <c r="N288" s="1" t="s">
        <v>41</v>
      </c>
      <c r="O288" s="1" t="s">
        <v>32</v>
      </c>
      <c r="P288" s="1" t="s">
        <v>42</v>
      </c>
      <c r="Q288" s="1">
        <v>45574</v>
      </c>
      <c r="R288" s="14">
        <v>5</v>
      </c>
      <c r="S288" s="1" t="s">
        <v>22</v>
      </c>
      <c r="T288" s="1" t="s">
        <v>22</v>
      </c>
      <c r="U288" s="1" t="s">
        <v>22</v>
      </c>
    </row>
    <row r="289" spans="1:21" x14ac:dyDescent="0.25">
      <c r="A289" s="1" t="s">
        <v>853</v>
      </c>
      <c r="B289" s="2" t="s">
        <v>146</v>
      </c>
      <c r="C289" s="1" t="s">
        <v>186</v>
      </c>
      <c r="D289" s="1" t="s">
        <v>869</v>
      </c>
      <c r="E289" s="1" t="s">
        <v>27</v>
      </c>
      <c r="F289" s="1">
        <v>45575</v>
      </c>
      <c r="G289" s="14" t="s">
        <v>820</v>
      </c>
      <c r="H289" t="s">
        <v>870</v>
      </c>
      <c r="I289" s="2" t="s">
        <v>871</v>
      </c>
      <c r="J289" s="2">
        <v>0.020833333333333332</v>
      </c>
      <c r="K289" s="1">
        <v>0.03125</v>
      </c>
      <c r="L289" s="1">
        <v>0.05208333333333333</v>
      </c>
      <c r="M289" s="1" t="s">
        <v>22</v>
      </c>
      <c r="N289" s="1" t="s">
        <v>32</v>
      </c>
      <c r="O289" s="1" t="s">
        <v>41</v>
      </c>
      <c r="P289" s="1" t="s">
        <v>112</v>
      </c>
      <c r="Q289" s="1">
        <v>45575</v>
      </c>
      <c r="R289" s="14">
        <v>5</v>
      </c>
      <c r="S289" s="1" t="s">
        <v>22</v>
      </c>
      <c r="T289" s="1" t="s">
        <v>872</v>
      </c>
      <c r="U289" s="1" t="s">
        <v>872</v>
      </c>
    </row>
    <row r="290" spans="1:21" x14ac:dyDescent="0.25">
      <c r="A290" s="1" t="s">
        <v>853</v>
      </c>
      <c r="B290" s="2" t="s">
        <v>258</v>
      </c>
      <c r="C290" s="1" t="s">
        <v>25</v>
      </c>
      <c r="D290" s="1" t="s">
        <v>873</v>
      </c>
      <c r="E290" s="1" t="s">
        <v>27</v>
      </c>
      <c r="F290" s="1">
        <v>45575</v>
      </c>
      <c r="G290" s="14" t="s">
        <v>28</v>
      </c>
      <c r="H290" t="s">
        <v>874</v>
      </c>
      <c r="I290" s="2" t="s">
        <v>875</v>
      </c>
      <c r="J290" s="2">
        <v>0.034722222222222224</v>
      </c>
      <c r="K290" s="1">
        <v>0.07291666666666667</v>
      </c>
      <c r="L290" s="1">
        <v>0.1076388888888889</v>
      </c>
      <c r="M290" s="1" t="s">
        <v>22</v>
      </c>
      <c r="N290" s="1" t="s">
        <v>32</v>
      </c>
      <c r="O290" s="1" t="s">
        <v>41</v>
      </c>
      <c r="P290" s="1" t="s">
        <v>42</v>
      </c>
      <c r="Q290" s="1">
        <v>45575</v>
      </c>
      <c r="R290" s="14">
        <v>5</v>
      </c>
      <c r="S290" s="1" t="s">
        <v>22</v>
      </c>
      <c r="T290" s="1" t="s">
        <v>876</v>
      </c>
      <c r="U290" s="1" t="s">
        <v>876</v>
      </c>
    </row>
    <row r="291" spans="1:21" x14ac:dyDescent="0.25">
      <c r="A291" s="1" t="s">
        <v>853</v>
      </c>
      <c r="B291" s="2" t="s">
        <v>199</v>
      </c>
      <c r="C291" s="1" t="s">
        <v>541</v>
      </c>
      <c r="D291" s="1" t="s">
        <v>877</v>
      </c>
      <c r="E291" s="1" t="s">
        <v>37</v>
      </c>
      <c r="F291" s="1">
        <v>45580</v>
      </c>
      <c r="G291" s="14" t="s">
        <v>74</v>
      </c>
      <c r="H291" t="s">
        <v>878</v>
      </c>
      <c r="I291" s="2" t="s">
        <v>879</v>
      </c>
      <c r="J291" s="2">
        <v>0.034722222222222224</v>
      </c>
      <c r="K291" s="1">
        <v>0.04861111111111111</v>
      </c>
      <c r="L291" s="1">
        <v>0.08333333333333334</v>
      </c>
      <c r="M291" s="1" t="s">
        <v>22</v>
      </c>
      <c r="N291" s="1" t="s">
        <v>31</v>
      </c>
      <c r="O291" s="1" t="s">
        <v>32</v>
      </c>
      <c r="P291" s="1" t="s">
        <v>42</v>
      </c>
      <c r="Q291" s="1">
        <v>45580</v>
      </c>
      <c r="R291" s="14">
        <v>2</v>
      </c>
      <c r="S291" s="1" t="s">
        <v>22</v>
      </c>
      <c r="T291" s="1" t="s">
        <v>872</v>
      </c>
      <c r="U291" s="1" t="s">
        <v>872</v>
      </c>
    </row>
    <row r="292" spans="1:21" x14ac:dyDescent="0.25">
      <c r="A292" s="1" t="s">
        <v>853</v>
      </c>
      <c r="B292" s="2" t="s">
        <v>796</v>
      </c>
      <c r="C292" s="1" t="s">
        <v>285</v>
      </c>
      <c r="D292" s="1" t="s">
        <v>880</v>
      </c>
      <c r="E292" s="1" t="s">
        <v>37</v>
      </c>
      <c r="F292" s="1">
        <v>45581</v>
      </c>
      <c r="G292" s="14" t="s">
        <v>74</v>
      </c>
      <c r="H292" t="s">
        <v>881</v>
      </c>
      <c r="I292" s="2" t="s">
        <v>882</v>
      </c>
      <c r="J292" s="2">
        <v>0.034722222222222224</v>
      </c>
      <c r="K292" s="1">
        <v>0.04513888888888889</v>
      </c>
      <c r="L292" s="1">
        <v>0.0798611111111111</v>
      </c>
      <c r="M292" s="1" t="s">
        <v>22</v>
      </c>
      <c r="N292" s="1" t="s">
        <v>31</v>
      </c>
      <c r="O292" s="1" t="s">
        <v>32</v>
      </c>
      <c r="P292" s="1" t="s">
        <v>47</v>
      </c>
      <c r="Q292" s="1">
        <v>45581</v>
      </c>
      <c r="R292" s="14">
        <v>5</v>
      </c>
      <c r="S292" s="1" t="s">
        <v>22</v>
      </c>
      <c r="T292" s="1" t="s">
        <v>22</v>
      </c>
      <c r="U292" s="1" t="s">
        <v>22</v>
      </c>
    </row>
    <row r="293" spans="1:21" x14ac:dyDescent="0.25">
      <c r="A293" s="1" t="s">
        <v>853</v>
      </c>
      <c r="B293" s="2" t="s">
        <v>35</v>
      </c>
      <c r="C293" s="1" t="s">
        <v>25</v>
      </c>
      <c r="D293" s="1" t="s">
        <v>883</v>
      </c>
      <c r="E293" s="1" t="s">
        <v>27</v>
      </c>
      <c r="F293" s="1">
        <v>45583</v>
      </c>
      <c r="G293" s="14" t="s">
        <v>38</v>
      </c>
      <c r="H293" t="s">
        <v>884</v>
      </c>
      <c r="I293" s="2" t="s">
        <v>885</v>
      </c>
      <c r="J293" s="2">
        <v>0.041666666666666664</v>
      </c>
      <c r="K293" s="1">
        <v>0.05555555555555555</v>
      </c>
      <c r="L293" s="1">
        <v>0.09722222222222221</v>
      </c>
      <c r="M293" s="1" t="s">
        <v>22</v>
      </c>
      <c r="N293" s="1" t="s">
        <v>31</v>
      </c>
      <c r="O293" s="1" t="s">
        <v>32</v>
      </c>
      <c r="P293" s="1" t="s">
        <v>42</v>
      </c>
      <c r="Q293" s="1">
        <v>45583</v>
      </c>
      <c r="R293" s="14">
        <v>2</v>
      </c>
      <c r="S293" s="1" t="s">
        <v>22</v>
      </c>
      <c r="T293" s="1" t="s">
        <v>22</v>
      </c>
      <c r="U293" s="1" t="s">
        <v>22</v>
      </c>
    </row>
    <row r="294" spans="1:21" x14ac:dyDescent="0.25">
      <c r="A294" s="1" t="s">
        <v>853</v>
      </c>
      <c r="B294" s="2" t="s">
        <v>545</v>
      </c>
      <c r="C294" s="1" t="s">
        <v>546</v>
      </c>
      <c r="D294" s="1" t="s">
        <v>850</v>
      </c>
      <c r="E294" s="1" t="s">
        <v>37</v>
      </c>
      <c r="F294" s="1">
        <v>45589</v>
      </c>
      <c r="G294" s="14" t="s">
        <v>74</v>
      </c>
      <c r="H294" t="s">
        <v>886</v>
      </c>
      <c r="I294" s="2" t="s">
        <v>887</v>
      </c>
      <c r="J294" s="2">
        <v>0.020833333333333332</v>
      </c>
      <c r="K294" s="1">
        <v>0.059027777777777776</v>
      </c>
      <c r="L294" s="1">
        <v>0.0798611111111111</v>
      </c>
      <c r="M294" s="1" t="s">
        <v>22</v>
      </c>
      <c r="N294" s="1" t="s">
        <v>31</v>
      </c>
      <c r="O294" s="1" t="s">
        <v>41</v>
      </c>
      <c r="P294" s="1" t="s">
        <v>47</v>
      </c>
      <c r="Q294" s="1">
        <v>45589</v>
      </c>
      <c r="R294" s="14">
        <v>5</v>
      </c>
      <c r="S294" s="1" t="s">
        <v>22</v>
      </c>
      <c r="T294" s="1" t="s">
        <v>22</v>
      </c>
      <c r="U294" s="1" t="s">
        <v>22</v>
      </c>
    </row>
    <row r="295" spans="1:21" x14ac:dyDescent="0.25">
      <c r="A295" s="1" t="s">
        <v>853</v>
      </c>
      <c r="B295" s="2" t="s">
        <v>185</v>
      </c>
      <c r="C295" s="1" t="s">
        <v>186</v>
      </c>
      <c r="D295" s="1" t="s">
        <v>888</v>
      </c>
      <c r="E295" s="1" t="s">
        <v>27</v>
      </c>
      <c r="F295" s="1">
        <v>45590</v>
      </c>
      <c r="G295" s="14" t="s">
        <v>28</v>
      </c>
      <c r="H295" t="s">
        <v>889</v>
      </c>
      <c r="I295" s="2" t="s">
        <v>890</v>
      </c>
      <c r="J295" s="2">
        <v>0.027777777777777776</v>
      </c>
      <c r="K295" s="1">
        <v>0.06597222222222222</v>
      </c>
      <c r="L295" s="1">
        <v>0.09375</v>
      </c>
      <c r="M295" s="1" t="s">
        <v>22</v>
      </c>
      <c r="N295" s="1" t="s">
        <v>32</v>
      </c>
      <c r="O295" s="1" t="s">
        <v>41</v>
      </c>
      <c r="P295" s="1" t="s">
        <v>47</v>
      </c>
      <c r="Q295" s="1">
        <v>45591</v>
      </c>
      <c r="R295" s="14">
        <v>5</v>
      </c>
      <c r="S295" s="1" t="s">
        <v>22</v>
      </c>
      <c r="T295" s="1" t="s">
        <v>22</v>
      </c>
      <c r="U295" s="1" t="s">
        <v>22</v>
      </c>
    </row>
    <row r="296" spans="1:21" x14ac:dyDescent="0.25">
      <c r="A296" s="1" t="s">
        <v>891</v>
      </c>
      <c r="B296" s="2" t="s">
        <v>510</v>
      </c>
      <c r="C296" s="1" t="s">
        <v>25</v>
      </c>
      <c r="D296" s="1" t="s">
        <v>892</v>
      </c>
      <c r="E296" s="1" t="s">
        <v>27</v>
      </c>
      <c r="F296" s="1">
        <v>45600</v>
      </c>
      <c r="G296" s="14" t="s">
        <v>38</v>
      </c>
      <c r="H296" t="s">
        <v>893</v>
      </c>
      <c r="I296" s="2" t="s">
        <v>894</v>
      </c>
      <c r="J296" s="2">
        <v>0.020833333333333332</v>
      </c>
      <c r="K296" s="1">
        <v>0.034722222222222224</v>
      </c>
      <c r="L296" s="1">
        <v>0.05555555555555555</v>
      </c>
      <c r="M296" s="1" t="s">
        <v>22</v>
      </c>
      <c r="N296" s="1" t="s">
        <v>32</v>
      </c>
      <c r="O296" s="1" t="s">
        <v>41</v>
      </c>
      <c r="P296" s="1" t="s">
        <v>47</v>
      </c>
      <c r="Q296" s="1">
        <v>45600</v>
      </c>
      <c r="R296" s="14">
        <v>5</v>
      </c>
      <c r="S296" s="1" t="s">
        <v>22</v>
      </c>
      <c r="T296" s="1" t="s">
        <v>872</v>
      </c>
      <c r="U296" s="1" t="s">
        <v>872</v>
      </c>
    </row>
    <row r="297" spans="1:21" x14ac:dyDescent="0.25">
      <c r="A297" s="1" t="s">
        <v>891</v>
      </c>
      <c r="B297" s="2" t="s">
        <v>60</v>
      </c>
      <c r="C297" s="1" t="s">
        <v>61</v>
      </c>
      <c r="D297" s="1" t="s">
        <v>895</v>
      </c>
      <c r="E297" s="1" t="s">
        <v>37</v>
      </c>
      <c r="F297" s="1">
        <v>45601</v>
      </c>
      <c r="G297" s="14" t="s">
        <v>28</v>
      </c>
      <c r="H297" t="s">
        <v>896</v>
      </c>
      <c r="I297" s="2" t="s">
        <v>897</v>
      </c>
      <c r="J297" s="2">
        <v>0.03125</v>
      </c>
      <c r="K297" s="1">
        <v>0.041666666666666664</v>
      </c>
      <c r="L297" s="1">
        <v>0.07291666666666666</v>
      </c>
      <c r="M297" s="1" t="s">
        <v>22</v>
      </c>
      <c r="N297" s="1" t="s">
        <v>31</v>
      </c>
      <c r="O297" s="1" t="s">
        <v>32</v>
      </c>
      <c r="P297" s="1" t="s">
        <v>47</v>
      </c>
      <c r="Q297" s="1">
        <v>45601</v>
      </c>
      <c r="R297" s="14">
        <v>5</v>
      </c>
      <c r="S297" s="1" t="s">
        <v>22</v>
      </c>
      <c r="T297" s="1" t="s">
        <v>872</v>
      </c>
      <c r="U297" s="1" t="s">
        <v>872</v>
      </c>
    </row>
    <row r="298" spans="1:21" x14ac:dyDescent="0.25">
      <c r="A298" s="1" t="s">
        <v>891</v>
      </c>
      <c r="B298" s="2" t="s">
        <v>118</v>
      </c>
      <c r="C298" s="1" t="s">
        <v>25</v>
      </c>
      <c r="D298" s="1" t="s">
        <v>898</v>
      </c>
      <c r="E298" s="1" t="s">
        <v>27</v>
      </c>
      <c r="F298" s="1">
        <v>45601</v>
      </c>
      <c r="G298" s="14" t="s">
        <v>38</v>
      </c>
      <c r="H298" t="s">
        <v>899</v>
      </c>
      <c r="I298" s="2" t="s">
        <v>900</v>
      </c>
      <c r="J298" s="2">
        <v>0.020833333333333332</v>
      </c>
      <c r="K298" s="1">
        <v>0.034722222222222224</v>
      </c>
      <c r="L298" s="1">
        <v>0.05555555555555555</v>
      </c>
      <c r="M298" s="1" t="s">
        <v>22</v>
      </c>
      <c r="N298" s="1" t="s">
        <v>53</v>
      </c>
      <c r="O298" s="1" t="s">
        <v>32</v>
      </c>
      <c r="P298" s="1" t="s">
        <v>47</v>
      </c>
      <c r="Q298" s="1">
        <v>45601</v>
      </c>
      <c r="R298" s="14">
        <v>5</v>
      </c>
      <c r="S298" s="1" t="s">
        <v>22</v>
      </c>
      <c r="T298" s="1" t="s">
        <v>872</v>
      </c>
      <c r="U298" s="1" t="s">
        <v>872</v>
      </c>
    </row>
    <row r="299" spans="1:21" x14ac:dyDescent="0.25">
      <c r="A299" s="1" t="s">
        <v>891</v>
      </c>
      <c r="B299" s="2" t="s">
        <v>35</v>
      </c>
      <c r="C299" s="1" t="s">
        <v>25</v>
      </c>
      <c r="D299" s="1" t="s">
        <v>901</v>
      </c>
      <c r="E299" s="1" t="s">
        <v>27</v>
      </c>
      <c r="F299" s="1">
        <v>45603</v>
      </c>
      <c r="G299" s="14" t="s">
        <v>38</v>
      </c>
      <c r="H299" t="s">
        <v>902</v>
      </c>
      <c r="I299" s="2" t="s">
        <v>903</v>
      </c>
      <c r="J299" s="2">
        <v>0.041666666666666664</v>
      </c>
      <c r="K299" s="1">
        <v>0.020833333333333332</v>
      </c>
      <c r="L299" s="1">
        <v>0.0625</v>
      </c>
      <c r="M299" s="1" t="s">
        <v>22</v>
      </c>
      <c r="N299" s="1" t="s">
        <v>53</v>
      </c>
      <c r="O299" s="1" t="s">
        <v>32</v>
      </c>
      <c r="P299" s="1" t="s">
        <v>42</v>
      </c>
      <c r="Q299" s="1">
        <v>45603</v>
      </c>
      <c r="R299" s="14">
        <v>5</v>
      </c>
      <c r="S299" s="1" t="s">
        <v>22</v>
      </c>
      <c r="T299" s="1" t="s">
        <v>872</v>
      </c>
      <c r="U299" s="1" t="s">
        <v>872</v>
      </c>
    </row>
    <row r="300" spans="1:21" x14ac:dyDescent="0.25">
      <c r="A300" s="1" t="s">
        <v>891</v>
      </c>
      <c r="B300" s="2" t="s">
        <v>83</v>
      </c>
      <c r="C300" s="1" t="s">
        <v>78</v>
      </c>
      <c r="D300" s="1" t="s">
        <v>904</v>
      </c>
      <c r="E300" s="1" t="s">
        <v>37</v>
      </c>
      <c r="F300" s="1">
        <v>45611</v>
      </c>
      <c r="G300" s="14" t="s">
        <v>74</v>
      </c>
      <c r="H300" t="s">
        <v>905</v>
      </c>
      <c r="I300" s="2" t="s">
        <v>906</v>
      </c>
      <c r="J300" s="2">
        <v>0.020833333333333332</v>
      </c>
      <c r="K300" s="1">
        <v>0.06944444444444445</v>
      </c>
      <c r="L300" s="1">
        <v>0.09027777777777778</v>
      </c>
      <c r="M300" s="1" t="s">
        <v>22</v>
      </c>
      <c r="N300" s="1" t="s">
        <v>53</v>
      </c>
      <c r="O300" s="1" t="s">
        <v>32</v>
      </c>
      <c r="P300" s="1" t="s">
        <v>112</v>
      </c>
      <c r="Q300" s="1">
        <v>45614</v>
      </c>
      <c r="R300" s="14">
        <v>5</v>
      </c>
      <c r="S300" s="1" t="s">
        <v>22</v>
      </c>
      <c r="T300" s="1" t="s">
        <v>22</v>
      </c>
      <c r="U300" s="1" t="s">
        <v>22</v>
      </c>
    </row>
    <row r="301" spans="1:21" x14ac:dyDescent="0.25">
      <c r="A301" s="1" t="s">
        <v>891</v>
      </c>
      <c r="B301" s="2" t="s">
        <v>288</v>
      </c>
      <c r="C301" s="1" t="s">
        <v>289</v>
      </c>
      <c r="D301" s="1" t="s">
        <v>907</v>
      </c>
      <c r="E301" s="1" t="s">
        <v>27</v>
      </c>
      <c r="F301" s="1">
        <v>45617</v>
      </c>
      <c r="G301" s="14" t="s">
        <v>820</v>
      </c>
      <c r="H301" t="s">
        <v>908</v>
      </c>
      <c r="I301" s="2" t="s">
        <v>909</v>
      </c>
      <c r="J301" s="2">
        <v>0.020833333333333332</v>
      </c>
      <c r="K301" s="1">
        <v>0.027777777777777776</v>
      </c>
      <c r="L301" s="1">
        <v>0.048611111111111105</v>
      </c>
      <c r="M301" s="1" t="s">
        <v>22</v>
      </c>
      <c r="N301" s="1" t="s">
        <v>53</v>
      </c>
      <c r="O301" s="1" t="s">
        <v>32</v>
      </c>
      <c r="P301" s="1" t="s">
        <v>112</v>
      </c>
      <c r="Q301" s="1">
        <v>45617</v>
      </c>
      <c r="R301" s="14">
        <v>5</v>
      </c>
      <c r="S301" s="1" t="s">
        <v>22</v>
      </c>
      <c r="T301" s="1" t="s">
        <v>22</v>
      </c>
      <c r="U301" s="1" t="s">
        <v>22</v>
      </c>
    </row>
    <row r="302" spans="1:21" x14ac:dyDescent="0.25">
      <c r="A302" s="1" t="s">
        <v>891</v>
      </c>
      <c r="B302" s="2" t="s">
        <v>308</v>
      </c>
      <c r="C302" s="1" t="s">
        <v>309</v>
      </c>
      <c r="D302" s="1" t="s">
        <v>910</v>
      </c>
      <c r="E302" s="1" t="s">
        <v>37</v>
      </c>
      <c r="F302" s="1">
        <v>45623</v>
      </c>
      <c r="G302" s="14" t="s">
        <v>670</v>
      </c>
      <c r="H302" t="s">
        <v>911</v>
      </c>
      <c r="I302" s="2" t="s">
        <v>912</v>
      </c>
      <c r="J302" s="2">
        <v>0.013888888888888888</v>
      </c>
      <c r="K302" s="1">
        <v>0.020833333333333332</v>
      </c>
      <c r="L302" s="1">
        <v>0.034722222222222224</v>
      </c>
      <c r="M302" s="1" t="s">
        <v>22</v>
      </c>
      <c r="N302" s="1" t="s">
        <v>31</v>
      </c>
      <c r="O302" s="1" t="s">
        <v>32</v>
      </c>
      <c r="P302" s="1" t="s">
        <v>42</v>
      </c>
      <c r="Q302" s="1">
        <v>45623</v>
      </c>
      <c r="R302" s="14">
        <v>5</v>
      </c>
      <c r="S302" s="1" t="s">
        <v>22</v>
      </c>
      <c r="T302" s="1" t="s">
        <v>22</v>
      </c>
      <c r="U302" s="1" t="s">
        <v>22</v>
      </c>
    </row>
    <row r="303" spans="1:21" x14ac:dyDescent="0.25">
      <c r="A303" s="1" t="s">
        <v>891</v>
      </c>
      <c r="B303" s="2" t="s">
        <v>83</v>
      </c>
      <c r="C303" s="1" t="s">
        <v>78</v>
      </c>
      <c r="D303" s="1" t="s">
        <v>913</v>
      </c>
      <c r="E303" s="1" t="s">
        <v>37</v>
      </c>
      <c r="F303" s="1">
        <v>45624</v>
      </c>
      <c r="G303" s="14" t="s">
        <v>74</v>
      </c>
      <c r="H303" t="s">
        <v>914</v>
      </c>
      <c r="I303" s="2" t="s">
        <v>915</v>
      </c>
      <c r="J303" s="2">
        <v>0.020833333333333332</v>
      </c>
      <c r="K303" s="1">
        <v>0.027777777777777776</v>
      </c>
      <c r="L303" s="1">
        <v>0.048611111111111105</v>
      </c>
      <c r="M303" s="1" t="s">
        <v>22</v>
      </c>
      <c r="N303" s="1" t="s">
        <v>53</v>
      </c>
      <c r="O303" s="1" t="s">
        <v>32</v>
      </c>
      <c r="P303" s="1" t="s">
        <v>112</v>
      </c>
      <c r="Q303" s="1">
        <v>45625</v>
      </c>
      <c r="R303" s="14">
        <v>5</v>
      </c>
      <c r="S303" s="1" t="s">
        <v>22</v>
      </c>
      <c r="T303" s="1" t="s">
        <v>22</v>
      </c>
      <c r="U303" s="1" t="s">
        <v>22</v>
      </c>
    </row>
    <row r="304" spans="1:21" x14ac:dyDescent="0.25">
      <c r="A304" s="1" t="s">
        <v>916</v>
      </c>
      <c r="B304" s="2" t="s">
        <v>258</v>
      </c>
      <c r="C304" s="1" t="s">
        <v>25</v>
      </c>
      <c r="D304" s="1" t="s">
        <v>917</v>
      </c>
      <c r="E304" s="1" t="s">
        <v>37</v>
      </c>
      <c r="F304" s="1">
        <v>45630</v>
      </c>
      <c r="G304" s="14" t="s">
        <v>670</v>
      </c>
      <c r="H304" t="s">
        <v>918</v>
      </c>
      <c r="I304" s="2" t="s">
        <v>919</v>
      </c>
      <c r="J304" s="2">
        <v>0.05555555555555555</v>
      </c>
      <c r="K304" s="1" t="s">
        <v>22</v>
      </c>
      <c r="L304" s="1">
        <v>0.05555555555555555</v>
      </c>
      <c r="M304" s="1" t="s">
        <v>22</v>
      </c>
      <c r="N304" s="1" t="s">
        <v>22</v>
      </c>
      <c r="O304" s="1" t="s">
        <v>31</v>
      </c>
      <c r="P304" s="1" t="s">
        <v>42</v>
      </c>
      <c r="Q304" s="1">
        <v>45630</v>
      </c>
      <c r="R304" s="14">
        <v>5</v>
      </c>
      <c r="S304" s="1" t="s">
        <v>22</v>
      </c>
      <c r="T304" s="1" t="s">
        <v>22</v>
      </c>
      <c r="U304" s="1" t="s">
        <v>22</v>
      </c>
    </row>
    <row r="305" spans="1:21" x14ac:dyDescent="0.25">
      <c r="A305" s="1" t="s">
        <v>916</v>
      </c>
      <c r="B305" s="2" t="s">
        <v>35</v>
      </c>
      <c r="C305" s="1" t="s">
        <v>25</v>
      </c>
      <c r="D305" s="1" t="s">
        <v>920</v>
      </c>
      <c r="E305" s="1" t="s">
        <v>27</v>
      </c>
      <c r="F305" s="1">
        <v>45632</v>
      </c>
      <c r="G305" s="14" t="s">
        <v>74</v>
      </c>
      <c r="H305" t="s">
        <v>921</v>
      </c>
      <c r="I305" s="2" t="s">
        <v>922</v>
      </c>
      <c r="J305" s="2">
        <v>0.08333333333333333</v>
      </c>
      <c r="K305" s="1">
        <v>0.05555555555555555</v>
      </c>
      <c r="L305" s="1">
        <v>0.1388888888888889</v>
      </c>
      <c r="M305" s="1" t="s">
        <v>22</v>
      </c>
      <c r="N305" s="1" t="s">
        <v>31</v>
      </c>
      <c r="O305" s="1" t="s">
        <v>32</v>
      </c>
      <c r="P305" s="1" t="s">
        <v>42</v>
      </c>
      <c r="Q305" s="1">
        <v>45635</v>
      </c>
      <c r="R305" s="14">
        <v>5</v>
      </c>
      <c r="S305" s="1" t="s">
        <v>22</v>
      </c>
      <c r="T305" s="1" t="s">
        <v>22</v>
      </c>
      <c r="U305" s="1" t="s">
        <v>22</v>
      </c>
    </row>
    <row r="306" spans="1:21" x14ac:dyDescent="0.25">
      <c r="A306" s="1" t="s">
        <v>916</v>
      </c>
      <c r="B306" s="2" t="s">
        <v>77</v>
      </c>
      <c r="C306" s="1" t="s">
        <v>78</v>
      </c>
      <c r="D306" s="1" t="s">
        <v>923</v>
      </c>
      <c r="E306" s="1" t="s">
        <v>37</v>
      </c>
      <c r="F306" s="1">
        <v>45632</v>
      </c>
      <c r="G306" s="14" t="s">
        <v>924</v>
      </c>
      <c r="H306" t="s">
        <v>925</v>
      </c>
      <c r="I306" s="2" t="s">
        <v>926</v>
      </c>
      <c r="J306" s="2">
        <v>0.020833333333333332</v>
      </c>
      <c r="K306" s="1">
        <v>0.034722222222222224</v>
      </c>
      <c r="L306" s="1">
        <v>0.05555555555555555</v>
      </c>
      <c r="M306" s="1" t="s">
        <v>22</v>
      </c>
      <c r="N306" s="1" t="s">
        <v>347</v>
      </c>
      <c r="O306" s="1" t="s">
        <v>32</v>
      </c>
      <c r="P306" s="1" t="s">
        <v>112</v>
      </c>
      <c r="Q306" s="1">
        <v>45632</v>
      </c>
      <c r="R306" s="14">
        <v>5</v>
      </c>
      <c r="S306" s="1" t="s">
        <v>22</v>
      </c>
      <c r="T306" s="1" t="s">
        <v>22</v>
      </c>
      <c r="U306" s="1" t="s">
        <v>22</v>
      </c>
    </row>
    <row r="307" spans="1:21" x14ac:dyDescent="0.25">
      <c r="A307" s="1" t="s">
        <v>916</v>
      </c>
      <c r="B307" s="2" t="s">
        <v>545</v>
      </c>
      <c r="C307" s="1" t="s">
        <v>546</v>
      </c>
      <c r="D307" s="1" t="s">
        <v>927</v>
      </c>
      <c r="E307" s="1" t="s">
        <v>37</v>
      </c>
      <c r="F307" s="1">
        <v>45632</v>
      </c>
      <c r="G307" s="14" t="s">
        <v>74</v>
      </c>
      <c r="H307" t="s">
        <v>928</v>
      </c>
      <c r="I307" s="2" t="s">
        <v>929</v>
      </c>
      <c r="J307" s="2">
        <v>0.041666666666666664</v>
      </c>
      <c r="K307" s="1">
        <v>0.06944444444444445</v>
      </c>
      <c r="L307" s="1">
        <v>0.1111111111111111</v>
      </c>
      <c r="M307" s="1" t="s">
        <v>22</v>
      </c>
      <c r="N307" s="1" t="s">
        <v>31</v>
      </c>
      <c r="O307" s="1" t="s">
        <v>32</v>
      </c>
      <c r="P307" s="1" t="s">
        <v>47</v>
      </c>
      <c r="Q307" s="1">
        <v>45635</v>
      </c>
      <c r="R307" s="14">
        <v>5</v>
      </c>
      <c r="S307" s="1" t="s">
        <v>22</v>
      </c>
      <c r="T307" s="1" t="s">
        <v>22</v>
      </c>
      <c r="U307" s="1" t="s">
        <v>22</v>
      </c>
    </row>
    <row r="308" spans="1:21" x14ac:dyDescent="0.25">
      <c r="A308" s="1" t="s">
        <v>916</v>
      </c>
      <c r="B308" s="2" t="s">
        <v>35</v>
      </c>
      <c r="C308" s="1" t="s">
        <v>25</v>
      </c>
      <c r="D308" s="1" t="s">
        <v>930</v>
      </c>
      <c r="E308" s="1" t="s">
        <v>27</v>
      </c>
      <c r="F308" s="1">
        <v>45643</v>
      </c>
      <c r="G308" s="14" t="s">
        <v>28</v>
      </c>
      <c r="H308" t="s">
        <v>931</v>
      </c>
      <c r="I308" s="2" t="s">
        <v>932</v>
      </c>
      <c r="J308" s="2">
        <v>0.034722222222222224</v>
      </c>
      <c r="K308" s="1" t="s">
        <v>22</v>
      </c>
      <c r="L308" s="1">
        <v>0.034722222222222224</v>
      </c>
      <c r="M308" s="1" t="s">
        <v>22</v>
      </c>
      <c r="N308" s="1" t="s">
        <v>32</v>
      </c>
      <c r="O308" s="1" t="s">
        <v>22</v>
      </c>
      <c r="P308" s="1" t="s">
        <v>42</v>
      </c>
      <c r="Q308" s="1">
        <v>45643</v>
      </c>
      <c r="R308" s="14">
        <v>5</v>
      </c>
      <c r="S308" s="1" t="s">
        <v>22</v>
      </c>
      <c r="T308" s="1" t="s">
        <v>22</v>
      </c>
      <c r="U308" s="1" t="s">
        <v>22</v>
      </c>
    </row>
    <row r="309" spans="1:21" x14ac:dyDescent="0.25">
      <c r="A309" s="1" t="s">
        <v>916</v>
      </c>
      <c r="B309" s="2" t="s">
        <v>113</v>
      </c>
      <c r="C309" s="1" t="s">
        <v>25</v>
      </c>
      <c r="D309" s="1" t="s">
        <v>933</v>
      </c>
      <c r="E309" s="1" t="s">
        <v>37</v>
      </c>
      <c r="F309" s="1">
        <v>45644</v>
      </c>
      <c r="G309" s="14" t="s">
        <v>28</v>
      </c>
      <c r="H309" t="s">
        <v>934</v>
      </c>
      <c r="I309" s="2" t="s">
        <v>935</v>
      </c>
      <c r="J309" s="2">
        <v>0.034722222222222224</v>
      </c>
      <c r="K309" s="1">
        <v>0.041666666666666664</v>
      </c>
      <c r="L309" s="1">
        <v>0.0763888888888889</v>
      </c>
      <c r="M309" s="1" t="s">
        <v>22</v>
      </c>
      <c r="N309" s="1" t="s">
        <v>31</v>
      </c>
      <c r="O309" s="1" t="s">
        <v>32</v>
      </c>
      <c r="P309" s="1" t="s">
        <v>47</v>
      </c>
      <c r="Q309" s="1">
        <v>45644</v>
      </c>
      <c r="R309" s="14">
        <v>5</v>
      </c>
      <c r="S309" s="1" t="s">
        <v>22</v>
      </c>
      <c r="T309" s="1" t="s">
        <v>22</v>
      </c>
      <c r="U309" s="1" t="s">
        <v>22</v>
      </c>
    </row>
    <row r="310" spans="1:21" x14ac:dyDescent="0.25">
      <c r="A310" s="1" t="s">
        <v>916</v>
      </c>
      <c r="B310" s="2" t="s">
        <v>936</v>
      </c>
      <c r="C310" s="1" t="s">
        <v>25</v>
      </c>
      <c r="D310" s="1" t="s">
        <v>937</v>
      </c>
      <c r="E310" s="1" t="s">
        <v>27</v>
      </c>
      <c r="F310" s="1">
        <v>45644</v>
      </c>
      <c r="G310" s="14" t="s">
        <v>38</v>
      </c>
      <c r="H310" t="s">
        <v>938</v>
      </c>
      <c r="I310" s="2" t="s">
        <v>939</v>
      </c>
      <c r="J310" s="2">
        <v>0.034722222222222224</v>
      </c>
      <c r="K310" s="1">
        <v>0.041666666666666664</v>
      </c>
      <c r="L310" s="1">
        <v>0.0763888888888889</v>
      </c>
      <c r="M310" s="1" t="s">
        <v>22</v>
      </c>
      <c r="N310" s="1" t="s">
        <v>31</v>
      </c>
      <c r="O310" s="1" t="s">
        <v>32</v>
      </c>
      <c r="P310" s="1" t="s">
        <v>112</v>
      </c>
      <c r="Q310" s="1">
        <v>45644</v>
      </c>
      <c r="R310" s="14">
        <v>5</v>
      </c>
      <c r="S310" s="1" t="s">
        <v>22</v>
      </c>
      <c r="T310" s="1" t="s">
        <v>22</v>
      </c>
      <c r="U310" s="1" t="s">
        <v>22</v>
      </c>
    </row>
    <row r="311" spans="1:21" x14ac:dyDescent="0.25">
      <c r="A311" s="1" t="s">
        <v>916</v>
      </c>
      <c r="B311" s="2" t="s">
        <v>936</v>
      </c>
      <c r="C311" s="1" t="s">
        <v>25</v>
      </c>
      <c r="D311" s="1" t="s">
        <v>940</v>
      </c>
      <c r="E311" s="1" t="s">
        <v>27</v>
      </c>
      <c r="F311" s="1">
        <v>45645</v>
      </c>
      <c r="G311" s="14" t="s">
        <v>38</v>
      </c>
      <c r="H311" t="s">
        <v>941</v>
      </c>
      <c r="I311" s="2" t="s">
        <v>942</v>
      </c>
      <c r="J311" s="2">
        <v>0.041666666666666664</v>
      </c>
      <c r="K311" s="1">
        <v>0.0625</v>
      </c>
      <c r="L311" s="1">
        <v>0.10416666666666666</v>
      </c>
      <c r="M311" s="1" t="s">
        <v>22</v>
      </c>
      <c r="N311" s="1" t="s">
        <v>31</v>
      </c>
      <c r="O311" s="1" t="s">
        <v>32</v>
      </c>
      <c r="P311" s="1" t="s">
        <v>112</v>
      </c>
      <c r="Q311" s="1">
        <v>45644</v>
      </c>
      <c r="R311" s="14">
        <v>1</v>
      </c>
      <c r="S311" s="1" t="s">
        <v>22</v>
      </c>
      <c r="T311" s="1" t="s">
        <v>22</v>
      </c>
      <c r="U311" s="1" t="s">
        <v>22</v>
      </c>
    </row>
    <row r="312" spans="1:21" x14ac:dyDescent="0.25">
      <c r="A312" s="1" t="s">
        <v>916</v>
      </c>
      <c r="B312" s="2" t="s">
        <v>113</v>
      </c>
      <c r="C312" s="1" t="s">
        <v>25</v>
      </c>
      <c r="D312" s="1" t="s">
        <v>943</v>
      </c>
      <c r="E312" s="1" t="s">
        <v>37</v>
      </c>
      <c r="F312" s="1">
        <v>45649</v>
      </c>
      <c r="G312" s="14" t="s">
        <v>38</v>
      </c>
      <c r="H312" t="s">
        <v>944</v>
      </c>
      <c r="I312" s="2" t="s">
        <v>945</v>
      </c>
      <c r="J312" s="2">
        <v>0.0625</v>
      </c>
      <c r="K312" s="1">
        <v>0.0625</v>
      </c>
      <c r="L312" s="1">
        <v>0.125</v>
      </c>
      <c r="M312" s="1" t="s">
        <v>22</v>
      </c>
      <c r="N312" s="1" t="s">
        <v>31</v>
      </c>
      <c r="O312" s="1" t="s">
        <v>32</v>
      </c>
      <c r="P312" s="1" t="s">
        <v>117</v>
      </c>
      <c r="Q312" s="1">
        <v>45649</v>
      </c>
      <c r="R312" s="14">
        <v>5</v>
      </c>
      <c r="S312" s="1" t="s">
        <v>22</v>
      </c>
      <c r="T312" s="1" t="s">
        <v>22</v>
      </c>
      <c r="U312" s="1" t="s">
        <v>22</v>
      </c>
    </row>
    <row r="313" spans="1:21" x14ac:dyDescent="0.25">
      <c r="A313" s="1" t="s">
        <v>916</v>
      </c>
      <c r="B313" s="2" t="s">
        <v>199</v>
      </c>
      <c r="C313" s="1" t="s">
        <v>541</v>
      </c>
      <c r="D313" s="1" t="s">
        <v>946</v>
      </c>
      <c r="E313" s="1" t="s">
        <v>37</v>
      </c>
      <c r="F313" s="1">
        <v>45650</v>
      </c>
      <c r="G313" s="14" t="s">
        <v>28</v>
      </c>
      <c r="H313" t="s">
        <v>947</v>
      </c>
      <c r="I313" s="2" t="s">
        <v>948</v>
      </c>
      <c r="J313" s="2">
        <v>0.013888888888888888</v>
      </c>
      <c r="K313" s="1">
        <v>0.041666666666666664</v>
      </c>
      <c r="L313" s="1">
        <v>0.05555555555555555</v>
      </c>
      <c r="M313" s="1" t="s">
        <v>22</v>
      </c>
      <c r="N313" s="1" t="s">
        <v>31</v>
      </c>
      <c r="O313" s="1" t="s">
        <v>32</v>
      </c>
      <c r="P313" s="1" t="s">
        <v>42</v>
      </c>
      <c r="Q313" s="1">
        <v>45650</v>
      </c>
      <c r="R313" s="14">
        <v>5</v>
      </c>
      <c r="S313" s="1" t="s">
        <v>22</v>
      </c>
      <c r="T313" s="1" t="s">
        <v>22</v>
      </c>
      <c r="U313" s="1" t="s">
        <v>22</v>
      </c>
    </row>
    <row r="314" spans="1:21" x14ac:dyDescent="0.25">
      <c r="A314" s="1" t="s">
        <v>949</v>
      </c>
      <c r="B314" s="2" t="s">
        <v>950</v>
      </c>
      <c r="C314" s="1" t="s">
        <v>951</v>
      </c>
      <c r="D314" s="1" t="s">
        <v>503</v>
      </c>
      <c r="E314" s="1" t="s">
        <v>952</v>
      </c>
      <c r="F314" s="1">
        <v>42949</v>
      </c>
      <c r="G314" s="14" t="s">
        <v>953</v>
      </c>
      <c r="H314" t="s">
        <v>954</v>
      </c>
      <c r="I314" s="2" t="s">
        <v>955</v>
      </c>
      <c r="J314" s="2">
        <v>0.052083333333333336</v>
      </c>
      <c r="K314" s="1">
        <v>0.052083333333333336</v>
      </c>
      <c r="L314" s="1">
        <v>0.10416666666666667</v>
      </c>
      <c r="M314" s="1">
        <v>0</v>
      </c>
      <c r="N314" s="1" t="s">
        <v>956</v>
      </c>
      <c r="O314" s="1" t="s">
        <v>503</v>
      </c>
      <c r="P314" s="1" t="s">
        <v>957</v>
      </c>
      <c r="Q314" s="1">
        <v>42949</v>
      </c>
      <c r="R314" s="14" t="s">
        <v>503</v>
      </c>
      <c r="S314" s="1" t="s">
        <v>22</v>
      </c>
      <c r="T314" s="1" t="s">
        <v>22</v>
      </c>
      <c r="U314" s="1" t="s">
        <v>22</v>
      </c>
    </row>
    <row r="315" spans="1:21" x14ac:dyDescent="0.25">
      <c r="A315" s="1" t="s">
        <v>949</v>
      </c>
      <c r="B315" s="2" t="s">
        <v>950</v>
      </c>
      <c r="C315" s="1" t="s">
        <v>951</v>
      </c>
      <c r="D315" s="1" t="s">
        <v>503</v>
      </c>
      <c r="E315" s="1" t="s">
        <v>37</v>
      </c>
      <c r="F315" s="1">
        <v>42958</v>
      </c>
      <c r="G315" s="14" t="s">
        <v>953</v>
      </c>
      <c r="H315" t="s">
        <v>958</v>
      </c>
      <c r="I315" s="2" t="s">
        <v>959</v>
      </c>
      <c r="J315" s="2">
        <v>0.015625</v>
      </c>
      <c r="K315" s="1">
        <v>0.015625</v>
      </c>
      <c r="L315" s="1">
        <v>0.03125</v>
      </c>
      <c r="M315" s="1">
        <v>0</v>
      </c>
      <c r="N315" s="1" t="s">
        <v>956</v>
      </c>
      <c r="O315" s="1" t="s">
        <v>503</v>
      </c>
      <c r="P315" s="1" t="s">
        <v>957</v>
      </c>
      <c r="Q315" s="1">
        <v>42958</v>
      </c>
      <c r="R315" s="14" t="s">
        <v>503</v>
      </c>
      <c r="S315" s="1" t="s">
        <v>22</v>
      </c>
      <c r="T315" s="1" t="s">
        <v>22</v>
      </c>
      <c r="U315" s="1" t="s">
        <v>22</v>
      </c>
    </row>
    <row r="316" spans="1:21" x14ac:dyDescent="0.25">
      <c r="A316" s="1" t="s">
        <v>949</v>
      </c>
      <c r="B316" s="2" t="s">
        <v>950</v>
      </c>
      <c r="C316" s="1" t="s">
        <v>951</v>
      </c>
      <c r="D316" s="1" t="s">
        <v>503</v>
      </c>
      <c r="E316" s="1" t="s">
        <v>37</v>
      </c>
      <c r="F316" s="1">
        <v>42971</v>
      </c>
      <c r="G316" s="14" t="s">
        <v>50</v>
      </c>
      <c r="H316" t="s">
        <v>960</v>
      </c>
      <c r="I316" s="2" t="s">
        <v>961</v>
      </c>
      <c r="J316" s="2">
        <v>0.010416666666666666</v>
      </c>
      <c r="K316" s="1">
        <v>0.010416666666666666</v>
      </c>
      <c r="L316" s="1">
        <v>0.020833333333333332</v>
      </c>
      <c r="M316" s="1">
        <v>0</v>
      </c>
      <c r="N316" s="1" t="s">
        <v>956</v>
      </c>
      <c r="O316" s="1" t="s">
        <v>503</v>
      </c>
      <c r="P316" s="1" t="s">
        <v>957</v>
      </c>
      <c r="Q316" s="1">
        <v>42971</v>
      </c>
      <c r="R316" s="14" t="s">
        <v>503</v>
      </c>
      <c r="S316" s="1" t="s">
        <v>22</v>
      </c>
      <c r="T316" s="1" t="s">
        <v>22</v>
      </c>
      <c r="U316" s="1" t="s">
        <v>22</v>
      </c>
    </row>
    <row r="317" spans="1:21" x14ac:dyDescent="0.25">
      <c r="A317" s="1" t="s">
        <v>949</v>
      </c>
      <c r="B317" s="2" t="s">
        <v>962</v>
      </c>
      <c r="C317" s="1" t="s">
        <v>963</v>
      </c>
      <c r="D317" s="1" t="s">
        <v>503</v>
      </c>
      <c r="E317" s="1" t="s">
        <v>27</v>
      </c>
      <c r="F317" s="1">
        <v>42971</v>
      </c>
      <c r="G317" s="14" t="s">
        <v>74</v>
      </c>
      <c r="H317" t="s">
        <v>964</v>
      </c>
      <c r="I317" s="2" t="s">
        <v>965</v>
      </c>
      <c r="J317" s="2">
        <v>0.015625</v>
      </c>
      <c r="K317" s="1">
        <v>0.015625</v>
      </c>
      <c r="L317" s="1">
        <v>0.03125</v>
      </c>
      <c r="M317" s="1">
        <v>0</v>
      </c>
      <c r="N317" s="1" t="s">
        <v>966</v>
      </c>
      <c r="O317" s="1" t="s">
        <v>503</v>
      </c>
      <c r="P317" s="1" t="s">
        <v>967</v>
      </c>
      <c r="Q317" s="1">
        <v>42971</v>
      </c>
      <c r="R317" s="14" t="s">
        <v>503</v>
      </c>
      <c r="S317" s="1" t="s">
        <v>22</v>
      </c>
      <c r="T317" s="1" t="s">
        <v>22</v>
      </c>
      <c r="U317" s="1" t="s">
        <v>22</v>
      </c>
    </row>
    <row r="318" spans="1:21" x14ac:dyDescent="0.25">
      <c r="A318" s="1" t="s">
        <v>949</v>
      </c>
      <c r="B318" s="2" t="s">
        <v>968</v>
      </c>
      <c r="C318" s="1" t="s">
        <v>261</v>
      </c>
      <c r="D318" s="1" t="s">
        <v>503</v>
      </c>
      <c r="E318" s="1" t="s">
        <v>27</v>
      </c>
      <c r="F318" s="1">
        <v>42973</v>
      </c>
      <c r="G318" s="14" t="s">
        <v>74</v>
      </c>
      <c r="H318" t="s">
        <v>969</v>
      </c>
      <c r="I318" s="2" t="s">
        <v>970</v>
      </c>
      <c r="J318" s="2">
        <v>0.010416666666666666</v>
      </c>
      <c r="K318" s="1">
        <v>0.010416666666666666</v>
      </c>
      <c r="L318" s="1">
        <v>0.020833333333333332</v>
      </c>
      <c r="M318" s="1">
        <v>0</v>
      </c>
      <c r="N318" s="1" t="s">
        <v>966</v>
      </c>
      <c r="O318" s="1" t="s">
        <v>503</v>
      </c>
      <c r="P318" s="1" t="s">
        <v>967</v>
      </c>
      <c r="Q318" s="1">
        <v>42973</v>
      </c>
      <c r="R318" s="14" t="s">
        <v>503</v>
      </c>
      <c r="S318" s="1" t="s">
        <v>22</v>
      </c>
      <c r="T318" s="1" t="s">
        <v>22</v>
      </c>
      <c r="U318" s="1" t="s">
        <v>22</v>
      </c>
    </row>
    <row r="319" spans="1:21" x14ac:dyDescent="0.25">
      <c r="A319" s="1" t="s">
        <v>949</v>
      </c>
      <c r="B319" s="2" t="s">
        <v>284</v>
      </c>
      <c r="C319" s="1" t="s">
        <v>285</v>
      </c>
      <c r="D319" s="1" t="s">
        <v>503</v>
      </c>
      <c r="E319" s="1" t="s">
        <v>27</v>
      </c>
      <c r="F319" s="1">
        <v>42956</v>
      </c>
      <c r="G319" s="14" t="s">
        <v>74</v>
      </c>
      <c r="H319" t="s">
        <v>971</v>
      </c>
      <c r="I319" s="2" t="s">
        <v>972</v>
      </c>
      <c r="J319" s="2">
        <v>0.052083333333333336</v>
      </c>
      <c r="K319" s="1">
        <v>0.052083333333333336</v>
      </c>
      <c r="L319" s="1">
        <v>0.10416666666666667</v>
      </c>
      <c r="M319" s="1">
        <v>0</v>
      </c>
      <c r="N319" s="1" t="s">
        <v>966</v>
      </c>
      <c r="O319" s="1" t="s">
        <v>503</v>
      </c>
      <c r="P319" s="1" t="s">
        <v>973</v>
      </c>
      <c r="Q319" s="1">
        <v>42956</v>
      </c>
      <c r="R319" s="14" t="s">
        <v>503</v>
      </c>
      <c r="S319" s="1" t="s">
        <v>22</v>
      </c>
      <c r="T319" s="1" t="s">
        <v>22</v>
      </c>
      <c r="U319" s="1" t="s">
        <v>22</v>
      </c>
    </row>
    <row r="320" spans="1:21" x14ac:dyDescent="0.25">
      <c r="A320" s="1" t="s">
        <v>949</v>
      </c>
      <c r="B320" s="2" t="s">
        <v>286</v>
      </c>
      <c r="C320" s="1" t="s">
        <v>974</v>
      </c>
      <c r="D320" s="1" t="s">
        <v>503</v>
      </c>
      <c r="E320" s="1" t="s">
        <v>27</v>
      </c>
      <c r="F320" s="1">
        <v>42957</v>
      </c>
      <c r="G320" s="14" t="s">
        <v>38</v>
      </c>
      <c r="H320" t="s">
        <v>975</v>
      </c>
      <c r="I320" s="2" t="s">
        <v>976</v>
      </c>
      <c r="J320" s="2">
        <v>0.020833333333333332</v>
      </c>
      <c r="K320" s="1">
        <v>0.020833333333333332</v>
      </c>
      <c r="L320" s="1">
        <v>0.041666666666666664</v>
      </c>
      <c r="M320" s="1">
        <v>0</v>
      </c>
      <c r="N320" s="1" t="s">
        <v>956</v>
      </c>
      <c r="O320" s="1" t="s">
        <v>503</v>
      </c>
      <c r="P320" s="1" t="s">
        <v>977</v>
      </c>
      <c r="Q320" s="1">
        <v>42957</v>
      </c>
      <c r="R320" s="14" t="s">
        <v>503</v>
      </c>
      <c r="S320" s="1" t="s">
        <v>22</v>
      </c>
      <c r="T320" s="1" t="s">
        <v>22</v>
      </c>
      <c r="U320" s="1" t="s">
        <v>22</v>
      </c>
    </row>
    <row r="321" spans="1:21" x14ac:dyDescent="0.25">
      <c r="A321" s="1" t="s">
        <v>949</v>
      </c>
      <c r="B321" s="2" t="s">
        <v>978</v>
      </c>
      <c r="C321" s="1" t="s">
        <v>44</v>
      </c>
      <c r="D321" s="1" t="s">
        <v>503</v>
      </c>
      <c r="E321" s="1" t="s">
        <v>27</v>
      </c>
      <c r="F321" s="1">
        <v>42978</v>
      </c>
      <c r="G321" s="14" t="s">
        <v>255</v>
      </c>
      <c r="H321" t="s">
        <v>979</v>
      </c>
      <c r="I321" s="2" t="s">
        <v>980</v>
      </c>
      <c r="J321" s="2">
        <v>0.010416666666666666</v>
      </c>
      <c r="K321" s="1">
        <v>0.010416666666666666</v>
      </c>
      <c r="L321" s="1">
        <v>0.020833333333333332</v>
      </c>
      <c r="M321" s="1">
        <v>0</v>
      </c>
      <c r="N321" s="1" t="s">
        <v>956</v>
      </c>
      <c r="O321" s="1" t="s">
        <v>503</v>
      </c>
      <c r="P321" s="1" t="s">
        <v>977</v>
      </c>
      <c r="Q321" s="1">
        <v>42978</v>
      </c>
      <c r="R321" s="14" t="s">
        <v>503</v>
      </c>
      <c r="S321" s="1" t="s">
        <v>22</v>
      </c>
      <c r="T321" s="1" t="s">
        <v>22</v>
      </c>
      <c r="U321" s="1" t="s">
        <v>22</v>
      </c>
    </row>
    <row r="322" spans="1:21" x14ac:dyDescent="0.25">
      <c r="A322" s="1" t="s">
        <v>949</v>
      </c>
      <c r="B322" s="2" t="s">
        <v>228</v>
      </c>
      <c r="C322" s="1" t="s">
        <v>25</v>
      </c>
      <c r="D322" s="1" t="s">
        <v>503</v>
      </c>
      <c r="E322" s="1" t="s">
        <v>27</v>
      </c>
      <c r="F322" s="1">
        <v>42959</v>
      </c>
      <c r="G322" s="14" t="s">
        <v>74</v>
      </c>
      <c r="H322" t="s">
        <v>981</v>
      </c>
      <c r="I322" s="2" t="s">
        <v>982</v>
      </c>
      <c r="J322" s="2">
        <v>0.07291666666666667</v>
      </c>
      <c r="K322" s="1">
        <v>0.07291666666666667</v>
      </c>
      <c r="L322" s="1">
        <v>0.14583333333333334</v>
      </c>
      <c r="M322" s="1">
        <v>0</v>
      </c>
      <c r="N322" s="1" t="s">
        <v>966</v>
      </c>
      <c r="O322" s="1" t="s">
        <v>503</v>
      </c>
      <c r="P322" s="1" t="s">
        <v>977</v>
      </c>
      <c r="Q322" s="1">
        <v>42959</v>
      </c>
      <c r="R322" s="14" t="s">
        <v>503</v>
      </c>
      <c r="S322" s="1" t="s">
        <v>22</v>
      </c>
      <c r="T322" s="1" t="s">
        <v>22</v>
      </c>
      <c r="U322" s="1" t="s">
        <v>22</v>
      </c>
    </row>
    <row r="323" spans="1:21" x14ac:dyDescent="0.25">
      <c r="A323" s="1" t="s">
        <v>949</v>
      </c>
      <c r="B323" s="2" t="s">
        <v>228</v>
      </c>
      <c r="C323" s="1" t="s">
        <v>25</v>
      </c>
      <c r="D323" s="1" t="s">
        <v>503</v>
      </c>
      <c r="E323" s="1" t="s">
        <v>27</v>
      </c>
      <c r="F323" s="1">
        <v>42960</v>
      </c>
      <c r="G323" s="14" t="s">
        <v>74</v>
      </c>
      <c r="H323" t="s">
        <v>983</v>
      </c>
      <c r="I323" s="2" t="s">
        <v>984</v>
      </c>
      <c r="J323" s="2">
        <v>0.03125</v>
      </c>
      <c r="K323" s="1">
        <v>0.03125</v>
      </c>
      <c r="L323" s="1">
        <v>0.0625</v>
      </c>
      <c r="M323" s="1">
        <v>0</v>
      </c>
      <c r="N323" s="1" t="s">
        <v>966</v>
      </c>
      <c r="O323" s="1" t="s">
        <v>503</v>
      </c>
      <c r="P323" s="1" t="s">
        <v>977</v>
      </c>
      <c r="Q323" s="1">
        <v>42960</v>
      </c>
      <c r="R323" s="14" t="s">
        <v>503</v>
      </c>
      <c r="S323" s="1" t="s">
        <v>22</v>
      </c>
      <c r="T323" s="1" t="s">
        <v>22</v>
      </c>
      <c r="U323" s="1" t="s">
        <v>22</v>
      </c>
    </row>
    <row r="324" spans="1:21" x14ac:dyDescent="0.25">
      <c r="A324" s="1" t="s">
        <v>949</v>
      </c>
      <c r="B324" s="2" t="s">
        <v>985</v>
      </c>
      <c r="C324" s="1" t="s">
        <v>25</v>
      </c>
      <c r="D324" s="1" t="s">
        <v>503</v>
      </c>
      <c r="E324" s="1" t="s">
        <v>27</v>
      </c>
      <c r="F324" s="1">
        <v>42963</v>
      </c>
      <c r="G324" s="14" t="s">
        <v>50</v>
      </c>
      <c r="H324" t="s">
        <v>986</v>
      </c>
      <c r="I324" s="2" t="s">
        <v>987</v>
      </c>
      <c r="J324" s="2">
        <v>0.015625</v>
      </c>
      <c r="K324" s="1">
        <v>0.015625</v>
      </c>
      <c r="L324" s="1">
        <v>0.03125</v>
      </c>
      <c r="M324" s="1">
        <v>0</v>
      </c>
      <c r="N324" s="1" t="s">
        <v>966</v>
      </c>
      <c r="O324" s="1" t="s">
        <v>503</v>
      </c>
      <c r="P324" s="1" t="s">
        <v>977</v>
      </c>
      <c r="Q324" s="1">
        <v>42963</v>
      </c>
      <c r="R324" s="14" t="s">
        <v>503</v>
      </c>
      <c r="S324" s="1" t="s">
        <v>22</v>
      </c>
      <c r="T324" s="1" t="s">
        <v>22</v>
      </c>
      <c r="U324" s="1" t="s">
        <v>22</v>
      </c>
    </row>
    <row r="325" spans="1:21" x14ac:dyDescent="0.25">
      <c r="A325" s="1" t="s">
        <v>949</v>
      </c>
      <c r="B325" s="2" t="s">
        <v>988</v>
      </c>
      <c r="C325" s="1" t="s">
        <v>989</v>
      </c>
      <c r="D325" s="1" t="s">
        <v>503</v>
      </c>
      <c r="E325" s="1" t="s">
        <v>27</v>
      </c>
      <c r="F325" s="1">
        <v>42956</v>
      </c>
      <c r="G325" s="14" t="s">
        <v>74</v>
      </c>
      <c r="H325" t="s">
        <v>990</v>
      </c>
      <c r="I325" s="2" t="s">
        <v>991</v>
      </c>
      <c r="J325" s="2">
        <v>0.0625</v>
      </c>
      <c r="K325" s="1">
        <v>0.0625</v>
      </c>
      <c r="L325" s="1">
        <v>0.125</v>
      </c>
      <c r="M325" s="1">
        <v>0</v>
      </c>
      <c r="N325" s="1" t="s">
        <v>956</v>
      </c>
      <c r="O325" s="1" t="s">
        <v>503</v>
      </c>
      <c r="P325" s="1" t="s">
        <v>967</v>
      </c>
      <c r="Q325" s="1">
        <v>42956</v>
      </c>
      <c r="R325" s="14" t="s">
        <v>503</v>
      </c>
      <c r="S325" s="1" t="s">
        <v>22</v>
      </c>
      <c r="T325" s="1" t="s">
        <v>22</v>
      </c>
      <c r="U325" s="1" t="s">
        <v>22</v>
      </c>
    </row>
    <row r="326" spans="1:21" x14ac:dyDescent="0.25">
      <c r="A326" s="1" t="s">
        <v>949</v>
      </c>
      <c r="B326" s="2" t="s">
        <v>988</v>
      </c>
      <c r="C326" s="1" t="s">
        <v>989</v>
      </c>
      <c r="D326" s="1" t="s">
        <v>503</v>
      </c>
      <c r="E326" s="1" t="s">
        <v>27</v>
      </c>
      <c r="F326" s="1">
        <v>42961</v>
      </c>
      <c r="G326" s="14" t="s">
        <v>96</v>
      </c>
      <c r="H326" t="s">
        <v>992</v>
      </c>
      <c r="I326" s="2" t="s">
        <v>993</v>
      </c>
      <c r="J326" s="2">
        <v>0.052083333333333336</v>
      </c>
      <c r="K326" s="1">
        <v>0.052083333333333336</v>
      </c>
      <c r="L326" s="1">
        <v>0.10416666666666667</v>
      </c>
      <c r="M326" s="1">
        <v>0</v>
      </c>
      <c r="N326" s="1" t="s">
        <v>956</v>
      </c>
      <c r="O326" s="1" t="s">
        <v>503</v>
      </c>
      <c r="P326" s="1" t="s">
        <v>967</v>
      </c>
      <c r="Q326" s="1">
        <v>42961</v>
      </c>
      <c r="R326" s="14" t="s">
        <v>503</v>
      </c>
      <c r="S326" s="1" t="s">
        <v>22</v>
      </c>
      <c r="T326" s="1" t="s">
        <v>22</v>
      </c>
      <c r="U326" s="1" t="s">
        <v>22</v>
      </c>
    </row>
    <row r="327" spans="1:21" x14ac:dyDescent="0.25">
      <c r="A327" s="1" t="s">
        <v>949</v>
      </c>
      <c r="B327" s="2" t="s">
        <v>988</v>
      </c>
      <c r="C327" s="1" t="s">
        <v>989</v>
      </c>
      <c r="D327" s="1" t="s">
        <v>503</v>
      </c>
      <c r="E327" s="1" t="s">
        <v>27</v>
      </c>
      <c r="F327" s="1">
        <v>42963</v>
      </c>
      <c r="G327" s="14" t="s">
        <v>28</v>
      </c>
      <c r="H327" t="s">
        <v>994</v>
      </c>
      <c r="I327" s="2" t="s">
        <v>995</v>
      </c>
      <c r="J327" s="2">
        <v>0.08333333333333333</v>
      </c>
      <c r="K327" s="1">
        <v>0.08333333333333333</v>
      </c>
      <c r="L327" s="1">
        <v>0.16666666666666666</v>
      </c>
      <c r="M327" s="1">
        <v>0</v>
      </c>
      <c r="N327" s="1" t="s">
        <v>956</v>
      </c>
      <c r="O327" s="1" t="s">
        <v>503</v>
      </c>
      <c r="P327" s="1" t="s">
        <v>967</v>
      </c>
      <c r="Q327" s="1">
        <v>42963</v>
      </c>
      <c r="R327" s="14" t="s">
        <v>503</v>
      </c>
      <c r="S327" s="1" t="s">
        <v>22</v>
      </c>
      <c r="T327" s="1" t="s">
        <v>22</v>
      </c>
      <c r="U327" s="1" t="s">
        <v>22</v>
      </c>
    </row>
    <row r="328" spans="1:21" x14ac:dyDescent="0.25">
      <c r="A328" s="1" t="s">
        <v>949</v>
      </c>
      <c r="B328" s="2" t="s">
        <v>988</v>
      </c>
      <c r="C328" s="1" t="s">
        <v>989</v>
      </c>
      <c r="D328" s="1" t="s">
        <v>503</v>
      </c>
      <c r="E328" s="1" t="s">
        <v>27</v>
      </c>
      <c r="F328" s="1">
        <v>42976</v>
      </c>
      <c r="G328" s="14" t="s">
        <v>28</v>
      </c>
      <c r="H328" t="s">
        <v>996</v>
      </c>
      <c r="I328" s="2" t="s">
        <v>997</v>
      </c>
      <c r="J328" s="2">
        <v>0.08333333333333333</v>
      </c>
      <c r="K328" s="1">
        <v>0.08333333333333333</v>
      </c>
      <c r="L328" s="1">
        <v>0.16666666666666666</v>
      </c>
      <c r="M328" s="1">
        <v>0</v>
      </c>
      <c r="N328" s="1" t="s">
        <v>956</v>
      </c>
      <c r="O328" s="1" t="s">
        <v>503</v>
      </c>
      <c r="P328" s="1" t="s">
        <v>967</v>
      </c>
      <c r="Q328" s="1">
        <v>42976</v>
      </c>
      <c r="R328" s="14" t="s">
        <v>503</v>
      </c>
      <c r="S328" s="1" t="s">
        <v>22</v>
      </c>
      <c r="T328" s="1" t="s">
        <v>22</v>
      </c>
      <c r="U328" s="1" t="s">
        <v>22</v>
      </c>
    </row>
    <row r="329" spans="1:21" x14ac:dyDescent="0.25">
      <c r="A329" s="1" t="s">
        <v>949</v>
      </c>
      <c r="B329" s="2" t="s">
        <v>998</v>
      </c>
      <c r="C329" s="1" t="s">
        <v>989</v>
      </c>
      <c r="D329" s="1" t="s">
        <v>503</v>
      </c>
      <c r="E329" s="1" t="s">
        <v>27</v>
      </c>
      <c r="F329" s="1">
        <v>42956</v>
      </c>
      <c r="G329" s="14" t="s">
        <v>255</v>
      </c>
      <c r="H329" t="s">
        <v>999</v>
      </c>
      <c r="I329" s="2" t="s">
        <v>1000</v>
      </c>
      <c r="J329" s="2">
        <v>0.010416666666666666</v>
      </c>
      <c r="K329" s="1">
        <v>0.010416666666666666</v>
      </c>
      <c r="L329" s="1">
        <v>0.020833333333333332</v>
      </c>
      <c r="M329" s="1">
        <v>0</v>
      </c>
      <c r="N329" s="1" t="s">
        <v>1001</v>
      </c>
      <c r="O329" s="1" t="s">
        <v>503</v>
      </c>
      <c r="P329" s="1" t="s">
        <v>973</v>
      </c>
      <c r="Q329" s="1">
        <v>42956</v>
      </c>
      <c r="R329" s="14" t="s">
        <v>503</v>
      </c>
      <c r="S329" s="1" t="s">
        <v>22</v>
      </c>
      <c r="T329" s="1" t="s">
        <v>22</v>
      </c>
      <c r="U329" s="1" t="s">
        <v>22</v>
      </c>
    </row>
    <row r="330" spans="1:21" x14ac:dyDescent="0.25">
      <c r="A330" s="1" t="s">
        <v>949</v>
      </c>
      <c r="B330" s="2" t="s">
        <v>1002</v>
      </c>
      <c r="C330" s="1" t="s">
        <v>1003</v>
      </c>
      <c r="D330" s="1" t="s">
        <v>503</v>
      </c>
      <c r="E330" s="1" t="s">
        <v>27</v>
      </c>
      <c r="F330" s="1">
        <v>42965</v>
      </c>
      <c r="G330" s="14" t="s">
        <v>133</v>
      </c>
      <c r="H330" t="s">
        <v>1004</v>
      </c>
      <c r="I330" s="2" t="s">
        <v>1005</v>
      </c>
      <c r="J330" s="2">
        <v>0.015625</v>
      </c>
      <c r="K330" s="1">
        <v>0.015625</v>
      </c>
      <c r="L330" s="1">
        <v>0.03125</v>
      </c>
      <c r="M330" s="1">
        <v>0</v>
      </c>
      <c r="N330" s="1" t="s">
        <v>966</v>
      </c>
      <c r="O330" s="1" t="s">
        <v>503</v>
      </c>
      <c r="P330" s="1" t="s">
        <v>973</v>
      </c>
      <c r="Q330" s="1">
        <v>42965</v>
      </c>
      <c r="R330" s="14" t="s">
        <v>503</v>
      </c>
      <c r="S330" s="1" t="s">
        <v>22</v>
      </c>
      <c r="T330" s="1" t="s">
        <v>22</v>
      </c>
      <c r="U330" s="1" t="s">
        <v>22</v>
      </c>
    </row>
    <row r="331" spans="1:21" x14ac:dyDescent="0.25">
      <c r="A331" s="1" t="s">
        <v>949</v>
      </c>
      <c r="B331" s="2" t="s">
        <v>1006</v>
      </c>
      <c r="C331" s="1" t="s">
        <v>989</v>
      </c>
      <c r="D331" s="1" t="s">
        <v>503</v>
      </c>
      <c r="E331" s="1" t="s">
        <v>27</v>
      </c>
      <c r="F331" s="1">
        <v>42965</v>
      </c>
      <c r="G331" s="14" t="s">
        <v>38</v>
      </c>
      <c r="H331" t="s">
        <v>1007</v>
      </c>
      <c r="I331" s="2" t="s">
        <v>1008</v>
      </c>
      <c r="J331" s="2">
        <v>0.020833333333333332</v>
      </c>
      <c r="K331" s="1">
        <v>0.020833333333333332</v>
      </c>
      <c r="L331" s="1">
        <v>0.041666666666666664</v>
      </c>
      <c r="M331" s="1">
        <v>0</v>
      </c>
      <c r="N331" s="1" t="s">
        <v>1001</v>
      </c>
      <c r="O331" s="1" t="s">
        <v>503</v>
      </c>
      <c r="P331" s="1" t="s">
        <v>973</v>
      </c>
      <c r="Q331" s="1">
        <v>42965</v>
      </c>
      <c r="R331" s="14" t="s">
        <v>503</v>
      </c>
      <c r="S331" s="1" t="s">
        <v>22</v>
      </c>
      <c r="T331" s="1" t="s">
        <v>22</v>
      </c>
      <c r="U331" s="1" t="s">
        <v>22</v>
      </c>
    </row>
    <row r="332" spans="1:21" x14ac:dyDescent="0.25">
      <c r="A332" s="1" t="s">
        <v>949</v>
      </c>
      <c r="B332" s="2" t="s">
        <v>1009</v>
      </c>
      <c r="C332" s="1" t="s">
        <v>951</v>
      </c>
      <c r="D332" s="1" t="s">
        <v>503</v>
      </c>
      <c r="E332" s="1" t="s">
        <v>37</v>
      </c>
      <c r="F332" s="1">
        <v>42974</v>
      </c>
      <c r="G332" s="14" t="s">
        <v>953</v>
      </c>
      <c r="H332" t="s">
        <v>1010</v>
      </c>
      <c r="I332" s="2" t="s">
        <v>1011</v>
      </c>
      <c r="J332" s="2">
        <v>0.010416666666666666</v>
      </c>
      <c r="K332" s="1">
        <v>0.010416666666666666</v>
      </c>
      <c r="L332" s="1">
        <v>0.020833333333333332</v>
      </c>
      <c r="M332" s="1">
        <v>0</v>
      </c>
      <c r="N332" s="1" t="s">
        <v>956</v>
      </c>
      <c r="O332" s="1" t="s">
        <v>503</v>
      </c>
      <c r="P332" s="1" t="s">
        <v>973</v>
      </c>
      <c r="Q332" s="1">
        <v>42974</v>
      </c>
      <c r="R332" s="14" t="s">
        <v>503</v>
      </c>
      <c r="S332" s="1" t="s">
        <v>22</v>
      </c>
      <c r="T332" s="1" t="s">
        <v>22</v>
      </c>
      <c r="U332" s="1" t="s">
        <v>22</v>
      </c>
    </row>
    <row r="333" spans="1:21" x14ac:dyDescent="0.25">
      <c r="A333" s="1" t="s">
        <v>949</v>
      </c>
      <c r="B333" s="2" t="s">
        <v>1012</v>
      </c>
      <c r="C333" s="1" t="s">
        <v>25</v>
      </c>
      <c r="D333" s="1" t="s">
        <v>503</v>
      </c>
      <c r="E333" s="1" t="s">
        <v>27</v>
      </c>
      <c r="F333" s="1">
        <v>42973</v>
      </c>
      <c r="G333" s="14" t="s">
        <v>74</v>
      </c>
      <c r="H333" t="s">
        <v>1013</v>
      </c>
      <c r="I333" s="2" t="s">
        <v>1014</v>
      </c>
      <c r="J333" s="2">
        <v>0.010416666666666666</v>
      </c>
      <c r="K333" s="1">
        <v>0.010416666666666666</v>
      </c>
      <c r="L333" s="1">
        <v>0.020833333333333332</v>
      </c>
      <c r="M333" s="1">
        <v>0</v>
      </c>
      <c r="N333" s="1" t="s">
        <v>1001</v>
      </c>
      <c r="O333" s="1" t="s">
        <v>503</v>
      </c>
      <c r="P333" s="1" t="s">
        <v>973</v>
      </c>
      <c r="Q333" s="1">
        <v>42973</v>
      </c>
      <c r="R333" s="14" t="s">
        <v>503</v>
      </c>
      <c r="S333" s="1" t="s">
        <v>22</v>
      </c>
      <c r="T333" s="1" t="s">
        <v>22</v>
      </c>
      <c r="U333" s="1" t="s">
        <v>22</v>
      </c>
    </row>
    <row r="334" spans="1:21" x14ac:dyDescent="0.25">
      <c r="A334" s="1" t="s">
        <v>1015</v>
      </c>
      <c r="B334" s="2" t="s">
        <v>950</v>
      </c>
      <c r="C334" s="1" t="s">
        <v>951</v>
      </c>
      <c r="D334" s="1" t="s">
        <v>503</v>
      </c>
      <c r="E334" s="1" t="s">
        <v>37</v>
      </c>
      <c r="F334" s="1">
        <v>42984</v>
      </c>
      <c r="G334" s="14" t="s">
        <v>50</v>
      </c>
      <c r="H334" t="s">
        <v>1016</v>
      </c>
      <c r="I334" s="2" t="s">
        <v>1017</v>
      </c>
      <c r="J334" s="2">
        <v>0.010416666666666666</v>
      </c>
      <c r="K334" s="1">
        <v>0.010416666666666666</v>
      </c>
      <c r="L334" s="1">
        <v>0.020833333333333332</v>
      </c>
      <c r="M334" s="1">
        <v>0</v>
      </c>
      <c r="N334" s="1" t="s">
        <v>956</v>
      </c>
      <c r="O334" s="1" t="s">
        <v>503</v>
      </c>
      <c r="P334" s="1" t="s">
        <v>973</v>
      </c>
      <c r="Q334" s="1">
        <v>42984</v>
      </c>
      <c r="R334" s="14" t="s">
        <v>503</v>
      </c>
      <c r="S334" s="1" t="s">
        <v>22</v>
      </c>
      <c r="T334" s="1" t="s">
        <v>22</v>
      </c>
      <c r="U334" s="1" t="s">
        <v>22</v>
      </c>
    </row>
    <row r="335" spans="1:21" x14ac:dyDescent="0.25">
      <c r="A335" s="1" t="s">
        <v>1015</v>
      </c>
      <c r="B335" s="2" t="s">
        <v>1018</v>
      </c>
      <c r="C335" s="1" t="s">
        <v>1019</v>
      </c>
      <c r="D335" s="1" t="s">
        <v>503</v>
      </c>
      <c r="E335" s="1" t="s">
        <v>27</v>
      </c>
      <c r="F335" s="1">
        <v>42989</v>
      </c>
      <c r="G335" s="14" t="s">
        <v>133</v>
      </c>
      <c r="H335" t="s">
        <v>1020</v>
      </c>
      <c r="I335" s="2" t="s">
        <v>1021</v>
      </c>
      <c r="J335" s="2">
        <v>0.010416666666666666</v>
      </c>
      <c r="K335" s="1">
        <v>0.010416666666666666</v>
      </c>
      <c r="L335" s="1">
        <v>0.020833333333333332</v>
      </c>
      <c r="M335" s="1">
        <v>0</v>
      </c>
      <c r="N335" s="1" t="s">
        <v>1001</v>
      </c>
      <c r="O335" s="1" t="s">
        <v>503</v>
      </c>
      <c r="P335" s="1" t="s">
        <v>973</v>
      </c>
      <c r="Q335" s="1">
        <v>42989</v>
      </c>
      <c r="R335" s="14" t="s">
        <v>503</v>
      </c>
      <c r="S335" s="1" t="s">
        <v>22</v>
      </c>
      <c r="T335" s="1" t="s">
        <v>22</v>
      </c>
      <c r="U335" s="1" t="s">
        <v>22</v>
      </c>
    </row>
    <row r="336" spans="1:21" x14ac:dyDescent="0.25">
      <c r="A336" s="1" t="s">
        <v>1015</v>
      </c>
      <c r="B336" s="2" t="s">
        <v>286</v>
      </c>
      <c r="C336" s="1" t="s">
        <v>974</v>
      </c>
      <c r="D336" s="1" t="s">
        <v>503</v>
      </c>
      <c r="E336" s="1" t="s">
        <v>27</v>
      </c>
      <c r="F336" s="1">
        <v>42986</v>
      </c>
      <c r="G336" s="14" t="s">
        <v>74</v>
      </c>
      <c r="H336" t="s">
        <v>1022</v>
      </c>
      <c r="I336" s="2" t="s">
        <v>1023</v>
      </c>
      <c r="J336" s="2">
        <v>0.015625</v>
      </c>
      <c r="K336" s="1">
        <v>0.015625</v>
      </c>
      <c r="L336" s="1">
        <v>0.03125</v>
      </c>
      <c r="M336" s="1">
        <v>0</v>
      </c>
      <c r="N336" s="1" t="s">
        <v>956</v>
      </c>
      <c r="O336" s="1" t="s">
        <v>503</v>
      </c>
      <c r="P336" s="1" t="s">
        <v>973</v>
      </c>
      <c r="Q336" s="1">
        <v>42986</v>
      </c>
      <c r="R336" s="14" t="s">
        <v>503</v>
      </c>
      <c r="S336" s="1" t="s">
        <v>22</v>
      </c>
      <c r="T336" s="1" t="s">
        <v>22</v>
      </c>
      <c r="U336" s="1" t="s">
        <v>22</v>
      </c>
    </row>
    <row r="337" spans="1:21" x14ac:dyDescent="0.25">
      <c r="A337" s="1" t="s">
        <v>1015</v>
      </c>
      <c r="B337" s="2" t="s">
        <v>1024</v>
      </c>
      <c r="C337" s="1" t="s">
        <v>285</v>
      </c>
      <c r="D337" s="1" t="s">
        <v>503</v>
      </c>
      <c r="E337" s="1" t="s">
        <v>27</v>
      </c>
      <c r="F337" s="1">
        <v>42990</v>
      </c>
      <c r="G337" s="14" t="s">
        <v>255</v>
      </c>
      <c r="H337" t="s">
        <v>1025</v>
      </c>
      <c r="I337" s="2" t="s">
        <v>1026</v>
      </c>
      <c r="J337" s="2">
        <v>0.010416666666666666</v>
      </c>
      <c r="K337" s="1">
        <v>0.010416666666666666</v>
      </c>
      <c r="L337" s="1">
        <v>0.020833333333333332</v>
      </c>
      <c r="M337" s="1">
        <v>0</v>
      </c>
      <c r="N337" s="1" t="s">
        <v>1001</v>
      </c>
      <c r="O337" s="1" t="s">
        <v>503</v>
      </c>
      <c r="P337" s="1" t="s">
        <v>973</v>
      </c>
      <c r="Q337" s="1">
        <v>42990</v>
      </c>
      <c r="R337" s="14" t="s">
        <v>503</v>
      </c>
      <c r="S337" s="1" t="s">
        <v>22</v>
      </c>
      <c r="T337" s="1" t="s">
        <v>22</v>
      </c>
      <c r="U337" s="1" t="s">
        <v>22</v>
      </c>
    </row>
    <row r="338" spans="1:21" x14ac:dyDescent="0.25">
      <c r="A338" s="1" t="s">
        <v>1015</v>
      </c>
      <c r="B338" s="2" t="s">
        <v>1027</v>
      </c>
      <c r="C338" s="1" t="s">
        <v>261</v>
      </c>
      <c r="D338" s="1" t="s">
        <v>503</v>
      </c>
      <c r="E338" s="1" t="s">
        <v>27</v>
      </c>
      <c r="F338" s="1">
        <v>42986</v>
      </c>
      <c r="G338" s="14" t="s">
        <v>50</v>
      </c>
      <c r="H338" t="s">
        <v>1028</v>
      </c>
      <c r="I338" s="2" t="s">
        <v>1029</v>
      </c>
      <c r="J338" s="2">
        <v>0.020833333333333332</v>
      </c>
      <c r="K338" s="1">
        <v>0.020833333333333332</v>
      </c>
      <c r="L338" s="1">
        <v>0.041666666666666664</v>
      </c>
      <c r="M338" s="1">
        <v>0</v>
      </c>
      <c r="N338" s="1" t="s">
        <v>1001</v>
      </c>
      <c r="O338" s="1" t="s">
        <v>503</v>
      </c>
      <c r="P338" s="1" t="s">
        <v>973</v>
      </c>
      <c r="Q338" s="1">
        <v>42986</v>
      </c>
      <c r="R338" s="14" t="s">
        <v>503</v>
      </c>
      <c r="S338" s="1" t="s">
        <v>22</v>
      </c>
      <c r="T338" s="1" t="s">
        <v>22</v>
      </c>
      <c r="U338" s="1" t="s">
        <v>22</v>
      </c>
    </row>
    <row r="339" spans="1:21" x14ac:dyDescent="0.25">
      <c r="A339" s="1" t="s">
        <v>1015</v>
      </c>
      <c r="B339" s="2" t="s">
        <v>1002</v>
      </c>
      <c r="C339" s="1" t="s">
        <v>1003</v>
      </c>
      <c r="D339" s="1" t="s">
        <v>503</v>
      </c>
      <c r="E339" s="1" t="s">
        <v>27</v>
      </c>
      <c r="F339" s="1">
        <v>42991</v>
      </c>
      <c r="G339" s="14" t="s">
        <v>74</v>
      </c>
      <c r="H339" t="s">
        <v>1030</v>
      </c>
      <c r="I339" s="2" t="s">
        <v>1031</v>
      </c>
      <c r="J339" s="2">
        <v>0.07291666666666667</v>
      </c>
      <c r="K339" s="1">
        <v>0.07291666666666667</v>
      </c>
      <c r="L339" s="1">
        <v>0.14583333333333334</v>
      </c>
      <c r="M339" s="1">
        <v>0</v>
      </c>
      <c r="N339" s="1" t="s">
        <v>966</v>
      </c>
      <c r="O339" s="1" t="s">
        <v>503</v>
      </c>
      <c r="P339" s="1" t="s">
        <v>973</v>
      </c>
      <c r="Q339" s="1">
        <v>42991</v>
      </c>
      <c r="R339" s="14" t="s">
        <v>503</v>
      </c>
      <c r="S339" s="1" t="s">
        <v>22</v>
      </c>
      <c r="T339" s="1" t="s">
        <v>22</v>
      </c>
      <c r="U339" s="1" t="s">
        <v>22</v>
      </c>
    </row>
    <row r="340" spans="1:21" x14ac:dyDescent="0.25">
      <c r="A340" s="1" t="s">
        <v>1015</v>
      </c>
      <c r="B340" s="2" t="s">
        <v>1012</v>
      </c>
      <c r="C340" s="1" t="s">
        <v>25</v>
      </c>
      <c r="D340" s="1" t="s">
        <v>503</v>
      </c>
      <c r="E340" s="1" t="s">
        <v>27</v>
      </c>
      <c r="F340" s="1">
        <v>42987</v>
      </c>
      <c r="G340" s="14" t="s">
        <v>28</v>
      </c>
      <c r="H340" t="s">
        <v>1032</v>
      </c>
      <c r="I340" s="2" t="s">
        <v>1033</v>
      </c>
      <c r="J340" s="2">
        <v>0.08333333333333333</v>
      </c>
      <c r="K340" s="1">
        <v>0.08333333333333333</v>
      </c>
      <c r="L340" s="1">
        <v>0.16666666666666666</v>
      </c>
      <c r="M340" s="1">
        <v>0</v>
      </c>
      <c r="N340" s="1" t="s">
        <v>1001</v>
      </c>
      <c r="O340" s="1" t="s">
        <v>503</v>
      </c>
      <c r="P340" s="1" t="s">
        <v>973</v>
      </c>
      <c r="Q340" s="1">
        <v>42987</v>
      </c>
      <c r="R340" s="14" t="s">
        <v>503</v>
      </c>
      <c r="S340" s="1" t="s">
        <v>22</v>
      </c>
      <c r="T340" s="1" t="s">
        <v>22</v>
      </c>
      <c r="U340" s="1" t="s">
        <v>22</v>
      </c>
    </row>
    <row r="341" spans="1:21" x14ac:dyDescent="0.25">
      <c r="A341" s="1" t="s">
        <v>1015</v>
      </c>
      <c r="B341" s="2" t="s">
        <v>950</v>
      </c>
      <c r="C341" s="1" t="s">
        <v>951</v>
      </c>
      <c r="D341" s="1" t="s">
        <v>503</v>
      </c>
      <c r="E341" s="1" t="s">
        <v>37</v>
      </c>
      <c r="F341" s="1">
        <v>43000</v>
      </c>
      <c r="G341" s="14" t="s">
        <v>38</v>
      </c>
      <c r="H341" t="s">
        <v>1034</v>
      </c>
      <c r="I341" s="2" t="s">
        <v>1035</v>
      </c>
      <c r="J341" s="2">
        <v>0.015625</v>
      </c>
      <c r="K341" s="1">
        <v>0.015625</v>
      </c>
      <c r="L341" s="1">
        <v>0.03125</v>
      </c>
      <c r="M341" s="1">
        <v>0</v>
      </c>
      <c r="N341" s="1" t="s">
        <v>956</v>
      </c>
      <c r="O341" s="1" t="s">
        <v>503</v>
      </c>
      <c r="P341" s="1" t="s">
        <v>973</v>
      </c>
      <c r="Q341" s="1">
        <v>43000</v>
      </c>
      <c r="R341" s="14" t="s">
        <v>503</v>
      </c>
      <c r="S341" s="1" t="s">
        <v>22</v>
      </c>
      <c r="T341" s="1" t="s">
        <v>22</v>
      </c>
      <c r="U341" s="1" t="s">
        <v>22</v>
      </c>
    </row>
    <row r="342" spans="1:21" x14ac:dyDescent="0.25">
      <c r="A342" s="1" t="s">
        <v>1015</v>
      </c>
      <c r="B342" s="2" t="s">
        <v>968</v>
      </c>
      <c r="C342" s="1" t="s">
        <v>261</v>
      </c>
      <c r="D342" s="1" t="s">
        <v>503</v>
      </c>
      <c r="E342" s="1" t="s">
        <v>27</v>
      </c>
      <c r="F342" s="1">
        <v>42999</v>
      </c>
      <c r="G342" s="14" t="s">
        <v>74</v>
      </c>
      <c r="H342" t="s">
        <v>1036</v>
      </c>
      <c r="I342" s="2" t="s">
        <v>1037</v>
      </c>
      <c r="J342" s="2">
        <v>0.0625</v>
      </c>
      <c r="K342" s="1">
        <v>0.0625</v>
      </c>
      <c r="L342" s="1">
        <v>0.125</v>
      </c>
      <c r="M342" s="1">
        <v>0</v>
      </c>
      <c r="N342" s="1" t="s">
        <v>966</v>
      </c>
      <c r="O342" s="1" t="s">
        <v>503</v>
      </c>
      <c r="P342" s="1" t="s">
        <v>973</v>
      </c>
      <c r="Q342" s="1">
        <v>42999</v>
      </c>
      <c r="R342" s="14" t="s">
        <v>503</v>
      </c>
      <c r="S342" s="1" t="s">
        <v>22</v>
      </c>
      <c r="T342" s="1" t="s">
        <v>22</v>
      </c>
      <c r="U342" s="1" t="s">
        <v>22</v>
      </c>
    </row>
    <row r="343" spans="1:21" x14ac:dyDescent="0.25">
      <c r="A343" s="1" t="s">
        <v>1015</v>
      </c>
      <c r="B343" s="2" t="s">
        <v>1038</v>
      </c>
      <c r="C343" s="1" t="s">
        <v>261</v>
      </c>
      <c r="D343" s="1" t="s">
        <v>503</v>
      </c>
      <c r="E343" s="1" t="s">
        <v>27</v>
      </c>
      <c r="F343" s="1">
        <v>42999</v>
      </c>
      <c r="G343" s="14" t="s">
        <v>28</v>
      </c>
      <c r="H343" t="s">
        <v>1036</v>
      </c>
      <c r="I343" s="2" t="s">
        <v>1039</v>
      </c>
      <c r="J343" s="2">
        <v>0.0625</v>
      </c>
      <c r="K343" s="1">
        <v>0.0625</v>
      </c>
      <c r="L343" s="1">
        <v>0.125</v>
      </c>
      <c r="M343" s="1">
        <v>0</v>
      </c>
      <c r="N343" s="1" t="s">
        <v>956</v>
      </c>
      <c r="O343" s="1" t="s">
        <v>503</v>
      </c>
      <c r="P343" s="1" t="s">
        <v>973</v>
      </c>
      <c r="Q343" s="1">
        <v>42999</v>
      </c>
      <c r="R343" s="14" t="s">
        <v>503</v>
      </c>
      <c r="S343" s="1" t="s">
        <v>22</v>
      </c>
      <c r="T343" s="1" t="s">
        <v>22</v>
      </c>
      <c r="U343" s="1" t="s">
        <v>22</v>
      </c>
    </row>
    <row r="344" spans="1:21" x14ac:dyDescent="0.25">
      <c r="A344" s="1" t="s">
        <v>1015</v>
      </c>
      <c r="B344" s="2" t="s">
        <v>286</v>
      </c>
      <c r="C344" s="1" t="s">
        <v>974</v>
      </c>
      <c r="D344" s="1" t="s">
        <v>503</v>
      </c>
      <c r="E344" s="1" t="s">
        <v>27</v>
      </c>
      <c r="F344" s="1">
        <v>42998</v>
      </c>
      <c r="G344" s="14" t="s">
        <v>28</v>
      </c>
      <c r="H344" t="s">
        <v>1036</v>
      </c>
      <c r="I344" s="2" t="s">
        <v>1039</v>
      </c>
      <c r="J344" s="2">
        <v>0.0625</v>
      </c>
      <c r="K344" s="1">
        <v>0.0625</v>
      </c>
      <c r="L344" s="1">
        <v>0.125</v>
      </c>
      <c r="M344" s="1">
        <v>0</v>
      </c>
      <c r="N344" s="1" t="s">
        <v>956</v>
      </c>
      <c r="O344" s="1" t="s">
        <v>503</v>
      </c>
      <c r="P344" s="1" t="s">
        <v>973</v>
      </c>
      <c r="Q344" s="1">
        <v>42998</v>
      </c>
      <c r="R344" s="14" t="s">
        <v>503</v>
      </c>
      <c r="S344" s="1" t="s">
        <v>22</v>
      </c>
      <c r="T344" s="1" t="s">
        <v>22</v>
      </c>
      <c r="U344" s="1" t="s">
        <v>22</v>
      </c>
    </row>
    <row r="345" spans="1:21" x14ac:dyDescent="0.25">
      <c r="A345" s="1" t="s">
        <v>1015</v>
      </c>
      <c r="B345" s="2" t="s">
        <v>1040</v>
      </c>
      <c r="C345" s="1" t="s">
        <v>951</v>
      </c>
      <c r="D345" s="1" t="s">
        <v>503</v>
      </c>
      <c r="E345" s="1" t="s">
        <v>37</v>
      </c>
      <c r="F345" s="1">
        <v>42999</v>
      </c>
      <c r="G345" s="14" t="s">
        <v>255</v>
      </c>
      <c r="H345" t="s">
        <v>1034</v>
      </c>
      <c r="I345" s="2" t="s">
        <v>1035</v>
      </c>
      <c r="J345" s="2">
        <v>0.015625</v>
      </c>
      <c r="K345" s="1">
        <v>0.015625</v>
      </c>
      <c r="L345" s="1">
        <v>0.03125</v>
      </c>
      <c r="M345" s="1">
        <v>0</v>
      </c>
      <c r="N345" s="1" t="s">
        <v>966</v>
      </c>
      <c r="O345" s="1" t="s">
        <v>503</v>
      </c>
      <c r="P345" s="1" t="s">
        <v>973</v>
      </c>
      <c r="Q345" s="1">
        <v>42999</v>
      </c>
      <c r="R345" s="14" t="s">
        <v>503</v>
      </c>
      <c r="S345" s="1" t="s">
        <v>22</v>
      </c>
      <c r="T345" s="1" t="s">
        <v>22</v>
      </c>
      <c r="U345" s="1" t="s">
        <v>22</v>
      </c>
    </row>
    <row r="346" spans="1:21" x14ac:dyDescent="0.25">
      <c r="A346" s="1" t="s">
        <v>1015</v>
      </c>
      <c r="B346" s="2" t="s">
        <v>1041</v>
      </c>
      <c r="C346" s="1" t="s">
        <v>1042</v>
      </c>
      <c r="D346" s="1" t="s">
        <v>503</v>
      </c>
      <c r="E346" s="1" t="s">
        <v>27</v>
      </c>
      <c r="F346" s="1">
        <v>42997</v>
      </c>
      <c r="G346" s="14" t="s">
        <v>28</v>
      </c>
      <c r="H346" t="s">
        <v>1043</v>
      </c>
      <c r="I346" s="2" t="s">
        <v>1044</v>
      </c>
      <c r="J346" s="2">
        <v>0.03125</v>
      </c>
      <c r="K346" s="1">
        <v>0.03125</v>
      </c>
      <c r="L346" s="1">
        <v>0.0625</v>
      </c>
      <c r="M346" s="1">
        <v>0</v>
      </c>
      <c r="N346" s="1" t="s">
        <v>966</v>
      </c>
      <c r="O346" s="1" t="s">
        <v>503</v>
      </c>
      <c r="P346" s="1" t="s">
        <v>973</v>
      </c>
      <c r="Q346" s="1">
        <v>42997</v>
      </c>
      <c r="R346" s="14" t="s">
        <v>503</v>
      </c>
      <c r="S346" s="1" t="s">
        <v>22</v>
      </c>
      <c r="T346" s="1" t="s">
        <v>22</v>
      </c>
      <c r="U346" s="1" t="s">
        <v>22</v>
      </c>
    </row>
    <row r="347" spans="1:21" x14ac:dyDescent="0.25">
      <c r="A347" s="1" t="s">
        <v>1015</v>
      </c>
      <c r="B347" s="2" t="s">
        <v>1041</v>
      </c>
      <c r="C347" s="1" t="s">
        <v>1042</v>
      </c>
      <c r="D347" s="1" t="s">
        <v>503</v>
      </c>
      <c r="E347" s="1" t="s">
        <v>27</v>
      </c>
      <c r="F347" s="1">
        <v>43001</v>
      </c>
      <c r="G347" s="14" t="s">
        <v>28</v>
      </c>
      <c r="H347" t="s">
        <v>1045</v>
      </c>
      <c r="I347" s="2" t="s">
        <v>1046</v>
      </c>
      <c r="J347" s="2">
        <v>0.03125</v>
      </c>
      <c r="K347" s="1">
        <v>0.03125</v>
      </c>
      <c r="L347" s="1">
        <v>0.0625</v>
      </c>
      <c r="M347" s="1">
        <v>0</v>
      </c>
      <c r="N347" s="1" t="s">
        <v>966</v>
      </c>
      <c r="O347" s="1" t="s">
        <v>503</v>
      </c>
      <c r="P347" s="1" t="s">
        <v>973</v>
      </c>
      <c r="Q347" s="1">
        <v>43001</v>
      </c>
      <c r="R347" s="14" t="s">
        <v>503</v>
      </c>
      <c r="S347" s="1" t="s">
        <v>22</v>
      </c>
      <c r="T347" s="1" t="s">
        <v>22</v>
      </c>
      <c r="U347" s="1" t="s">
        <v>22</v>
      </c>
    </row>
    <row r="348" spans="1:21" x14ac:dyDescent="0.25">
      <c r="A348" s="1" t="s">
        <v>1015</v>
      </c>
      <c r="B348" s="2" t="s">
        <v>1047</v>
      </c>
      <c r="C348" s="1" t="s">
        <v>989</v>
      </c>
      <c r="D348" s="1" t="s">
        <v>503</v>
      </c>
      <c r="E348" s="1" t="s">
        <v>37</v>
      </c>
      <c r="F348" s="1">
        <v>42997</v>
      </c>
      <c r="G348" s="14" t="s">
        <v>28</v>
      </c>
      <c r="H348" t="s">
        <v>1048</v>
      </c>
      <c r="I348" s="2" t="s">
        <v>1049</v>
      </c>
      <c r="J348" s="2">
        <v>0.03125</v>
      </c>
      <c r="K348" s="1">
        <v>0.03125</v>
      </c>
      <c r="L348" s="1">
        <v>0.0625</v>
      </c>
      <c r="M348" s="1">
        <v>0</v>
      </c>
      <c r="N348" s="1" t="s">
        <v>966</v>
      </c>
      <c r="O348" s="1" t="s">
        <v>503</v>
      </c>
      <c r="P348" s="1" t="s">
        <v>973</v>
      </c>
      <c r="Q348" s="1">
        <v>42997</v>
      </c>
      <c r="R348" s="14" t="s">
        <v>503</v>
      </c>
      <c r="S348" s="1" t="s">
        <v>22</v>
      </c>
      <c r="T348" s="1" t="s">
        <v>22</v>
      </c>
      <c r="U348" s="1" t="s">
        <v>22</v>
      </c>
    </row>
    <row r="349" spans="1:21" x14ac:dyDescent="0.25">
      <c r="A349" s="1" t="s">
        <v>1015</v>
      </c>
      <c r="B349" s="2" t="s">
        <v>1027</v>
      </c>
      <c r="C349" s="1" t="s">
        <v>261</v>
      </c>
      <c r="D349" s="1" t="s">
        <v>503</v>
      </c>
      <c r="E349" s="1" t="s">
        <v>27</v>
      </c>
      <c r="F349" s="1">
        <v>43006</v>
      </c>
      <c r="G349" s="14" t="s">
        <v>50</v>
      </c>
      <c r="H349" t="s">
        <v>1050</v>
      </c>
      <c r="I349" s="2" t="s">
        <v>1051</v>
      </c>
      <c r="J349" s="2">
        <v>0.03125</v>
      </c>
      <c r="K349" s="1">
        <v>0.03125</v>
      </c>
      <c r="L349" s="1">
        <v>0.0625</v>
      </c>
      <c r="M349" s="1">
        <v>0</v>
      </c>
      <c r="N349" s="1" t="s">
        <v>1001</v>
      </c>
      <c r="O349" s="1" t="s">
        <v>503</v>
      </c>
      <c r="P349" s="1" t="s">
        <v>973</v>
      </c>
      <c r="Q349" s="1">
        <v>43006</v>
      </c>
      <c r="R349" s="14" t="s">
        <v>503</v>
      </c>
      <c r="S349" s="1" t="s">
        <v>22</v>
      </c>
      <c r="T349" s="1" t="s">
        <v>22</v>
      </c>
      <c r="U349" s="1" t="s">
        <v>22</v>
      </c>
    </row>
    <row r="350" spans="1:21" x14ac:dyDescent="0.25">
      <c r="A350" s="1" t="s">
        <v>1052</v>
      </c>
      <c r="B350" s="2" t="s">
        <v>1009</v>
      </c>
      <c r="C350" s="1" t="s">
        <v>951</v>
      </c>
      <c r="D350" s="1" t="s">
        <v>503</v>
      </c>
      <c r="E350" s="1" t="s">
        <v>37</v>
      </c>
      <c r="F350" s="1">
        <v>43011</v>
      </c>
      <c r="G350" s="14" t="s">
        <v>28</v>
      </c>
      <c r="H350" t="s">
        <v>1053</v>
      </c>
      <c r="I350" s="2" t="s">
        <v>1054</v>
      </c>
      <c r="J350" s="2">
        <v>0.10416666666666667</v>
      </c>
      <c r="K350" s="1">
        <v>0.10416666666666667</v>
      </c>
      <c r="L350" s="1">
        <v>0.20833333333333334</v>
      </c>
      <c r="M350" s="1">
        <v>0</v>
      </c>
      <c r="N350" s="1" t="s">
        <v>956</v>
      </c>
      <c r="O350" s="1" t="s">
        <v>503</v>
      </c>
      <c r="P350" s="1" t="s">
        <v>973</v>
      </c>
      <c r="Q350" s="1">
        <v>43011</v>
      </c>
      <c r="R350" s="14" t="s">
        <v>503</v>
      </c>
      <c r="S350" s="1" t="s">
        <v>22</v>
      </c>
      <c r="T350" s="1" t="s">
        <v>22</v>
      </c>
      <c r="U350" s="1" t="s">
        <v>22</v>
      </c>
    </row>
    <row r="351" spans="1:21" x14ac:dyDescent="0.25">
      <c r="A351" s="1" t="s">
        <v>1052</v>
      </c>
      <c r="B351" s="2" t="s">
        <v>1038</v>
      </c>
      <c r="C351" s="1" t="s">
        <v>261</v>
      </c>
      <c r="D351" s="1" t="s">
        <v>503</v>
      </c>
      <c r="E351" s="1" t="s">
        <v>27</v>
      </c>
      <c r="F351" s="1">
        <v>43019</v>
      </c>
      <c r="G351" s="14" t="s">
        <v>50</v>
      </c>
      <c r="H351" t="s">
        <v>1055</v>
      </c>
      <c r="I351" s="2" t="s">
        <v>1056</v>
      </c>
      <c r="J351" s="2">
        <v>0.013888888888888888</v>
      </c>
      <c r="K351" s="1">
        <v>0.013888888888888888</v>
      </c>
      <c r="L351" s="1">
        <v>0.027777777777777776</v>
      </c>
      <c r="M351" s="1">
        <v>0</v>
      </c>
      <c r="N351" s="1" t="s">
        <v>956</v>
      </c>
      <c r="O351" s="1" t="s">
        <v>503</v>
      </c>
      <c r="P351" s="1" t="s">
        <v>973</v>
      </c>
      <c r="Q351" s="1">
        <v>43019</v>
      </c>
      <c r="R351" s="14" t="s">
        <v>503</v>
      </c>
      <c r="S351" s="1" t="s">
        <v>22</v>
      </c>
      <c r="T351" s="1" t="s">
        <v>22</v>
      </c>
      <c r="U351" s="1" t="s">
        <v>22</v>
      </c>
    </row>
    <row r="352" spans="1:21" x14ac:dyDescent="0.25">
      <c r="A352" s="1" t="s">
        <v>1015</v>
      </c>
      <c r="B352" s="2" t="s">
        <v>988</v>
      </c>
      <c r="C352" s="1" t="s">
        <v>989</v>
      </c>
      <c r="D352" s="1" t="s">
        <v>503</v>
      </c>
      <c r="E352" s="1" t="s">
        <v>27</v>
      </c>
      <c r="F352" s="1">
        <v>43000</v>
      </c>
      <c r="G352" s="14" t="s">
        <v>38</v>
      </c>
      <c r="H352" t="s">
        <v>1057</v>
      </c>
      <c r="I352" s="2" t="s">
        <v>1058</v>
      </c>
      <c r="J352" s="2">
        <v>0.14583333333333334</v>
      </c>
      <c r="K352" s="1">
        <v>0.14583333333333334</v>
      </c>
      <c r="L352" s="1">
        <v>0.2916666666666667</v>
      </c>
      <c r="M352" s="1">
        <v>0</v>
      </c>
      <c r="N352" s="1" t="s">
        <v>956</v>
      </c>
      <c r="O352" s="1" t="s">
        <v>503</v>
      </c>
      <c r="P352" s="1" t="s">
        <v>973</v>
      </c>
      <c r="Q352" s="1">
        <v>43000</v>
      </c>
      <c r="R352" s="14" t="s">
        <v>503</v>
      </c>
      <c r="S352" s="1" t="s">
        <v>22</v>
      </c>
      <c r="T352" s="1" t="s">
        <v>22</v>
      </c>
      <c r="U352" s="1" t="s">
        <v>22</v>
      </c>
    </row>
    <row r="353" spans="1:21" x14ac:dyDescent="0.25">
      <c r="A353" s="1" t="s">
        <v>1015</v>
      </c>
      <c r="B353" s="2" t="s">
        <v>1059</v>
      </c>
      <c r="C353" s="1" t="s">
        <v>261</v>
      </c>
      <c r="D353" s="1" t="s">
        <v>503</v>
      </c>
      <c r="E353" s="1" t="s">
        <v>37</v>
      </c>
      <c r="F353" s="1">
        <v>42999</v>
      </c>
      <c r="G353" s="14" t="s">
        <v>28</v>
      </c>
      <c r="H353" t="s">
        <v>1060</v>
      </c>
      <c r="I353" s="2" t="s">
        <v>1061</v>
      </c>
      <c r="J353" s="2">
        <v>0.3125</v>
      </c>
      <c r="K353" s="1">
        <v>0.3125</v>
      </c>
      <c r="L353" s="1">
        <v>0.625</v>
      </c>
      <c r="M353" s="1">
        <v>0</v>
      </c>
      <c r="N353" s="1" t="s">
        <v>956</v>
      </c>
      <c r="O353" s="1" t="s">
        <v>503</v>
      </c>
      <c r="P353" s="1" t="s">
        <v>973</v>
      </c>
      <c r="Q353" s="1">
        <v>42999</v>
      </c>
      <c r="R353" s="14" t="s">
        <v>503</v>
      </c>
      <c r="S353" s="1" t="s">
        <v>22</v>
      </c>
      <c r="T353" s="1" t="s">
        <v>22</v>
      </c>
      <c r="U353" s="1" t="s">
        <v>22</v>
      </c>
    </row>
    <row r="354" spans="1:21" x14ac:dyDescent="0.25">
      <c r="A354" s="1" t="s">
        <v>1052</v>
      </c>
      <c r="B354" s="2" t="s">
        <v>199</v>
      </c>
      <c r="C354" s="1" t="s">
        <v>541</v>
      </c>
      <c r="D354" s="1" t="s">
        <v>503</v>
      </c>
      <c r="E354" s="1" t="s">
        <v>37</v>
      </c>
      <c r="F354" s="1">
        <v>43020</v>
      </c>
      <c r="G354" s="14" t="s">
        <v>670</v>
      </c>
      <c r="H354" t="s">
        <v>1062</v>
      </c>
      <c r="I354" s="2" t="s">
        <v>1063</v>
      </c>
      <c r="J354" s="2">
        <v>0.005208333333333333</v>
      </c>
      <c r="K354" s="1">
        <v>0.005208333333333333</v>
      </c>
      <c r="L354" s="1">
        <v>0.010416666666666666</v>
      </c>
      <c r="M354" s="1">
        <v>0</v>
      </c>
      <c r="N354" s="1" t="s">
        <v>956</v>
      </c>
      <c r="O354" s="1" t="s">
        <v>503</v>
      </c>
      <c r="P354" s="1" t="s">
        <v>973</v>
      </c>
      <c r="Q354" s="1">
        <v>43020</v>
      </c>
      <c r="R354" s="14" t="s">
        <v>503</v>
      </c>
      <c r="S354" s="1" t="s">
        <v>22</v>
      </c>
      <c r="T354" s="1" t="s">
        <v>22</v>
      </c>
      <c r="U354" s="1" t="s">
        <v>22</v>
      </c>
    </row>
    <row r="355" spans="1:21" x14ac:dyDescent="0.25">
      <c r="A355" s="1" t="s">
        <v>1052</v>
      </c>
      <c r="B355" s="2" t="s">
        <v>796</v>
      </c>
      <c r="C355" s="1" t="s">
        <v>285</v>
      </c>
      <c r="D355" s="1" t="s">
        <v>503</v>
      </c>
      <c r="E355" s="1" t="s">
        <v>27</v>
      </c>
      <c r="F355" s="1">
        <v>43024</v>
      </c>
      <c r="G355" s="14" t="s">
        <v>38</v>
      </c>
      <c r="H355" t="s">
        <v>1064</v>
      </c>
      <c r="I355" s="2" t="s">
        <v>1065</v>
      </c>
      <c r="J355" s="2">
        <v>0.1875</v>
      </c>
      <c r="K355" s="1">
        <v>0.1875</v>
      </c>
      <c r="L355" s="1">
        <v>0.375</v>
      </c>
      <c r="M355" s="1">
        <v>0</v>
      </c>
      <c r="N355" s="1" t="s">
        <v>956</v>
      </c>
      <c r="O355" s="1" t="s">
        <v>503</v>
      </c>
      <c r="P355" s="1" t="s">
        <v>973</v>
      </c>
      <c r="Q355" s="1">
        <v>43024</v>
      </c>
      <c r="R355" s="14" t="s">
        <v>503</v>
      </c>
      <c r="S355" s="1" t="s">
        <v>22</v>
      </c>
      <c r="T355" s="1" t="s">
        <v>22</v>
      </c>
      <c r="U355" s="1" t="s">
        <v>22</v>
      </c>
    </row>
    <row r="356" spans="1:21" x14ac:dyDescent="0.25">
      <c r="A356" s="1" t="s">
        <v>1052</v>
      </c>
      <c r="B356" s="2" t="s">
        <v>1041</v>
      </c>
      <c r="C356" s="1" t="s">
        <v>1042</v>
      </c>
      <c r="D356" s="1" t="s">
        <v>503</v>
      </c>
      <c r="E356" s="1" t="s">
        <v>37</v>
      </c>
      <c r="F356" s="1">
        <v>43025</v>
      </c>
      <c r="G356" s="14" t="s">
        <v>953</v>
      </c>
      <c r="H356" t="s">
        <v>1066</v>
      </c>
      <c r="I356" s="2" t="s">
        <v>1067</v>
      </c>
      <c r="J356" s="2">
        <v>0.005208333333333333</v>
      </c>
      <c r="K356" s="1">
        <v>0.005208333333333333</v>
      </c>
      <c r="L356" s="1">
        <v>0.010416666666666666</v>
      </c>
      <c r="M356" s="1">
        <v>0</v>
      </c>
      <c r="N356" s="1" t="s">
        <v>966</v>
      </c>
      <c r="O356" s="1" t="s">
        <v>503</v>
      </c>
      <c r="P356" s="1" t="s">
        <v>973</v>
      </c>
      <c r="Q356" s="1">
        <v>43025</v>
      </c>
      <c r="R356" s="14" t="s">
        <v>503</v>
      </c>
      <c r="S356" s="1" t="s">
        <v>22</v>
      </c>
      <c r="T356" s="1" t="s">
        <v>22</v>
      </c>
      <c r="U356" s="1" t="s">
        <v>22</v>
      </c>
    </row>
    <row r="357" spans="1:21" x14ac:dyDescent="0.25">
      <c r="A357" s="1" t="s">
        <v>1052</v>
      </c>
      <c r="B357" s="2" t="s">
        <v>1012</v>
      </c>
      <c r="C357" s="1" t="s">
        <v>25</v>
      </c>
      <c r="D357" s="1" t="s">
        <v>503</v>
      </c>
      <c r="E357" s="1" t="s">
        <v>27</v>
      </c>
      <c r="F357" s="1">
        <v>43026</v>
      </c>
      <c r="G357" s="14" t="s">
        <v>28</v>
      </c>
      <c r="H357" t="s">
        <v>1068</v>
      </c>
      <c r="I357" s="2" t="s">
        <v>1069</v>
      </c>
      <c r="J357" s="2">
        <v>0.052083333333333336</v>
      </c>
      <c r="K357" s="1">
        <v>0.052083333333333336</v>
      </c>
      <c r="L357" s="1">
        <v>0.10416666666666667</v>
      </c>
      <c r="M357" s="1">
        <v>0</v>
      </c>
      <c r="N357" s="1" t="s">
        <v>1001</v>
      </c>
      <c r="O357" s="1" t="s">
        <v>503</v>
      </c>
      <c r="P357" s="1" t="s">
        <v>973</v>
      </c>
      <c r="Q357" s="1">
        <v>43026</v>
      </c>
      <c r="R357" s="14" t="s">
        <v>503</v>
      </c>
      <c r="S357" s="1" t="s">
        <v>22</v>
      </c>
      <c r="T357" s="1" t="s">
        <v>22</v>
      </c>
      <c r="U357" s="1" t="s">
        <v>22</v>
      </c>
    </row>
    <row r="358" spans="1:21" x14ac:dyDescent="0.25">
      <c r="A358" s="1" t="s">
        <v>1052</v>
      </c>
      <c r="B358" s="2" t="s">
        <v>1012</v>
      </c>
      <c r="C358" s="1" t="s">
        <v>25</v>
      </c>
      <c r="D358" s="1" t="s">
        <v>503</v>
      </c>
      <c r="E358" s="1" t="s">
        <v>952</v>
      </c>
      <c r="F358" s="1">
        <v>43033</v>
      </c>
      <c r="G358" s="14" t="s">
        <v>28</v>
      </c>
      <c r="H358" t="s">
        <v>1070</v>
      </c>
      <c r="I358" s="2" t="s">
        <v>1071</v>
      </c>
      <c r="J358" s="2">
        <v>0.08333333333333333</v>
      </c>
      <c r="K358" s="1">
        <v>0.08333333333333333</v>
      </c>
      <c r="L358" s="1">
        <v>0.16666666666666666</v>
      </c>
      <c r="M358" s="1">
        <v>0</v>
      </c>
      <c r="N358" s="1" t="s">
        <v>1001</v>
      </c>
      <c r="O358" s="1" t="s">
        <v>503</v>
      </c>
      <c r="P358" s="1" t="s">
        <v>973</v>
      </c>
      <c r="Q358" s="1">
        <v>43033</v>
      </c>
      <c r="R358" s="14" t="s">
        <v>503</v>
      </c>
      <c r="S358" s="1" t="s">
        <v>22</v>
      </c>
      <c r="T358" s="1" t="s">
        <v>22</v>
      </c>
      <c r="U358" s="1" t="s">
        <v>22</v>
      </c>
    </row>
    <row r="359" spans="1:21" x14ac:dyDescent="0.25">
      <c r="A359" s="1" t="s">
        <v>1052</v>
      </c>
      <c r="B359" s="2" t="s">
        <v>1009</v>
      </c>
      <c r="C359" s="1" t="s">
        <v>951</v>
      </c>
      <c r="D359" s="1" t="s">
        <v>503</v>
      </c>
      <c r="E359" s="1" t="s">
        <v>952</v>
      </c>
      <c r="F359" s="1">
        <v>43033</v>
      </c>
      <c r="G359" s="14" t="s">
        <v>28</v>
      </c>
      <c r="H359" t="s">
        <v>1072</v>
      </c>
      <c r="I359" s="2" t="s">
        <v>1071</v>
      </c>
      <c r="J359" s="2">
        <v>0.013888888888888888</v>
      </c>
      <c r="K359" s="1">
        <v>0.013888888888888888</v>
      </c>
      <c r="L359" s="1">
        <v>0.027777777777777776</v>
      </c>
      <c r="M359" s="1">
        <v>0</v>
      </c>
      <c r="N359" s="1" t="s">
        <v>956</v>
      </c>
      <c r="O359" s="1" t="s">
        <v>503</v>
      </c>
      <c r="P359" s="1" t="s">
        <v>973</v>
      </c>
      <c r="Q359" s="1">
        <v>43033</v>
      </c>
      <c r="R359" s="14" t="s">
        <v>503</v>
      </c>
      <c r="S359" s="1" t="s">
        <v>22</v>
      </c>
      <c r="T359" s="1" t="s">
        <v>22</v>
      </c>
      <c r="U359" s="1" t="s">
        <v>22</v>
      </c>
    </row>
    <row r="360" spans="1:21" x14ac:dyDescent="0.25">
      <c r="A360" s="1" t="s">
        <v>1052</v>
      </c>
      <c r="B360" s="2" t="s">
        <v>1047</v>
      </c>
      <c r="C360" s="1" t="s">
        <v>989</v>
      </c>
      <c r="D360" s="1" t="s">
        <v>503</v>
      </c>
      <c r="E360" s="1" t="s">
        <v>37</v>
      </c>
      <c r="F360" s="1">
        <v>43033</v>
      </c>
      <c r="G360" s="14" t="s">
        <v>1073</v>
      </c>
      <c r="H360" t="s">
        <v>1074</v>
      </c>
      <c r="I360" s="2" t="s">
        <v>1075</v>
      </c>
      <c r="J360" s="2">
        <v>0.010416666666666666</v>
      </c>
      <c r="K360" s="1">
        <v>0.010416666666666666</v>
      </c>
      <c r="L360" s="1">
        <v>0.020833333333333332</v>
      </c>
      <c r="M360" s="1">
        <v>0</v>
      </c>
      <c r="N360" s="1" t="s">
        <v>966</v>
      </c>
      <c r="O360" s="1" t="s">
        <v>503</v>
      </c>
      <c r="P360" s="1" t="s">
        <v>973</v>
      </c>
      <c r="Q360" s="1">
        <v>43033</v>
      </c>
      <c r="R360" s="14" t="s">
        <v>503</v>
      </c>
      <c r="S360" s="1" t="s">
        <v>22</v>
      </c>
      <c r="T360" s="1" t="s">
        <v>22</v>
      </c>
      <c r="U360" s="1" t="s">
        <v>22</v>
      </c>
    </row>
    <row r="361" spans="1:21" x14ac:dyDescent="0.25">
      <c r="A361" s="1" t="s">
        <v>1052</v>
      </c>
      <c r="B361" s="2" t="s">
        <v>1012</v>
      </c>
      <c r="C361" s="1" t="s">
        <v>25</v>
      </c>
      <c r="D361" s="1" t="s">
        <v>503</v>
      </c>
      <c r="E361" s="1" t="s">
        <v>27</v>
      </c>
      <c r="F361" s="1">
        <v>43034</v>
      </c>
      <c r="G361" s="14" t="s">
        <v>28</v>
      </c>
      <c r="H361" t="s">
        <v>1076</v>
      </c>
      <c r="I361" s="2" t="s">
        <v>1077</v>
      </c>
      <c r="J361" s="2">
        <v>0.010416666666666666</v>
      </c>
      <c r="K361" s="1">
        <v>0.010416666666666666</v>
      </c>
      <c r="L361" s="1">
        <v>0.020833333333333332</v>
      </c>
      <c r="M361" s="1">
        <v>0</v>
      </c>
      <c r="N361" s="1" t="s">
        <v>1001</v>
      </c>
      <c r="O361" s="1" t="s">
        <v>503</v>
      </c>
      <c r="P361" s="1" t="s">
        <v>973</v>
      </c>
      <c r="Q361" s="1">
        <v>43034</v>
      </c>
      <c r="R361" s="14" t="s">
        <v>503</v>
      </c>
      <c r="S361" s="1" t="s">
        <v>22</v>
      </c>
      <c r="T361" s="1" t="s">
        <v>22</v>
      </c>
      <c r="U361" s="1" t="s">
        <v>22</v>
      </c>
    </row>
    <row r="362" spans="1:21" x14ac:dyDescent="0.25">
      <c r="A362" s="1" t="s">
        <v>1078</v>
      </c>
      <c r="B362" s="2" t="s">
        <v>1012</v>
      </c>
      <c r="C362" s="1" t="s">
        <v>25</v>
      </c>
      <c r="D362" s="1" t="s">
        <v>503</v>
      </c>
      <c r="E362" s="1" t="s">
        <v>27</v>
      </c>
      <c r="F362" s="1">
        <v>43040</v>
      </c>
      <c r="G362" s="14" t="s">
        <v>28</v>
      </c>
      <c r="H362" t="s">
        <v>1079</v>
      </c>
      <c r="I362" s="2" t="s">
        <v>1080</v>
      </c>
      <c r="J362" s="2">
        <v>0.020833333333333332</v>
      </c>
      <c r="K362" s="1">
        <v>0.020833333333333332</v>
      </c>
      <c r="L362" s="1">
        <v>0.041666666666666664</v>
      </c>
      <c r="M362" s="1">
        <v>0</v>
      </c>
      <c r="N362" s="1" t="s">
        <v>1001</v>
      </c>
      <c r="O362" s="1" t="s">
        <v>503</v>
      </c>
      <c r="P362" s="1" t="s">
        <v>973</v>
      </c>
      <c r="Q362" s="1">
        <v>43040</v>
      </c>
      <c r="R362" s="14" t="s">
        <v>503</v>
      </c>
      <c r="S362" s="1" t="s">
        <v>22</v>
      </c>
      <c r="T362" s="1" t="s">
        <v>22</v>
      </c>
      <c r="U362" s="1" t="s">
        <v>22</v>
      </c>
    </row>
    <row r="363" spans="1:21" x14ac:dyDescent="0.25">
      <c r="A363" s="1" t="s">
        <v>1078</v>
      </c>
      <c r="B363" s="2" t="s">
        <v>988</v>
      </c>
      <c r="C363" s="1" t="s">
        <v>989</v>
      </c>
      <c r="D363" s="1" t="s">
        <v>503</v>
      </c>
      <c r="E363" s="1" t="s">
        <v>37</v>
      </c>
      <c r="F363" s="1">
        <v>43048</v>
      </c>
      <c r="G363" s="14" t="s">
        <v>28</v>
      </c>
      <c r="H363" t="s">
        <v>1081</v>
      </c>
      <c r="I363" s="2" t="s">
        <v>1082</v>
      </c>
      <c r="J363" s="2">
        <v>0.010416666666666666</v>
      </c>
      <c r="K363" s="1">
        <v>0.010416666666666666</v>
      </c>
      <c r="L363" s="1">
        <v>0.020833333333333332</v>
      </c>
      <c r="M363" s="1">
        <v>0</v>
      </c>
      <c r="N363" s="1" t="s">
        <v>956</v>
      </c>
      <c r="O363" s="1" t="s">
        <v>503</v>
      </c>
      <c r="P363" s="1" t="s">
        <v>973</v>
      </c>
      <c r="Q363" s="1">
        <v>43048</v>
      </c>
      <c r="R363" s="14" t="s">
        <v>503</v>
      </c>
      <c r="S363" s="1" t="s">
        <v>22</v>
      </c>
      <c r="T363" s="1" t="s">
        <v>22</v>
      </c>
      <c r="U363" s="1" t="s">
        <v>22</v>
      </c>
    </row>
    <row r="364" spans="1:21" x14ac:dyDescent="0.25">
      <c r="A364" s="1" t="s">
        <v>1078</v>
      </c>
      <c r="B364" s="2" t="s">
        <v>1024</v>
      </c>
      <c r="C364" s="1" t="s">
        <v>285</v>
      </c>
      <c r="D364" s="1" t="s">
        <v>503</v>
      </c>
      <c r="E364" s="1" t="s">
        <v>27</v>
      </c>
      <c r="F364" s="1">
        <v>43053</v>
      </c>
      <c r="G364" s="14" t="s">
        <v>28</v>
      </c>
      <c r="H364" t="s">
        <v>1083</v>
      </c>
      <c r="I364" s="2" t="s">
        <v>1084</v>
      </c>
      <c r="J364" s="2">
        <v>0.020833333333333332</v>
      </c>
      <c r="K364" s="1">
        <v>0.020833333333333332</v>
      </c>
      <c r="L364" s="1">
        <v>0.041666666666666664</v>
      </c>
      <c r="M364" s="1">
        <v>0</v>
      </c>
      <c r="N364" s="1" t="s">
        <v>1001</v>
      </c>
      <c r="O364" s="1" t="s">
        <v>503</v>
      </c>
      <c r="P364" s="1" t="s">
        <v>973</v>
      </c>
      <c r="Q364" s="1">
        <v>43053</v>
      </c>
      <c r="R364" s="14" t="s">
        <v>503</v>
      </c>
      <c r="S364" s="1" t="s">
        <v>22</v>
      </c>
      <c r="T364" s="1" t="s">
        <v>22</v>
      </c>
      <c r="U364" s="1" t="s">
        <v>22</v>
      </c>
    </row>
    <row r="365" spans="1:21" x14ac:dyDescent="0.25">
      <c r="A365" s="1" t="s">
        <v>1078</v>
      </c>
      <c r="B365" s="2" t="s">
        <v>288</v>
      </c>
      <c r="C365" s="1" t="s">
        <v>25</v>
      </c>
      <c r="D365" s="1" t="s">
        <v>503</v>
      </c>
      <c r="E365" s="1" t="s">
        <v>27</v>
      </c>
      <c r="F365" s="1">
        <v>43060</v>
      </c>
      <c r="G365" s="14" t="s">
        <v>50</v>
      </c>
      <c r="H365" t="s">
        <v>1085</v>
      </c>
      <c r="I365" s="2" t="s">
        <v>1086</v>
      </c>
      <c r="J365" s="2">
        <v>0.013888888888888888</v>
      </c>
      <c r="K365" s="1">
        <v>0.013888888888888888</v>
      </c>
      <c r="L365" s="1">
        <v>0.027777777777777776</v>
      </c>
      <c r="M365" s="1">
        <v>0</v>
      </c>
      <c r="N365" s="1" t="s">
        <v>956</v>
      </c>
      <c r="O365" s="1" t="s">
        <v>503</v>
      </c>
      <c r="P365" s="1" t="s">
        <v>973</v>
      </c>
      <c r="Q365" s="1">
        <v>43060</v>
      </c>
      <c r="R365" s="14" t="s">
        <v>503</v>
      </c>
      <c r="S365" s="1" t="s">
        <v>22</v>
      </c>
      <c r="T365" s="1" t="s">
        <v>22</v>
      </c>
      <c r="U365" s="1" t="s">
        <v>22</v>
      </c>
    </row>
    <row r="366" spans="1:21" x14ac:dyDescent="0.25">
      <c r="A366" s="1" t="s">
        <v>1078</v>
      </c>
      <c r="B366" s="2" t="s">
        <v>1087</v>
      </c>
      <c r="C366" s="1" t="s">
        <v>186</v>
      </c>
      <c r="D366" s="1" t="s">
        <v>503</v>
      </c>
      <c r="E366" s="1" t="s">
        <v>37</v>
      </c>
      <c r="F366" s="1">
        <v>43067</v>
      </c>
      <c r="G366" s="14" t="s">
        <v>28</v>
      </c>
      <c r="H366" t="s">
        <v>1088</v>
      </c>
      <c r="I366" s="2" t="s">
        <v>1089</v>
      </c>
      <c r="J366" s="2">
        <v>0.08333333333333333</v>
      </c>
      <c r="K366" s="1">
        <v>0.08333333333333333</v>
      </c>
      <c r="L366" s="1">
        <v>0.16666666666666666</v>
      </c>
      <c r="M366" s="1">
        <v>0</v>
      </c>
      <c r="N366" s="1" t="s">
        <v>966</v>
      </c>
      <c r="O366" s="1" t="s">
        <v>503</v>
      </c>
      <c r="P366" s="1" t="s">
        <v>973</v>
      </c>
      <c r="Q366" s="1">
        <v>43067</v>
      </c>
      <c r="R366" s="14" t="s">
        <v>503</v>
      </c>
      <c r="S366" s="1" t="s">
        <v>22</v>
      </c>
      <c r="T366" s="1" t="s">
        <v>22</v>
      </c>
      <c r="U366" s="1" t="s">
        <v>22</v>
      </c>
    </row>
    <row r="367" spans="1:21" x14ac:dyDescent="0.25">
      <c r="A367" s="1" t="s">
        <v>1090</v>
      </c>
      <c r="B367" s="2" t="s">
        <v>1009</v>
      </c>
      <c r="C367" s="1" t="s">
        <v>951</v>
      </c>
      <c r="D367" s="1" t="s">
        <v>503</v>
      </c>
      <c r="E367" s="1" t="s">
        <v>37</v>
      </c>
      <c r="F367" s="1">
        <v>43070</v>
      </c>
      <c r="G367" s="14" t="s">
        <v>28</v>
      </c>
      <c r="H367" t="s">
        <v>1091</v>
      </c>
      <c r="I367" s="2" t="s">
        <v>1092</v>
      </c>
      <c r="J367" s="2">
        <v>0.041666666666666664</v>
      </c>
      <c r="K367" s="1">
        <v>0.041666666666666664</v>
      </c>
      <c r="L367" s="1">
        <v>0.08333333333333333</v>
      </c>
      <c r="M367" s="1">
        <v>0</v>
      </c>
      <c r="N367" s="1" t="s">
        <v>956</v>
      </c>
      <c r="O367" s="1" t="s">
        <v>503</v>
      </c>
      <c r="P367" s="1" t="s">
        <v>973</v>
      </c>
      <c r="Q367" s="1">
        <v>43070</v>
      </c>
      <c r="R367" s="14" t="s">
        <v>503</v>
      </c>
      <c r="S367" s="1" t="s">
        <v>22</v>
      </c>
      <c r="T367" s="1" t="s">
        <v>22</v>
      </c>
      <c r="U367" s="1" t="s">
        <v>22</v>
      </c>
    </row>
    <row r="368" spans="1:21" x14ac:dyDescent="0.25">
      <c r="A368" s="1" t="s">
        <v>1090</v>
      </c>
      <c r="B368" s="2" t="s">
        <v>1093</v>
      </c>
      <c r="C368" s="1" t="s">
        <v>25</v>
      </c>
      <c r="D368" s="1" t="s">
        <v>503</v>
      </c>
      <c r="E368" s="1" t="s">
        <v>27</v>
      </c>
      <c r="F368" s="1">
        <v>43075</v>
      </c>
      <c r="G368" s="14" t="s">
        <v>28</v>
      </c>
      <c r="H368" t="s">
        <v>1094</v>
      </c>
      <c r="I368" s="2" t="s">
        <v>1095</v>
      </c>
      <c r="J368" s="2">
        <v>0.006944444444444444</v>
      </c>
      <c r="K368" s="1">
        <v>0.006944444444444444</v>
      </c>
      <c r="L368" s="1">
        <v>0.013888888888888888</v>
      </c>
      <c r="M368" s="1">
        <v>0</v>
      </c>
      <c r="N368" s="1" t="s">
        <v>966</v>
      </c>
      <c r="O368" s="1" t="s">
        <v>503</v>
      </c>
      <c r="P368" s="1" t="s">
        <v>973</v>
      </c>
      <c r="Q368" s="1">
        <v>43075</v>
      </c>
      <c r="R368" s="14" t="s">
        <v>503</v>
      </c>
      <c r="S368" s="1" t="s">
        <v>22</v>
      </c>
      <c r="T368" s="1" t="s">
        <v>22</v>
      </c>
      <c r="U368" s="1" t="s">
        <v>22</v>
      </c>
    </row>
    <row r="369" spans="1:21" x14ac:dyDescent="0.25">
      <c r="A369" s="1" t="s">
        <v>1090</v>
      </c>
      <c r="B369" s="2" t="s">
        <v>1096</v>
      </c>
      <c r="C369" s="1" t="s">
        <v>541</v>
      </c>
      <c r="D369" s="1" t="s">
        <v>503</v>
      </c>
      <c r="E369" s="1" t="s">
        <v>27</v>
      </c>
      <c r="F369" s="1">
        <v>43077</v>
      </c>
      <c r="G369" s="14" t="s">
        <v>28</v>
      </c>
      <c r="H369" t="s">
        <v>1097</v>
      </c>
      <c r="I369" s="2" t="s">
        <v>1098</v>
      </c>
      <c r="J369" s="2">
        <v>0.006944444444444444</v>
      </c>
      <c r="K369" s="1">
        <v>0.006944444444444444</v>
      </c>
      <c r="L369" s="1">
        <v>0.013888888888888888</v>
      </c>
      <c r="M369" s="1">
        <v>0</v>
      </c>
      <c r="N369" s="1" t="s">
        <v>966</v>
      </c>
      <c r="O369" s="1" t="s">
        <v>503</v>
      </c>
      <c r="P369" s="1" t="s">
        <v>973</v>
      </c>
      <c r="Q369" s="1">
        <v>43077</v>
      </c>
      <c r="R369" s="14" t="s">
        <v>503</v>
      </c>
      <c r="S369" s="1" t="s">
        <v>22</v>
      </c>
      <c r="T369" s="1" t="s">
        <v>22</v>
      </c>
      <c r="U369" s="1" t="s">
        <v>22</v>
      </c>
    </row>
    <row r="370" spans="1:21" x14ac:dyDescent="0.25">
      <c r="A370" s="1" t="s">
        <v>1090</v>
      </c>
      <c r="B370" s="2" t="s">
        <v>796</v>
      </c>
      <c r="C370" s="1" t="s">
        <v>285</v>
      </c>
      <c r="D370" s="1" t="s">
        <v>503</v>
      </c>
      <c r="E370" s="1" t="s">
        <v>27</v>
      </c>
      <c r="F370" s="1">
        <v>43076</v>
      </c>
      <c r="G370" s="14" t="s">
        <v>28</v>
      </c>
      <c r="H370" t="s">
        <v>1099</v>
      </c>
      <c r="I370" s="2" t="s">
        <v>1100</v>
      </c>
      <c r="J370" s="2">
        <v>0.10416666666666667</v>
      </c>
      <c r="K370" s="1">
        <v>0.10416666666666667</v>
      </c>
      <c r="L370" s="1">
        <v>0.20833333333333334</v>
      </c>
      <c r="M370" s="1">
        <v>0</v>
      </c>
      <c r="N370" s="1" t="s">
        <v>956</v>
      </c>
      <c r="O370" s="1" t="s">
        <v>503</v>
      </c>
      <c r="P370" s="1" t="s">
        <v>973</v>
      </c>
      <c r="Q370" s="1">
        <v>43076</v>
      </c>
      <c r="R370" s="14" t="s">
        <v>503</v>
      </c>
      <c r="S370" s="1" t="s">
        <v>22</v>
      </c>
      <c r="T370" s="1" t="s">
        <v>22</v>
      </c>
      <c r="U370" s="1" t="s">
        <v>22</v>
      </c>
    </row>
    <row r="371" spans="1:21" x14ac:dyDescent="0.25">
      <c r="A371" s="1" t="s">
        <v>1090</v>
      </c>
      <c r="B371" s="2" t="s">
        <v>1041</v>
      </c>
      <c r="C371" s="1" t="s">
        <v>1042</v>
      </c>
      <c r="D371" s="1" t="s">
        <v>503</v>
      </c>
      <c r="E371" s="1" t="s">
        <v>952</v>
      </c>
      <c r="F371" s="1">
        <v>43077</v>
      </c>
      <c r="G371" s="14" t="s">
        <v>28</v>
      </c>
      <c r="H371" t="s">
        <v>1101</v>
      </c>
      <c r="I371" s="2" t="s">
        <v>1102</v>
      </c>
      <c r="J371" s="2">
        <v>0.3125</v>
      </c>
      <c r="K371" s="1">
        <v>0.3125</v>
      </c>
      <c r="L371" s="1">
        <v>0.625</v>
      </c>
      <c r="M371" s="1">
        <v>0</v>
      </c>
      <c r="N371" s="1" t="s">
        <v>966</v>
      </c>
      <c r="O371" s="1" t="s">
        <v>503</v>
      </c>
      <c r="P371" s="1" t="s">
        <v>973</v>
      </c>
      <c r="Q371" s="1">
        <v>43077</v>
      </c>
      <c r="R371" s="14" t="s">
        <v>503</v>
      </c>
      <c r="S371" s="1" t="s">
        <v>22</v>
      </c>
      <c r="T371" s="1" t="s">
        <v>22</v>
      </c>
      <c r="U371" s="1" t="s">
        <v>22</v>
      </c>
    </row>
    <row r="372" spans="1:21" x14ac:dyDescent="0.25">
      <c r="A372" s="1" t="s">
        <v>1090</v>
      </c>
      <c r="B372" s="2" t="s">
        <v>1103</v>
      </c>
      <c r="C372" s="1" t="s">
        <v>1104</v>
      </c>
      <c r="D372" s="1" t="s">
        <v>503</v>
      </c>
      <c r="E372" s="1" t="s">
        <v>37</v>
      </c>
      <c r="F372" s="1">
        <v>43080</v>
      </c>
      <c r="G372" s="14" t="s">
        <v>28</v>
      </c>
      <c r="H372" t="s">
        <v>1105</v>
      </c>
      <c r="I372" s="2" t="s">
        <v>1106</v>
      </c>
      <c r="J372" s="2">
        <v>0.013888888888888888</v>
      </c>
      <c r="K372" s="1">
        <v>0.013888888888888888</v>
      </c>
      <c r="L372" s="1">
        <v>0.027777777777777776</v>
      </c>
      <c r="M372" s="1">
        <v>0</v>
      </c>
      <c r="N372" s="1" t="s">
        <v>966</v>
      </c>
      <c r="O372" s="1" t="s">
        <v>503</v>
      </c>
      <c r="P372" s="1" t="s">
        <v>973</v>
      </c>
      <c r="Q372" s="1">
        <v>43080</v>
      </c>
      <c r="R372" s="14" t="s">
        <v>503</v>
      </c>
      <c r="S372" s="1" t="s">
        <v>22</v>
      </c>
      <c r="T372" s="1" t="s">
        <v>22</v>
      </c>
      <c r="U372" s="1" t="s">
        <v>22</v>
      </c>
    </row>
    <row r="373" spans="1:21" x14ac:dyDescent="0.25">
      <c r="A373" s="1" t="s">
        <v>1090</v>
      </c>
      <c r="B373" s="2" t="s">
        <v>288</v>
      </c>
      <c r="C373" s="1" t="s">
        <v>25</v>
      </c>
      <c r="D373" s="1" t="s">
        <v>503</v>
      </c>
      <c r="E373" s="1" t="s">
        <v>952</v>
      </c>
      <c r="F373" s="1">
        <v>43082</v>
      </c>
      <c r="G373" s="14" t="s">
        <v>28</v>
      </c>
      <c r="H373" t="s">
        <v>1107</v>
      </c>
      <c r="I373" s="2" t="s">
        <v>1108</v>
      </c>
      <c r="J373" s="2">
        <v>0.010416666666666666</v>
      </c>
      <c r="K373" s="1">
        <v>0.010416666666666666</v>
      </c>
      <c r="L373" s="1">
        <v>0.020833333333333332</v>
      </c>
      <c r="M373" s="1">
        <v>0</v>
      </c>
      <c r="N373" s="1" t="s">
        <v>956</v>
      </c>
      <c r="O373" s="1" t="s">
        <v>503</v>
      </c>
      <c r="P373" s="1" t="s">
        <v>973</v>
      </c>
      <c r="Q373" s="1">
        <v>43082</v>
      </c>
      <c r="R373" s="14" t="s">
        <v>503</v>
      </c>
      <c r="S373" s="1" t="s">
        <v>22</v>
      </c>
      <c r="T373" s="1" t="s">
        <v>22</v>
      </c>
      <c r="U373" s="1" t="s">
        <v>22</v>
      </c>
    </row>
    <row r="374" spans="1:21" x14ac:dyDescent="0.25">
      <c r="A374" s="1" t="s">
        <v>1090</v>
      </c>
      <c r="B374" s="2" t="s">
        <v>545</v>
      </c>
      <c r="C374" s="1" t="s">
        <v>963</v>
      </c>
      <c r="D374" s="1" t="s">
        <v>503</v>
      </c>
      <c r="E374" s="1" t="s">
        <v>37</v>
      </c>
      <c r="F374" s="1">
        <v>43091</v>
      </c>
      <c r="G374" s="14" t="s">
        <v>28</v>
      </c>
      <c r="H374" t="s">
        <v>1109</v>
      </c>
      <c r="I374" s="2" t="s">
        <v>1110</v>
      </c>
      <c r="J374" s="2">
        <v>0.020833333333333332</v>
      </c>
      <c r="K374" s="1">
        <v>0.020833333333333332</v>
      </c>
      <c r="L374" s="1">
        <v>0.041666666666666664</v>
      </c>
      <c r="M374" s="1">
        <v>0</v>
      </c>
      <c r="N374" s="1" t="s">
        <v>956</v>
      </c>
      <c r="O374" s="1" t="s">
        <v>503</v>
      </c>
      <c r="P374" s="1" t="s">
        <v>973</v>
      </c>
      <c r="Q374" s="1">
        <v>43091</v>
      </c>
      <c r="R374" s="14" t="s">
        <v>503</v>
      </c>
      <c r="S374" s="1" t="s">
        <v>22</v>
      </c>
      <c r="T374" s="1" t="s">
        <v>22</v>
      </c>
      <c r="U374" s="1" t="s">
        <v>22</v>
      </c>
    </row>
    <row r="375" spans="1:21" x14ac:dyDescent="0.25">
      <c r="A375" s="1" t="s">
        <v>1090</v>
      </c>
      <c r="B375" s="2" t="s">
        <v>1111</v>
      </c>
      <c r="C375" s="1" t="s">
        <v>1112</v>
      </c>
      <c r="D375" s="1" t="s">
        <v>503</v>
      </c>
      <c r="E375" s="1" t="s">
        <v>952</v>
      </c>
      <c r="F375" s="1">
        <v>43097</v>
      </c>
      <c r="G375" s="14" t="s">
        <v>28</v>
      </c>
      <c r="H375" t="s">
        <v>1113</v>
      </c>
      <c r="I375" s="2" t="s">
        <v>1114</v>
      </c>
      <c r="J375" s="2">
        <v>0.07291666666666667</v>
      </c>
      <c r="K375" s="1">
        <v>0.07291666666666667</v>
      </c>
      <c r="L375" s="1">
        <v>0.14583333333333334</v>
      </c>
      <c r="M375" s="1">
        <v>0</v>
      </c>
      <c r="N375" s="1" t="s">
        <v>956</v>
      </c>
      <c r="O375" s="1" t="s">
        <v>503</v>
      </c>
      <c r="P375" s="1" t="s">
        <v>973</v>
      </c>
      <c r="Q375" s="1">
        <v>43097</v>
      </c>
      <c r="R375" s="14" t="s">
        <v>503</v>
      </c>
      <c r="S375" s="1" t="s">
        <v>22</v>
      </c>
      <c r="T375" s="1" t="s">
        <v>22</v>
      </c>
      <c r="U375" s="1" t="s">
        <v>22</v>
      </c>
    </row>
    <row r="376" spans="1:21" x14ac:dyDescent="0.25">
      <c r="A376" s="1" t="s">
        <v>1090</v>
      </c>
      <c r="B376" s="2" t="s">
        <v>1009</v>
      </c>
      <c r="C376" s="1" t="s">
        <v>951</v>
      </c>
      <c r="D376" s="1" t="s">
        <v>503</v>
      </c>
      <c r="E376" s="1" t="s">
        <v>952</v>
      </c>
      <c r="F376" s="1">
        <v>43099</v>
      </c>
      <c r="G376" s="14" t="s">
        <v>1073</v>
      </c>
      <c r="H376" t="s">
        <v>1115</v>
      </c>
      <c r="I376" s="2" t="s">
        <v>1116</v>
      </c>
      <c r="J376" s="2">
        <v>0.005208333333333333</v>
      </c>
      <c r="K376" s="1">
        <v>0.005208333333333333</v>
      </c>
      <c r="L376" s="1">
        <v>0.010416666666666666</v>
      </c>
      <c r="M376" s="1">
        <v>0</v>
      </c>
      <c r="N376" s="1" t="s">
        <v>956</v>
      </c>
      <c r="O376" s="1" t="s">
        <v>503</v>
      </c>
      <c r="P376" s="1" t="s">
        <v>973</v>
      </c>
      <c r="Q376" s="1">
        <v>43099</v>
      </c>
      <c r="R376" s="14" t="s">
        <v>503</v>
      </c>
      <c r="S376" s="1" t="s">
        <v>22</v>
      </c>
      <c r="T376" s="1" t="s">
        <v>22</v>
      </c>
      <c r="U376" s="1" t="s">
        <v>22</v>
      </c>
    </row>
    <row r="377" spans="1:21" x14ac:dyDescent="0.25">
      <c r="A377" s="1" t="s">
        <v>1090</v>
      </c>
      <c r="B377" s="2" t="s">
        <v>1041</v>
      </c>
      <c r="C377" s="1" t="s">
        <v>1042</v>
      </c>
      <c r="D377" s="1" t="s">
        <v>503</v>
      </c>
      <c r="E377" s="1" t="s">
        <v>37</v>
      </c>
      <c r="F377" s="1">
        <v>43099</v>
      </c>
      <c r="G377" s="14" t="s">
        <v>28</v>
      </c>
      <c r="H377" t="s">
        <v>1117</v>
      </c>
      <c r="I377" s="2" t="s">
        <v>1118</v>
      </c>
      <c r="J377" s="2">
        <v>0.052083333333333336</v>
      </c>
      <c r="K377" s="1">
        <v>0.052083333333333336</v>
      </c>
      <c r="L377" s="1">
        <v>0.10416666666666667</v>
      </c>
      <c r="M377" s="1">
        <v>0</v>
      </c>
      <c r="N377" s="1" t="s">
        <v>966</v>
      </c>
      <c r="O377" s="1" t="s">
        <v>503</v>
      </c>
      <c r="P377" s="1" t="s">
        <v>973</v>
      </c>
      <c r="Q377" s="1">
        <v>43099</v>
      </c>
      <c r="R377" s="14" t="s">
        <v>503</v>
      </c>
      <c r="S377" s="1" t="s">
        <v>22</v>
      </c>
      <c r="T377" s="1" t="s">
        <v>22</v>
      </c>
      <c r="U377" s="1" t="s">
        <v>22</v>
      </c>
    </row>
    <row r="378" spans="1:21" x14ac:dyDescent="0.25">
      <c r="A378" s="1" t="s">
        <v>1119</v>
      </c>
      <c r="B378" s="2" t="s">
        <v>1120</v>
      </c>
      <c r="C378" s="1" t="s">
        <v>541</v>
      </c>
      <c r="D378" s="1" t="s">
        <v>503</v>
      </c>
      <c r="E378" s="1" t="s">
        <v>37</v>
      </c>
      <c r="F378" s="1">
        <v>43104</v>
      </c>
      <c r="G378" s="14" t="s">
        <v>38</v>
      </c>
      <c r="H378" t="s">
        <v>1121</v>
      </c>
      <c r="I378" s="2" t="s">
        <v>1122</v>
      </c>
      <c r="J378" s="2">
        <v>0.003472222222222222</v>
      </c>
      <c r="K378" s="1">
        <v>0.003472222222222222</v>
      </c>
      <c r="L378" s="1">
        <v>0.006944444444444444</v>
      </c>
      <c r="M378" s="1">
        <v>0</v>
      </c>
      <c r="N378" s="1" t="s">
        <v>966</v>
      </c>
      <c r="O378" s="1" t="s">
        <v>503</v>
      </c>
      <c r="P378" s="1" t="s">
        <v>973</v>
      </c>
      <c r="Q378" s="1">
        <v>43104</v>
      </c>
      <c r="R378" s="14" t="s">
        <v>503</v>
      </c>
      <c r="S378" s="1" t="s">
        <v>22</v>
      </c>
      <c r="T378" s="1" t="s">
        <v>22</v>
      </c>
      <c r="U378" s="1" t="s">
        <v>22</v>
      </c>
    </row>
    <row r="379" spans="1:21" x14ac:dyDescent="0.25">
      <c r="A379" s="1" t="s">
        <v>1119</v>
      </c>
      <c r="B379" s="2" t="s">
        <v>950</v>
      </c>
      <c r="C379" s="1" t="s">
        <v>951</v>
      </c>
      <c r="D379" s="1" t="s">
        <v>503</v>
      </c>
      <c r="E379" s="1" t="s">
        <v>952</v>
      </c>
      <c r="F379" s="1">
        <v>43103</v>
      </c>
      <c r="G379" s="14" t="s">
        <v>28</v>
      </c>
      <c r="H379" t="s">
        <v>1123</v>
      </c>
      <c r="I379" s="2" t="s">
        <v>1124</v>
      </c>
      <c r="J379" s="2">
        <v>0.020833333333333332</v>
      </c>
      <c r="K379" s="1">
        <v>0.020833333333333332</v>
      </c>
      <c r="L379" s="1">
        <v>0.041666666666666664</v>
      </c>
      <c r="M379" s="1">
        <v>0</v>
      </c>
      <c r="N379" s="1" t="s">
        <v>956</v>
      </c>
      <c r="O379" s="1" t="s">
        <v>503</v>
      </c>
      <c r="P379" s="1" t="s">
        <v>957</v>
      </c>
      <c r="Q379" s="1">
        <v>43103</v>
      </c>
      <c r="R379" s="14" t="s">
        <v>503</v>
      </c>
      <c r="S379" s="1" t="s">
        <v>22</v>
      </c>
      <c r="T379" s="1" t="s">
        <v>22</v>
      </c>
      <c r="U379" s="1" t="s">
        <v>22</v>
      </c>
    </row>
    <row r="380" spans="1:21" x14ac:dyDescent="0.25">
      <c r="A380" s="1" t="s">
        <v>1119</v>
      </c>
      <c r="B380" s="2" t="s">
        <v>1009</v>
      </c>
      <c r="C380" s="1" t="s">
        <v>951</v>
      </c>
      <c r="D380" s="1" t="s">
        <v>503</v>
      </c>
      <c r="E380" s="1" t="s">
        <v>952</v>
      </c>
      <c r="F380" s="1">
        <v>43103</v>
      </c>
      <c r="G380" s="14" t="s">
        <v>28</v>
      </c>
      <c r="H380" t="s">
        <v>1125</v>
      </c>
      <c r="I380" s="2" t="s">
        <v>1126</v>
      </c>
      <c r="J380" s="2">
        <v>0.020833333333333332</v>
      </c>
      <c r="K380" s="1">
        <v>0.020833333333333332</v>
      </c>
      <c r="L380" s="1">
        <v>0.041666666666666664</v>
      </c>
      <c r="M380" s="1">
        <v>0</v>
      </c>
      <c r="N380" s="1" t="s">
        <v>956</v>
      </c>
      <c r="O380" s="1" t="s">
        <v>503</v>
      </c>
      <c r="P380" s="1" t="s">
        <v>957</v>
      </c>
      <c r="Q380" s="1">
        <v>43103</v>
      </c>
      <c r="R380" s="14" t="s">
        <v>503</v>
      </c>
      <c r="S380" s="1" t="s">
        <v>22</v>
      </c>
      <c r="T380" s="1" t="s">
        <v>22</v>
      </c>
      <c r="U380" s="1" t="s">
        <v>22</v>
      </c>
    </row>
    <row r="381" spans="1:21" x14ac:dyDescent="0.25">
      <c r="A381" s="1" t="s">
        <v>1119</v>
      </c>
      <c r="B381" s="2" t="s">
        <v>796</v>
      </c>
      <c r="C381" s="1" t="s">
        <v>285</v>
      </c>
      <c r="D381" s="1" t="s">
        <v>503</v>
      </c>
      <c r="E381" s="1" t="s">
        <v>27</v>
      </c>
      <c r="F381" s="1">
        <v>43109</v>
      </c>
      <c r="G381" s="14" t="s">
        <v>28</v>
      </c>
      <c r="H381" t="s">
        <v>1127</v>
      </c>
      <c r="I381" s="2" t="s">
        <v>1128</v>
      </c>
      <c r="J381" s="2">
        <v>0.020833333333333332</v>
      </c>
      <c r="K381" s="1">
        <v>0.020833333333333332</v>
      </c>
      <c r="L381" s="1">
        <v>0.041666666666666664</v>
      </c>
      <c r="M381" s="1">
        <v>0</v>
      </c>
      <c r="N381" s="1" t="s">
        <v>956</v>
      </c>
      <c r="O381" s="1" t="s">
        <v>503</v>
      </c>
      <c r="P381" s="1" t="s">
        <v>977</v>
      </c>
      <c r="Q381" s="1">
        <v>43109</v>
      </c>
      <c r="R381" s="14" t="s">
        <v>503</v>
      </c>
      <c r="S381" s="1" t="s">
        <v>22</v>
      </c>
      <c r="T381" s="1" t="s">
        <v>22</v>
      </c>
      <c r="U381" s="1" t="s">
        <v>22</v>
      </c>
    </row>
    <row r="382" spans="1:21" x14ac:dyDescent="0.25">
      <c r="A382" s="1" t="s">
        <v>1119</v>
      </c>
      <c r="B382" s="2" t="s">
        <v>118</v>
      </c>
      <c r="C382" s="1" t="s">
        <v>25</v>
      </c>
      <c r="D382" s="1" t="s">
        <v>503</v>
      </c>
      <c r="E382" s="1" t="s">
        <v>27</v>
      </c>
      <c r="F382" s="1">
        <v>43109</v>
      </c>
      <c r="G382" s="14" t="s">
        <v>28</v>
      </c>
      <c r="H382" t="s">
        <v>1129</v>
      </c>
      <c r="I382" s="2" t="s">
        <v>1130</v>
      </c>
      <c r="J382" s="2">
        <v>0.08333333333333333</v>
      </c>
      <c r="K382" s="1">
        <v>0.08333333333333333</v>
      </c>
      <c r="L382" s="1">
        <v>0.16666666666666666</v>
      </c>
      <c r="M382" s="1">
        <v>0</v>
      </c>
      <c r="N382" s="1" t="s">
        <v>956</v>
      </c>
      <c r="O382" s="1" t="s">
        <v>503</v>
      </c>
      <c r="P382" s="1" t="s">
        <v>977</v>
      </c>
      <c r="Q382" s="1">
        <v>43109</v>
      </c>
      <c r="R382" s="14" t="s">
        <v>503</v>
      </c>
      <c r="S382" s="1" t="s">
        <v>22</v>
      </c>
      <c r="T382" s="1" t="s">
        <v>22</v>
      </c>
      <c r="U382" s="1" t="s">
        <v>22</v>
      </c>
    </row>
    <row r="383" spans="1:21" x14ac:dyDescent="0.25">
      <c r="A383" s="1" t="s">
        <v>1119</v>
      </c>
      <c r="B383" s="2" t="s">
        <v>641</v>
      </c>
      <c r="C383" s="1" t="s">
        <v>261</v>
      </c>
      <c r="D383" s="1" t="s">
        <v>503</v>
      </c>
      <c r="E383" s="1" t="s">
        <v>27</v>
      </c>
      <c r="F383" s="1">
        <v>43109</v>
      </c>
      <c r="G383" s="14" t="s">
        <v>28</v>
      </c>
      <c r="H383" t="s">
        <v>1131</v>
      </c>
      <c r="I383" s="2" t="s">
        <v>1132</v>
      </c>
      <c r="J383" s="2">
        <v>0.020833333333333332</v>
      </c>
      <c r="K383" s="1">
        <v>0.020833333333333332</v>
      </c>
      <c r="L383" s="1">
        <v>0.041666666666666664</v>
      </c>
      <c r="M383" s="1">
        <v>0</v>
      </c>
      <c r="N383" s="1" t="s">
        <v>1001</v>
      </c>
      <c r="O383" s="1" t="s">
        <v>503</v>
      </c>
      <c r="P383" s="1" t="s">
        <v>977</v>
      </c>
      <c r="Q383" s="1">
        <v>43109</v>
      </c>
      <c r="R383" s="14" t="s">
        <v>503</v>
      </c>
      <c r="S383" s="1" t="s">
        <v>22</v>
      </c>
      <c r="T383" s="1" t="s">
        <v>22</v>
      </c>
      <c r="U383" s="1" t="s">
        <v>22</v>
      </c>
    </row>
    <row r="384" spans="1:21" x14ac:dyDescent="0.25">
      <c r="A384" s="1" t="s">
        <v>1119</v>
      </c>
      <c r="B384" s="2" t="s">
        <v>1133</v>
      </c>
      <c r="C384" s="1" t="s">
        <v>285</v>
      </c>
      <c r="D384" s="1" t="s">
        <v>503</v>
      </c>
      <c r="E384" s="1" t="s">
        <v>27</v>
      </c>
      <c r="F384" s="1">
        <v>43111</v>
      </c>
      <c r="G384" s="14" t="s">
        <v>50</v>
      </c>
      <c r="H384" t="s">
        <v>1134</v>
      </c>
      <c r="I384" s="2" t="s">
        <v>1135</v>
      </c>
      <c r="J384" s="2">
        <v>0.010416666666666666</v>
      </c>
      <c r="K384" s="1">
        <v>0.010416666666666666</v>
      </c>
      <c r="L384" s="1">
        <v>0.020833333333333332</v>
      </c>
      <c r="M384" s="1">
        <v>0</v>
      </c>
      <c r="N384" s="1" t="s">
        <v>956</v>
      </c>
      <c r="O384" s="1" t="s">
        <v>503</v>
      </c>
      <c r="P384" s="1" t="s">
        <v>977</v>
      </c>
      <c r="Q384" s="1">
        <v>43111</v>
      </c>
      <c r="R384" s="14" t="s">
        <v>503</v>
      </c>
      <c r="S384" s="1" t="s">
        <v>22</v>
      </c>
      <c r="T384" s="1" t="s">
        <v>22</v>
      </c>
      <c r="U384" s="1" t="s">
        <v>22</v>
      </c>
    </row>
    <row r="385" spans="1:21" x14ac:dyDescent="0.25">
      <c r="A385" s="1" t="s">
        <v>1119</v>
      </c>
      <c r="B385" s="2" t="s">
        <v>1041</v>
      </c>
      <c r="C385" s="1" t="s">
        <v>1042</v>
      </c>
      <c r="D385" s="1" t="s">
        <v>503</v>
      </c>
      <c r="E385" s="1" t="s">
        <v>37</v>
      </c>
      <c r="F385" s="1">
        <v>43113</v>
      </c>
      <c r="G385" s="14" t="s">
        <v>28</v>
      </c>
      <c r="H385" t="s">
        <v>1136</v>
      </c>
      <c r="I385" s="2" t="s">
        <v>1137</v>
      </c>
      <c r="J385" s="2">
        <v>0.008680555555555556</v>
      </c>
      <c r="K385" s="1">
        <v>0.008680555555555556</v>
      </c>
      <c r="L385" s="1">
        <v>0.017361111111111112</v>
      </c>
      <c r="M385" s="1">
        <v>0</v>
      </c>
      <c r="N385" s="1" t="s">
        <v>966</v>
      </c>
      <c r="O385" s="1" t="s">
        <v>503</v>
      </c>
      <c r="P385" s="1" t="s">
        <v>967</v>
      </c>
      <c r="Q385" s="1">
        <v>43113</v>
      </c>
      <c r="R385" s="14" t="s">
        <v>503</v>
      </c>
      <c r="S385" s="1" t="s">
        <v>22</v>
      </c>
      <c r="T385" s="1" t="s">
        <v>22</v>
      </c>
      <c r="U385" s="1" t="s">
        <v>22</v>
      </c>
    </row>
    <row r="386" spans="1:21" x14ac:dyDescent="0.25">
      <c r="A386" s="1" t="s">
        <v>1119</v>
      </c>
      <c r="B386" s="2" t="s">
        <v>1047</v>
      </c>
      <c r="C386" s="1" t="s">
        <v>989</v>
      </c>
      <c r="D386" s="1" t="s">
        <v>503</v>
      </c>
      <c r="E386" s="1" t="s">
        <v>37</v>
      </c>
      <c r="F386" s="1">
        <v>43113</v>
      </c>
      <c r="G386" s="14" t="s">
        <v>28</v>
      </c>
      <c r="H386" t="s">
        <v>1138</v>
      </c>
      <c r="I386" s="2" t="s">
        <v>1139</v>
      </c>
      <c r="J386" s="2">
        <v>0.008680555555555556</v>
      </c>
      <c r="K386" s="1">
        <v>0.008680555555555556</v>
      </c>
      <c r="L386" s="1">
        <v>0.017361111111111112</v>
      </c>
      <c r="M386" s="1">
        <v>0</v>
      </c>
      <c r="N386" s="1" t="s">
        <v>966</v>
      </c>
      <c r="O386" s="1" t="s">
        <v>503</v>
      </c>
      <c r="P386" s="1" t="s">
        <v>967</v>
      </c>
      <c r="Q386" s="1">
        <v>43113</v>
      </c>
      <c r="R386" s="14" t="s">
        <v>503</v>
      </c>
      <c r="S386" s="1" t="s">
        <v>22</v>
      </c>
      <c r="T386" s="1" t="s">
        <v>22</v>
      </c>
      <c r="U386" s="1" t="s">
        <v>22</v>
      </c>
    </row>
    <row r="387" spans="1:21" x14ac:dyDescent="0.25">
      <c r="A387" s="1" t="s">
        <v>1119</v>
      </c>
      <c r="B387" s="2" t="s">
        <v>1009</v>
      </c>
      <c r="C387" s="1" t="s">
        <v>951</v>
      </c>
      <c r="D387" s="1" t="s">
        <v>503</v>
      </c>
      <c r="E387" s="1" t="s">
        <v>952</v>
      </c>
      <c r="F387" s="1">
        <v>43113</v>
      </c>
      <c r="G387" s="14" t="s">
        <v>953</v>
      </c>
      <c r="H387" t="s">
        <v>1140</v>
      </c>
      <c r="I387" s="2" t="s">
        <v>1141</v>
      </c>
      <c r="J387" s="2">
        <v>0.008680555555555556</v>
      </c>
      <c r="K387" s="1">
        <v>0.008680555555555556</v>
      </c>
      <c r="L387" s="1">
        <v>0.017361111111111112</v>
      </c>
      <c r="M387" s="1">
        <v>0</v>
      </c>
      <c r="N387" s="1" t="s">
        <v>956</v>
      </c>
      <c r="O387" s="1" t="s">
        <v>503</v>
      </c>
      <c r="P387" s="1" t="s">
        <v>957</v>
      </c>
      <c r="Q387" s="1">
        <v>43113</v>
      </c>
      <c r="R387" s="14" t="s">
        <v>503</v>
      </c>
      <c r="S387" s="1" t="s">
        <v>22</v>
      </c>
      <c r="T387" s="1" t="s">
        <v>22</v>
      </c>
      <c r="U387" s="1" t="s">
        <v>22</v>
      </c>
    </row>
    <row r="388" spans="1:21" x14ac:dyDescent="0.25">
      <c r="A388" s="1" t="s">
        <v>1119</v>
      </c>
      <c r="B388" s="2" t="s">
        <v>1009</v>
      </c>
      <c r="C388" s="1" t="s">
        <v>951</v>
      </c>
      <c r="D388" s="1" t="s">
        <v>503</v>
      </c>
      <c r="E388" s="1" t="s">
        <v>952</v>
      </c>
      <c r="F388" s="1">
        <v>43113</v>
      </c>
      <c r="G388" s="14" t="s">
        <v>953</v>
      </c>
      <c r="H388" t="s">
        <v>1142</v>
      </c>
      <c r="I388" s="2" t="s">
        <v>1143</v>
      </c>
      <c r="J388" s="2">
        <v>0.008680555555555556</v>
      </c>
      <c r="K388" s="1">
        <v>0.008680555555555556</v>
      </c>
      <c r="L388" s="1">
        <v>0.017361111111111112</v>
      </c>
      <c r="M388" s="1">
        <v>0</v>
      </c>
      <c r="N388" s="1" t="s">
        <v>956</v>
      </c>
      <c r="O388" s="1" t="s">
        <v>503</v>
      </c>
      <c r="P388" s="1" t="s">
        <v>957</v>
      </c>
      <c r="Q388" s="1">
        <v>43113</v>
      </c>
      <c r="R388" s="14" t="s">
        <v>503</v>
      </c>
      <c r="S388" s="1" t="s">
        <v>22</v>
      </c>
      <c r="T388" s="1" t="s">
        <v>22</v>
      </c>
      <c r="U388" s="1" t="s">
        <v>22</v>
      </c>
    </row>
    <row r="389" spans="1:21" x14ac:dyDescent="0.25">
      <c r="A389" s="1" t="s">
        <v>1119</v>
      </c>
      <c r="B389" s="2" t="s">
        <v>1009</v>
      </c>
      <c r="C389" s="1" t="s">
        <v>951</v>
      </c>
      <c r="D389" s="1" t="s">
        <v>503</v>
      </c>
      <c r="E389" s="1" t="s">
        <v>37</v>
      </c>
      <c r="F389" s="1">
        <v>43118</v>
      </c>
      <c r="G389" s="14" t="s">
        <v>255</v>
      </c>
      <c r="H389" t="s">
        <v>1144</v>
      </c>
      <c r="I389" s="2" t="s">
        <v>1145</v>
      </c>
      <c r="J389" s="2">
        <v>0.010416666666666666</v>
      </c>
      <c r="K389" s="1">
        <v>0.010416666666666666</v>
      </c>
      <c r="L389" s="1">
        <v>0.020833333333333332</v>
      </c>
      <c r="M389" s="1">
        <v>0</v>
      </c>
      <c r="N389" s="1" t="s">
        <v>956</v>
      </c>
      <c r="O389" s="1" t="s">
        <v>503</v>
      </c>
      <c r="P389" s="1" t="s">
        <v>957</v>
      </c>
      <c r="Q389" s="1">
        <v>43118</v>
      </c>
      <c r="R389" s="14" t="s">
        <v>503</v>
      </c>
      <c r="S389" s="1" t="s">
        <v>22</v>
      </c>
      <c r="T389" s="1" t="s">
        <v>22</v>
      </c>
      <c r="U389" s="1" t="s">
        <v>22</v>
      </c>
    </row>
    <row r="390" spans="1:21" x14ac:dyDescent="0.25">
      <c r="A390" s="1" t="s">
        <v>1119</v>
      </c>
      <c r="B390" s="2" t="s">
        <v>1041</v>
      </c>
      <c r="C390" s="1" t="s">
        <v>1042</v>
      </c>
      <c r="D390" s="1" t="s">
        <v>503</v>
      </c>
      <c r="E390" s="1" t="s">
        <v>27</v>
      </c>
      <c r="F390" s="1">
        <v>43118</v>
      </c>
      <c r="G390" s="14" t="s">
        <v>255</v>
      </c>
      <c r="H390" t="s">
        <v>1146</v>
      </c>
      <c r="I390" s="2" t="s">
        <v>1147</v>
      </c>
      <c r="J390" s="2">
        <v>0.024305555555555556</v>
      </c>
      <c r="K390" s="1">
        <v>0.024305555555555556</v>
      </c>
      <c r="L390" s="1">
        <v>0.04861111111111111</v>
      </c>
      <c r="M390" s="1">
        <v>0</v>
      </c>
      <c r="N390" s="1" t="s">
        <v>966</v>
      </c>
      <c r="O390" s="1" t="s">
        <v>503</v>
      </c>
      <c r="P390" s="1" t="s">
        <v>967</v>
      </c>
      <c r="Q390" s="1">
        <v>43118</v>
      </c>
      <c r="R390" s="14" t="s">
        <v>503</v>
      </c>
      <c r="S390" s="1" t="s">
        <v>22</v>
      </c>
      <c r="T390" s="1" t="s">
        <v>22</v>
      </c>
      <c r="U390" s="1" t="s">
        <v>22</v>
      </c>
    </row>
    <row r="391" spans="1:21" x14ac:dyDescent="0.25">
      <c r="A391" s="1" t="s">
        <v>1119</v>
      </c>
      <c r="B391" s="2" t="s">
        <v>1093</v>
      </c>
      <c r="C391" s="1" t="s">
        <v>25</v>
      </c>
      <c r="D391" s="1" t="s">
        <v>503</v>
      </c>
      <c r="E391" s="1" t="s">
        <v>27</v>
      </c>
      <c r="F391" s="1">
        <v>43129</v>
      </c>
      <c r="G391" s="14" t="s">
        <v>28</v>
      </c>
      <c r="H391" t="s">
        <v>1148</v>
      </c>
      <c r="I391" s="2" t="s">
        <v>1149</v>
      </c>
      <c r="J391" s="2">
        <v>0.03125</v>
      </c>
      <c r="K391" s="1">
        <v>0.03125</v>
      </c>
      <c r="L391" s="1">
        <v>0.0625</v>
      </c>
      <c r="M391" s="1">
        <v>0</v>
      </c>
      <c r="N391" s="1" t="s">
        <v>966</v>
      </c>
      <c r="O391" s="1" t="s">
        <v>503</v>
      </c>
      <c r="P391" s="1" t="s">
        <v>977</v>
      </c>
      <c r="Q391" s="1">
        <v>43129</v>
      </c>
      <c r="R391" s="14" t="s">
        <v>503</v>
      </c>
      <c r="S391" s="1" t="s">
        <v>22</v>
      </c>
      <c r="T391" s="1" t="s">
        <v>22</v>
      </c>
      <c r="U391" s="1" t="s">
        <v>22</v>
      </c>
    </row>
    <row r="392" spans="1:21" x14ac:dyDescent="0.25">
      <c r="A392" s="1" t="s">
        <v>1119</v>
      </c>
      <c r="B392" s="2" t="s">
        <v>1047</v>
      </c>
      <c r="C392" s="1" t="s">
        <v>989</v>
      </c>
      <c r="D392" s="1" t="s">
        <v>503</v>
      </c>
      <c r="E392" s="1" t="s">
        <v>37</v>
      </c>
      <c r="F392" s="1">
        <v>43129</v>
      </c>
      <c r="G392" s="14" t="s">
        <v>28</v>
      </c>
      <c r="H392" t="s">
        <v>1150</v>
      </c>
      <c r="I392" s="2" t="s">
        <v>1151</v>
      </c>
      <c r="J392" s="2">
        <v>0.005208333333333333</v>
      </c>
      <c r="K392" s="1">
        <v>0.005208333333333333</v>
      </c>
      <c r="L392" s="1">
        <v>0.010416666666666666</v>
      </c>
      <c r="M392" s="1">
        <v>0</v>
      </c>
      <c r="N392" s="1" t="s">
        <v>966</v>
      </c>
      <c r="O392" s="1" t="s">
        <v>503</v>
      </c>
      <c r="P392" s="1" t="s">
        <v>967</v>
      </c>
      <c r="Q392" s="1">
        <v>43129</v>
      </c>
      <c r="R392" s="14" t="s">
        <v>503</v>
      </c>
      <c r="S392" s="1" t="s">
        <v>22</v>
      </c>
      <c r="T392" s="1" t="s">
        <v>22</v>
      </c>
      <c r="U392" s="1" t="s">
        <v>22</v>
      </c>
    </row>
    <row r="393" spans="1:21" x14ac:dyDescent="0.25">
      <c r="A393" s="1" t="s">
        <v>1152</v>
      </c>
      <c r="B393" s="2" t="s">
        <v>1087</v>
      </c>
      <c r="C393" s="1" t="s">
        <v>186</v>
      </c>
      <c r="D393" s="1" t="s">
        <v>503</v>
      </c>
      <c r="E393" s="1" t="s">
        <v>27</v>
      </c>
      <c r="F393" s="1">
        <v>43136</v>
      </c>
      <c r="G393" s="14" t="s">
        <v>28</v>
      </c>
      <c r="H393" t="s">
        <v>1153</v>
      </c>
      <c r="I393" s="2" t="s">
        <v>1154</v>
      </c>
      <c r="J393" s="2">
        <v>0.08333333333333333</v>
      </c>
      <c r="K393" s="1">
        <v>0.08333333333333333</v>
      </c>
      <c r="L393" s="1">
        <v>0.16666666666666666</v>
      </c>
      <c r="M393" s="1">
        <v>0</v>
      </c>
      <c r="N393" s="1" t="s">
        <v>966</v>
      </c>
      <c r="O393" s="1" t="s">
        <v>503</v>
      </c>
      <c r="P393" s="1" t="s">
        <v>967</v>
      </c>
      <c r="Q393" s="1">
        <v>43136</v>
      </c>
      <c r="R393" s="14" t="s">
        <v>503</v>
      </c>
      <c r="S393" s="1" t="s">
        <v>22</v>
      </c>
      <c r="T393" s="1" t="s">
        <v>22</v>
      </c>
      <c r="U393" s="1" t="s">
        <v>22</v>
      </c>
    </row>
    <row r="394" spans="1:21" x14ac:dyDescent="0.25">
      <c r="A394" s="1" t="s">
        <v>1152</v>
      </c>
      <c r="B394" s="2" t="s">
        <v>1155</v>
      </c>
      <c r="C394" s="1" t="s">
        <v>25</v>
      </c>
      <c r="D394" s="1" t="s">
        <v>503</v>
      </c>
      <c r="E394" s="1" t="s">
        <v>27</v>
      </c>
      <c r="F394" s="1">
        <v>43138</v>
      </c>
      <c r="G394" s="14" t="s">
        <v>50</v>
      </c>
      <c r="H394" t="s">
        <v>1156</v>
      </c>
      <c r="I394" s="2" t="s">
        <v>1157</v>
      </c>
      <c r="J394" s="2">
        <v>0.010416666666666666</v>
      </c>
      <c r="K394" s="1">
        <v>0.010416666666666666</v>
      </c>
      <c r="L394" s="1">
        <v>0.020833333333333332</v>
      </c>
      <c r="M394" s="1">
        <v>0</v>
      </c>
      <c r="N394" s="1" t="s">
        <v>1001</v>
      </c>
      <c r="O394" s="1" t="s">
        <v>503</v>
      </c>
      <c r="P394" s="1" t="s">
        <v>977</v>
      </c>
      <c r="Q394" s="1">
        <v>43138</v>
      </c>
      <c r="R394" s="14" t="s">
        <v>503</v>
      </c>
      <c r="S394" s="1" t="s">
        <v>22</v>
      </c>
      <c r="T394" s="1" t="s">
        <v>22</v>
      </c>
      <c r="U394" s="1" t="s">
        <v>22</v>
      </c>
    </row>
    <row r="395" spans="1:21" x14ac:dyDescent="0.25">
      <c r="A395" s="1" t="s">
        <v>1152</v>
      </c>
      <c r="B395" s="2" t="s">
        <v>1059</v>
      </c>
      <c r="C395" s="1" t="s">
        <v>261</v>
      </c>
      <c r="D395" s="1" t="s">
        <v>503</v>
      </c>
      <c r="E395" s="1" t="s">
        <v>37</v>
      </c>
      <c r="F395" s="1">
        <v>43138</v>
      </c>
      <c r="G395" s="14" t="s">
        <v>28</v>
      </c>
      <c r="H395" t="s">
        <v>1158</v>
      </c>
      <c r="I395" s="2" t="s">
        <v>1159</v>
      </c>
      <c r="J395" s="2">
        <v>0.010416666666666666</v>
      </c>
      <c r="K395" s="1">
        <v>0.010416666666666666</v>
      </c>
      <c r="L395" s="1">
        <v>0.020833333333333332</v>
      </c>
      <c r="M395" s="1">
        <v>0</v>
      </c>
      <c r="N395" s="1" t="s">
        <v>956</v>
      </c>
      <c r="O395" s="1" t="s">
        <v>503</v>
      </c>
      <c r="P395" s="1" t="s">
        <v>977</v>
      </c>
      <c r="Q395" s="1">
        <v>43138</v>
      </c>
      <c r="R395" s="14" t="s">
        <v>503</v>
      </c>
      <c r="S395" s="1" t="s">
        <v>22</v>
      </c>
      <c r="T395" s="1" t="s">
        <v>22</v>
      </c>
      <c r="U395" s="1" t="s">
        <v>22</v>
      </c>
    </row>
    <row r="396" spans="1:21" x14ac:dyDescent="0.25">
      <c r="A396" s="1" t="s">
        <v>1152</v>
      </c>
      <c r="B396" s="2" t="s">
        <v>1041</v>
      </c>
      <c r="C396" s="1" t="s">
        <v>1042</v>
      </c>
      <c r="D396" s="1" t="s">
        <v>503</v>
      </c>
      <c r="E396" s="1" t="s">
        <v>37</v>
      </c>
      <c r="F396" s="1">
        <v>43144</v>
      </c>
      <c r="G396" s="14" t="s">
        <v>28</v>
      </c>
      <c r="H396" t="s">
        <v>1160</v>
      </c>
      <c r="I396" s="2" t="s">
        <v>1161</v>
      </c>
      <c r="J396" s="2">
        <v>0.010416666666666666</v>
      </c>
      <c r="K396" s="1">
        <v>0.010416666666666666</v>
      </c>
      <c r="L396" s="1">
        <v>0.020833333333333332</v>
      </c>
      <c r="M396" s="1">
        <v>0</v>
      </c>
      <c r="N396" s="1" t="s">
        <v>966</v>
      </c>
      <c r="O396" s="1" t="s">
        <v>503</v>
      </c>
      <c r="P396" s="1" t="s">
        <v>967</v>
      </c>
      <c r="Q396" s="1">
        <v>43144</v>
      </c>
      <c r="R396" s="14" t="s">
        <v>503</v>
      </c>
      <c r="S396" s="1" t="s">
        <v>22</v>
      </c>
      <c r="T396" s="1" t="s">
        <v>22</v>
      </c>
      <c r="U396" s="1" t="s">
        <v>22</v>
      </c>
    </row>
    <row r="397" spans="1:21" x14ac:dyDescent="0.25">
      <c r="A397" s="1" t="s">
        <v>1152</v>
      </c>
      <c r="B397" s="2" t="s">
        <v>796</v>
      </c>
      <c r="C397" s="1" t="s">
        <v>285</v>
      </c>
      <c r="D397" s="1" t="s">
        <v>503</v>
      </c>
      <c r="E397" s="1" t="s">
        <v>37</v>
      </c>
      <c r="F397" s="1">
        <v>43144</v>
      </c>
      <c r="G397" s="14" t="s">
        <v>28</v>
      </c>
      <c r="H397" t="s">
        <v>1162</v>
      </c>
      <c r="I397" s="2" t="s">
        <v>1162</v>
      </c>
      <c r="J397" s="2">
        <v>0.09375</v>
      </c>
      <c r="K397" s="1">
        <v>0.09375</v>
      </c>
      <c r="L397" s="1">
        <v>0.1875</v>
      </c>
      <c r="M397" s="1">
        <v>0</v>
      </c>
      <c r="N397" s="1" t="s">
        <v>956</v>
      </c>
      <c r="O397" s="1" t="s">
        <v>503</v>
      </c>
      <c r="P397" s="1" t="s">
        <v>977</v>
      </c>
      <c r="Q397" s="1">
        <v>43144</v>
      </c>
      <c r="R397" s="14" t="s">
        <v>503</v>
      </c>
      <c r="S397" s="1" t="s">
        <v>22</v>
      </c>
      <c r="T397" s="1" t="s">
        <v>22</v>
      </c>
      <c r="U397" s="1" t="s">
        <v>22</v>
      </c>
    </row>
    <row r="398" spans="1:21" x14ac:dyDescent="0.25">
      <c r="A398" s="1" t="s">
        <v>1152</v>
      </c>
      <c r="B398" s="2" t="s">
        <v>796</v>
      </c>
      <c r="C398" s="1" t="s">
        <v>285</v>
      </c>
      <c r="D398" s="1" t="s">
        <v>503</v>
      </c>
      <c r="E398" s="1" t="s">
        <v>37</v>
      </c>
      <c r="F398" s="1">
        <v>43145</v>
      </c>
      <c r="G398" s="14" t="s">
        <v>670</v>
      </c>
      <c r="H398" t="s">
        <v>1163</v>
      </c>
      <c r="I398" s="2" t="s">
        <v>1164</v>
      </c>
      <c r="J398" s="2">
        <v>0.03125</v>
      </c>
      <c r="K398" s="1">
        <v>0.03125</v>
      </c>
      <c r="L398" s="1">
        <v>0.0625</v>
      </c>
      <c r="M398" s="1">
        <v>0</v>
      </c>
      <c r="N398" s="1" t="s">
        <v>956</v>
      </c>
      <c r="O398" s="1" t="s">
        <v>503</v>
      </c>
      <c r="P398" s="1" t="s">
        <v>977</v>
      </c>
      <c r="Q398" s="1">
        <v>43145</v>
      </c>
      <c r="R398" s="14" t="s">
        <v>503</v>
      </c>
      <c r="S398" s="1" t="s">
        <v>22</v>
      </c>
      <c r="T398" s="1" t="s">
        <v>22</v>
      </c>
      <c r="U398" s="1" t="s">
        <v>22</v>
      </c>
    </row>
    <row r="399" spans="1:21" x14ac:dyDescent="0.25">
      <c r="A399" s="1" t="s">
        <v>1152</v>
      </c>
      <c r="B399" s="2" t="s">
        <v>1024</v>
      </c>
      <c r="C399" s="1" t="s">
        <v>285</v>
      </c>
      <c r="D399" s="1" t="s">
        <v>503</v>
      </c>
      <c r="E399" s="1" t="s">
        <v>27</v>
      </c>
      <c r="F399" s="1">
        <v>43145</v>
      </c>
      <c r="G399" s="14" t="s">
        <v>28</v>
      </c>
      <c r="H399" t="s">
        <v>1165</v>
      </c>
      <c r="I399" s="2" t="s">
        <v>1166</v>
      </c>
      <c r="J399" s="2">
        <v>0.010416666666666666</v>
      </c>
      <c r="K399" s="1">
        <v>0.010416666666666666</v>
      </c>
      <c r="L399" s="1">
        <v>0.020833333333333332</v>
      </c>
      <c r="M399" s="1">
        <v>0</v>
      </c>
      <c r="N399" s="1" t="s">
        <v>1001</v>
      </c>
      <c r="O399" s="1" t="s">
        <v>503</v>
      </c>
      <c r="P399" s="1" t="s">
        <v>977</v>
      </c>
      <c r="Q399" s="1">
        <v>43145</v>
      </c>
      <c r="R399" s="14" t="s">
        <v>503</v>
      </c>
      <c r="S399" s="1" t="s">
        <v>22</v>
      </c>
      <c r="T399" s="1" t="s">
        <v>22</v>
      </c>
      <c r="U399" s="1" t="s">
        <v>22</v>
      </c>
    </row>
    <row r="400" spans="1:21" x14ac:dyDescent="0.25">
      <c r="A400" s="1" t="s">
        <v>1152</v>
      </c>
      <c r="B400" s="2" t="s">
        <v>1018</v>
      </c>
      <c r="C400" s="1" t="s">
        <v>1019</v>
      </c>
      <c r="D400" s="1" t="s">
        <v>503</v>
      </c>
      <c r="E400" s="1" t="s">
        <v>27</v>
      </c>
      <c r="F400" s="1">
        <v>43145</v>
      </c>
      <c r="G400" s="14" t="s">
        <v>953</v>
      </c>
      <c r="H400" t="s">
        <v>1167</v>
      </c>
      <c r="I400" s="2" t="s">
        <v>1168</v>
      </c>
      <c r="J400" s="2">
        <v>0.003472222222222222</v>
      </c>
      <c r="K400" s="1">
        <v>0.003472222222222222</v>
      </c>
      <c r="L400" s="1">
        <v>0.006944444444444444</v>
      </c>
      <c r="M400" s="1">
        <v>0</v>
      </c>
      <c r="N400" s="1" t="s">
        <v>1001</v>
      </c>
      <c r="O400" s="1" t="s">
        <v>503</v>
      </c>
      <c r="P400" s="1" t="s">
        <v>977</v>
      </c>
      <c r="Q400" s="1">
        <v>43145</v>
      </c>
      <c r="R400" s="14" t="s">
        <v>503</v>
      </c>
      <c r="S400" s="1" t="s">
        <v>22</v>
      </c>
      <c r="T400" s="1" t="s">
        <v>22</v>
      </c>
      <c r="U400" s="1" t="s">
        <v>22</v>
      </c>
    </row>
    <row r="401" spans="1:21" x14ac:dyDescent="0.25">
      <c r="A401" s="1" t="s">
        <v>1152</v>
      </c>
      <c r="B401" s="2" t="s">
        <v>1169</v>
      </c>
      <c r="C401" s="1" t="s">
        <v>989</v>
      </c>
      <c r="D401" s="1" t="s">
        <v>503</v>
      </c>
      <c r="E401" s="1" t="s">
        <v>37</v>
      </c>
      <c r="F401" s="1">
        <v>43146</v>
      </c>
      <c r="G401" s="14" t="s">
        <v>50</v>
      </c>
      <c r="H401" t="s">
        <v>1170</v>
      </c>
      <c r="I401" s="2" t="s">
        <v>1171</v>
      </c>
      <c r="J401" s="2">
        <v>0.006944444444444444</v>
      </c>
      <c r="K401" s="1">
        <v>0.006944444444444444</v>
      </c>
      <c r="L401" s="1">
        <v>0.013888888888888888</v>
      </c>
      <c r="M401" s="1">
        <v>0</v>
      </c>
      <c r="N401" s="1" t="s">
        <v>956</v>
      </c>
      <c r="O401" s="1" t="s">
        <v>503</v>
      </c>
      <c r="P401" s="1" t="s">
        <v>967</v>
      </c>
      <c r="Q401" s="1">
        <v>43146</v>
      </c>
      <c r="R401" s="14" t="s">
        <v>503</v>
      </c>
      <c r="S401" s="1" t="s">
        <v>22</v>
      </c>
      <c r="T401" s="1" t="s">
        <v>22</v>
      </c>
      <c r="U401" s="1" t="s">
        <v>22</v>
      </c>
    </row>
    <row r="402" spans="1:21" x14ac:dyDescent="0.25">
      <c r="A402" s="1" t="s">
        <v>1152</v>
      </c>
      <c r="B402" s="2" t="s">
        <v>1041</v>
      </c>
      <c r="C402" s="1" t="s">
        <v>1042</v>
      </c>
      <c r="D402" s="1" t="s">
        <v>503</v>
      </c>
      <c r="E402" s="1" t="s">
        <v>37</v>
      </c>
      <c r="F402" s="1">
        <v>43147</v>
      </c>
      <c r="G402" s="14" t="s">
        <v>50</v>
      </c>
      <c r="H402" t="s">
        <v>1172</v>
      </c>
      <c r="I402" s="2" t="s">
        <v>1173</v>
      </c>
      <c r="J402" s="2">
        <v>0.006944444444444444</v>
      </c>
      <c r="K402" s="1">
        <v>0.006944444444444444</v>
      </c>
      <c r="L402" s="1">
        <v>0.013888888888888888</v>
      </c>
      <c r="M402" s="1">
        <v>0</v>
      </c>
      <c r="N402" s="1" t="s">
        <v>966</v>
      </c>
      <c r="O402" s="1" t="s">
        <v>503</v>
      </c>
      <c r="P402" s="1" t="s">
        <v>967</v>
      </c>
      <c r="Q402" s="1">
        <v>43147</v>
      </c>
      <c r="R402" s="14" t="s">
        <v>503</v>
      </c>
      <c r="S402" s="1" t="s">
        <v>22</v>
      </c>
      <c r="T402" s="1" t="s">
        <v>22</v>
      </c>
      <c r="U402" s="1" t="s">
        <v>22</v>
      </c>
    </row>
    <row r="403" spans="1:21" x14ac:dyDescent="0.25">
      <c r="A403" s="1" t="s">
        <v>1152</v>
      </c>
      <c r="B403" s="2" t="s">
        <v>1103</v>
      </c>
      <c r="C403" s="1" t="s">
        <v>1104</v>
      </c>
      <c r="D403" s="1" t="s">
        <v>503</v>
      </c>
      <c r="E403" s="1" t="s">
        <v>37</v>
      </c>
      <c r="F403" s="1">
        <v>43150</v>
      </c>
      <c r="G403" s="14" t="s">
        <v>28</v>
      </c>
      <c r="H403" t="s">
        <v>1174</v>
      </c>
      <c r="I403" s="2" t="s">
        <v>1175</v>
      </c>
      <c r="J403" s="2">
        <v>0.010416666666666666</v>
      </c>
      <c r="K403" s="1">
        <v>0.010416666666666666</v>
      </c>
      <c r="L403" s="1">
        <v>0.020833333333333332</v>
      </c>
      <c r="M403" s="1">
        <v>0</v>
      </c>
      <c r="N403" s="1" t="s">
        <v>1001</v>
      </c>
      <c r="O403" s="1" t="s">
        <v>503</v>
      </c>
      <c r="P403" s="1" t="s">
        <v>967</v>
      </c>
      <c r="Q403" s="1">
        <v>43150</v>
      </c>
      <c r="R403" s="14" t="s">
        <v>503</v>
      </c>
      <c r="S403" s="1" t="s">
        <v>22</v>
      </c>
      <c r="T403" s="1" t="s">
        <v>22</v>
      </c>
      <c r="U403" s="1" t="s">
        <v>22</v>
      </c>
    </row>
    <row r="404" spans="1:21" x14ac:dyDescent="0.25">
      <c r="A404" s="1" t="s">
        <v>1152</v>
      </c>
      <c r="B404" s="2" t="s">
        <v>228</v>
      </c>
      <c r="C404" s="1" t="s">
        <v>25</v>
      </c>
      <c r="D404" s="1" t="s">
        <v>503</v>
      </c>
      <c r="E404" s="1" t="s">
        <v>27</v>
      </c>
      <c r="F404" s="1">
        <v>43150</v>
      </c>
      <c r="G404" s="14" t="s">
        <v>670</v>
      </c>
      <c r="H404" t="s">
        <v>1176</v>
      </c>
      <c r="I404" s="2" t="s">
        <v>1177</v>
      </c>
      <c r="J404" s="2">
        <v>0.08333333333333333</v>
      </c>
      <c r="K404" s="1">
        <v>0.08333333333333333</v>
      </c>
      <c r="L404" s="1">
        <v>0.16666666666666666</v>
      </c>
      <c r="M404" s="1">
        <v>0</v>
      </c>
      <c r="N404" s="1" t="s">
        <v>966</v>
      </c>
      <c r="O404" s="1" t="s">
        <v>503</v>
      </c>
      <c r="P404" s="1" t="s">
        <v>977</v>
      </c>
      <c r="Q404" s="1">
        <v>43150</v>
      </c>
      <c r="R404" s="14" t="s">
        <v>503</v>
      </c>
      <c r="S404" s="1" t="s">
        <v>22</v>
      </c>
      <c r="T404" s="1" t="s">
        <v>22</v>
      </c>
      <c r="U404" s="1" t="s">
        <v>22</v>
      </c>
    </row>
    <row r="405" spans="1:21" x14ac:dyDescent="0.25">
      <c r="A405" s="1" t="s">
        <v>1152</v>
      </c>
      <c r="B405" s="2" t="s">
        <v>1047</v>
      </c>
      <c r="C405" s="1" t="s">
        <v>989</v>
      </c>
      <c r="D405" s="1" t="s">
        <v>503</v>
      </c>
      <c r="E405" s="1" t="s">
        <v>37</v>
      </c>
      <c r="F405" s="1">
        <v>43150</v>
      </c>
      <c r="G405" s="14" t="s">
        <v>255</v>
      </c>
      <c r="H405" t="s">
        <v>1178</v>
      </c>
      <c r="I405" s="2" t="s">
        <v>1179</v>
      </c>
      <c r="J405" s="2">
        <v>0.041666666666666664</v>
      </c>
      <c r="K405" s="1">
        <v>0.041666666666666664</v>
      </c>
      <c r="L405" s="1">
        <v>0.08333333333333333</v>
      </c>
      <c r="M405" s="1">
        <v>0</v>
      </c>
      <c r="N405" s="1" t="s">
        <v>966</v>
      </c>
      <c r="O405" s="1" t="s">
        <v>503</v>
      </c>
      <c r="P405" s="1" t="s">
        <v>967</v>
      </c>
      <c r="Q405" s="1">
        <v>43150</v>
      </c>
      <c r="R405" s="14" t="s">
        <v>503</v>
      </c>
      <c r="S405" s="1" t="s">
        <v>22</v>
      </c>
      <c r="T405" s="1" t="s">
        <v>22</v>
      </c>
      <c r="U405" s="1" t="s">
        <v>22</v>
      </c>
    </row>
    <row r="406" spans="1:21" x14ac:dyDescent="0.25">
      <c r="A406" s="1" t="s">
        <v>1152</v>
      </c>
      <c r="B406" s="2" t="s">
        <v>1041</v>
      </c>
      <c r="C406" s="1" t="s">
        <v>1042</v>
      </c>
      <c r="D406" s="1" t="s">
        <v>503</v>
      </c>
      <c r="E406" s="1" t="s">
        <v>27</v>
      </c>
      <c r="F406" s="1">
        <v>43152</v>
      </c>
      <c r="G406" s="14" t="s">
        <v>953</v>
      </c>
      <c r="H406" t="s">
        <v>1180</v>
      </c>
      <c r="I406" s="2" t="s">
        <v>1181</v>
      </c>
      <c r="J406" s="2">
        <v>0.006944444444444444</v>
      </c>
      <c r="K406" s="1">
        <v>0.006944444444444444</v>
      </c>
      <c r="L406" s="1">
        <v>0.013888888888888888</v>
      </c>
      <c r="M406" s="1">
        <v>0</v>
      </c>
      <c r="N406" s="1" t="s">
        <v>966</v>
      </c>
      <c r="O406" s="1" t="s">
        <v>503</v>
      </c>
      <c r="P406" s="1" t="s">
        <v>967</v>
      </c>
      <c r="Q406" s="1">
        <v>43152</v>
      </c>
      <c r="R406" s="14" t="s">
        <v>503</v>
      </c>
      <c r="S406" s="1" t="s">
        <v>22</v>
      </c>
      <c r="T406" s="1" t="s">
        <v>22</v>
      </c>
      <c r="U406" s="1" t="s">
        <v>22</v>
      </c>
    </row>
    <row r="407" spans="1:21" x14ac:dyDescent="0.25">
      <c r="A407" s="1" t="s">
        <v>1152</v>
      </c>
      <c r="B407" s="2" t="s">
        <v>1093</v>
      </c>
      <c r="C407" s="1" t="s">
        <v>25</v>
      </c>
      <c r="D407" s="1" t="s">
        <v>503</v>
      </c>
      <c r="E407" s="1" t="s">
        <v>27</v>
      </c>
      <c r="F407" s="1">
        <v>43152</v>
      </c>
      <c r="G407" s="14" t="s">
        <v>255</v>
      </c>
      <c r="H407" t="s">
        <v>1182</v>
      </c>
      <c r="I407" s="2" t="s">
        <v>1183</v>
      </c>
      <c r="J407" s="2">
        <v>0.010416666666666666</v>
      </c>
      <c r="K407" s="1">
        <v>0.010416666666666666</v>
      </c>
      <c r="L407" s="1">
        <v>0.020833333333333332</v>
      </c>
      <c r="M407" s="1">
        <v>0</v>
      </c>
      <c r="N407" s="1" t="s">
        <v>966</v>
      </c>
      <c r="O407" s="1" t="s">
        <v>503</v>
      </c>
      <c r="P407" s="1" t="s">
        <v>977</v>
      </c>
      <c r="Q407" s="1">
        <v>43152</v>
      </c>
      <c r="R407" s="14" t="s">
        <v>503</v>
      </c>
      <c r="S407" s="1" t="s">
        <v>22</v>
      </c>
      <c r="T407" s="1" t="s">
        <v>22</v>
      </c>
      <c r="U407" s="1" t="s">
        <v>22</v>
      </c>
    </row>
    <row r="408" spans="1:21" x14ac:dyDescent="0.25">
      <c r="A408" s="1" t="s">
        <v>1152</v>
      </c>
      <c r="B408" s="2" t="s">
        <v>118</v>
      </c>
      <c r="C408" s="1" t="s">
        <v>25</v>
      </c>
      <c r="D408" s="1" t="s">
        <v>503</v>
      </c>
      <c r="E408" s="1" t="s">
        <v>27</v>
      </c>
      <c r="F408" s="1">
        <v>43154</v>
      </c>
      <c r="G408" s="14" t="s">
        <v>50</v>
      </c>
      <c r="H408" t="s">
        <v>1184</v>
      </c>
      <c r="I408" s="2" t="s">
        <v>1185</v>
      </c>
      <c r="J408" s="2">
        <v>0.0625</v>
      </c>
      <c r="K408" s="1">
        <v>0.0625</v>
      </c>
      <c r="L408" s="1">
        <v>0.125</v>
      </c>
      <c r="M408" s="1">
        <v>0</v>
      </c>
      <c r="N408" s="1" t="s">
        <v>1001</v>
      </c>
      <c r="O408" s="1" t="s">
        <v>503</v>
      </c>
      <c r="P408" s="1" t="s">
        <v>977</v>
      </c>
      <c r="Q408" s="1">
        <v>43154</v>
      </c>
      <c r="R408" s="14" t="s">
        <v>503</v>
      </c>
      <c r="S408" s="1" t="s">
        <v>22</v>
      </c>
      <c r="T408" s="1" t="s">
        <v>22</v>
      </c>
      <c r="U408" s="1" t="s">
        <v>22</v>
      </c>
    </row>
    <row r="409" spans="1:21" x14ac:dyDescent="0.25">
      <c r="A409" s="1" t="s">
        <v>1152</v>
      </c>
      <c r="B409" s="2" t="s">
        <v>118</v>
      </c>
      <c r="C409" s="1" t="s">
        <v>25</v>
      </c>
      <c r="D409" s="1" t="s">
        <v>503</v>
      </c>
      <c r="E409" s="1" t="s">
        <v>27</v>
      </c>
      <c r="F409" s="1">
        <v>43155</v>
      </c>
      <c r="G409" s="14" t="s">
        <v>50</v>
      </c>
      <c r="H409" t="s">
        <v>1186</v>
      </c>
      <c r="I409" s="2" t="s">
        <v>1187</v>
      </c>
      <c r="J409" s="2">
        <v>0.013888888888888888</v>
      </c>
      <c r="K409" s="1">
        <v>0.013888888888888888</v>
      </c>
      <c r="L409" s="1">
        <v>0.027777777777777776</v>
      </c>
      <c r="M409" s="1">
        <v>0</v>
      </c>
      <c r="N409" s="1" t="s">
        <v>956</v>
      </c>
      <c r="O409" s="1" t="s">
        <v>503</v>
      </c>
      <c r="P409" s="1" t="s">
        <v>977</v>
      </c>
      <c r="Q409" s="1">
        <v>43155</v>
      </c>
      <c r="R409" s="14" t="s">
        <v>503</v>
      </c>
      <c r="S409" s="1" t="s">
        <v>22</v>
      </c>
      <c r="T409" s="1" t="s">
        <v>22</v>
      </c>
      <c r="U409" s="1" t="s">
        <v>22</v>
      </c>
    </row>
    <row r="410" spans="1:21" x14ac:dyDescent="0.25">
      <c r="A410" s="1" t="s">
        <v>1152</v>
      </c>
      <c r="B410" s="2" t="s">
        <v>950</v>
      </c>
      <c r="C410" s="1" t="s">
        <v>951</v>
      </c>
      <c r="D410" s="1" t="s">
        <v>503</v>
      </c>
      <c r="E410" s="1" t="s">
        <v>37</v>
      </c>
      <c r="F410" s="1">
        <v>43157</v>
      </c>
      <c r="G410" s="14" t="s">
        <v>255</v>
      </c>
      <c r="H410" t="s">
        <v>1188</v>
      </c>
      <c r="I410" s="2" t="s">
        <v>1189</v>
      </c>
      <c r="J410" s="2">
        <v>0.005208333333333333</v>
      </c>
      <c r="K410" s="1">
        <v>0.005208333333333333</v>
      </c>
      <c r="L410" s="1">
        <v>0.010416666666666666</v>
      </c>
      <c r="M410" s="1">
        <v>0</v>
      </c>
      <c r="N410" s="1" t="s">
        <v>956</v>
      </c>
      <c r="O410" s="1" t="s">
        <v>503</v>
      </c>
      <c r="P410" s="1" t="s">
        <v>957</v>
      </c>
      <c r="Q410" s="1">
        <v>43157</v>
      </c>
      <c r="R410" s="14" t="s">
        <v>503</v>
      </c>
      <c r="S410" s="1" t="s">
        <v>22</v>
      </c>
      <c r="T410" s="1" t="s">
        <v>22</v>
      </c>
      <c r="U410" s="1" t="s">
        <v>22</v>
      </c>
    </row>
    <row r="411" spans="1:21" x14ac:dyDescent="0.25">
      <c r="A411" s="1" t="s">
        <v>1190</v>
      </c>
      <c r="B411" s="2" t="s">
        <v>1191</v>
      </c>
      <c r="C411" s="1" t="s">
        <v>25</v>
      </c>
      <c r="D411" s="1" t="s">
        <v>503</v>
      </c>
      <c r="E411" s="1" t="s">
        <v>952</v>
      </c>
      <c r="F411" s="1">
        <v>43160</v>
      </c>
      <c r="G411" s="14" t="s">
        <v>1073</v>
      </c>
      <c r="H411" t="s">
        <v>1192</v>
      </c>
      <c r="I411" s="2" t="s">
        <v>1193</v>
      </c>
      <c r="J411" s="2">
        <v>0.006944444444444444</v>
      </c>
      <c r="K411" s="1">
        <v>0.006944444444444444</v>
      </c>
      <c r="L411" s="1">
        <v>0.013888888888888888</v>
      </c>
      <c r="M411" s="1">
        <v>0</v>
      </c>
      <c r="N411" s="1" t="s">
        <v>1001</v>
      </c>
      <c r="O411" s="1" t="s">
        <v>503</v>
      </c>
      <c r="P411" s="1" t="s">
        <v>977</v>
      </c>
      <c r="Q411" s="1">
        <v>43160</v>
      </c>
      <c r="R411" s="14" t="s">
        <v>503</v>
      </c>
      <c r="S411" s="1" t="s">
        <v>22</v>
      </c>
      <c r="T411" s="1" t="s">
        <v>22</v>
      </c>
      <c r="U411" s="1" t="s">
        <v>22</v>
      </c>
    </row>
    <row r="412" spans="1:21" x14ac:dyDescent="0.25">
      <c r="A412" s="1" t="s">
        <v>1190</v>
      </c>
      <c r="B412" s="2" t="s">
        <v>950</v>
      </c>
      <c r="C412" s="1" t="s">
        <v>951</v>
      </c>
      <c r="D412" s="1" t="s">
        <v>503</v>
      </c>
      <c r="E412" s="1" t="s">
        <v>952</v>
      </c>
      <c r="F412" s="1">
        <v>43160</v>
      </c>
      <c r="G412" s="14" t="s">
        <v>953</v>
      </c>
      <c r="H412" t="s">
        <v>1194</v>
      </c>
      <c r="I412" s="2" t="s">
        <v>1195</v>
      </c>
      <c r="J412" s="2">
        <v>0.010416666666666666</v>
      </c>
      <c r="K412" s="1">
        <v>0.010416666666666666</v>
      </c>
      <c r="L412" s="1">
        <v>0.020833333333333332</v>
      </c>
      <c r="M412" s="1">
        <v>0</v>
      </c>
      <c r="N412" s="1" t="s">
        <v>966</v>
      </c>
      <c r="O412" s="1" t="s">
        <v>503</v>
      </c>
      <c r="P412" s="1" t="s">
        <v>117</v>
      </c>
      <c r="Q412" s="1">
        <v>43160</v>
      </c>
      <c r="R412" s="14" t="s">
        <v>503</v>
      </c>
      <c r="S412" s="1" t="s">
        <v>22</v>
      </c>
      <c r="T412" s="1" t="s">
        <v>22</v>
      </c>
      <c r="U412" s="1" t="s">
        <v>22</v>
      </c>
    </row>
    <row r="413" spans="1:21" x14ac:dyDescent="0.25">
      <c r="A413" s="1" t="s">
        <v>1190</v>
      </c>
      <c r="B413" s="2" t="s">
        <v>1047</v>
      </c>
      <c r="C413" s="1" t="s">
        <v>989</v>
      </c>
      <c r="D413" s="1" t="s">
        <v>503</v>
      </c>
      <c r="E413" s="1" t="s">
        <v>37</v>
      </c>
      <c r="F413" s="1">
        <v>43160</v>
      </c>
      <c r="G413" s="14" t="s">
        <v>28</v>
      </c>
      <c r="H413" t="s">
        <v>1196</v>
      </c>
      <c r="I413" s="2" t="s">
        <v>1196</v>
      </c>
      <c r="J413" s="2">
        <v>0.010416666666666666</v>
      </c>
      <c r="K413" s="1">
        <v>0.010416666666666666</v>
      </c>
      <c r="L413" s="1">
        <v>0.020833333333333332</v>
      </c>
      <c r="M413" s="1">
        <v>0</v>
      </c>
      <c r="N413" s="1" t="s">
        <v>966</v>
      </c>
      <c r="O413" s="1" t="s">
        <v>503</v>
      </c>
      <c r="P413" s="1" t="s">
        <v>488</v>
      </c>
      <c r="Q413" s="1">
        <v>43160</v>
      </c>
      <c r="R413" s="14" t="s">
        <v>503</v>
      </c>
      <c r="S413" s="1" t="s">
        <v>22</v>
      </c>
      <c r="T413" s="1" t="s">
        <v>22</v>
      </c>
      <c r="U413" s="1" t="s">
        <v>22</v>
      </c>
    </row>
    <row r="414" spans="1:21" x14ac:dyDescent="0.25">
      <c r="A414" s="1" t="s">
        <v>1190</v>
      </c>
      <c r="B414" s="2" t="s">
        <v>1059</v>
      </c>
      <c r="C414" s="1" t="s">
        <v>261</v>
      </c>
      <c r="D414" s="1" t="s">
        <v>503</v>
      </c>
      <c r="E414" s="1" t="s">
        <v>37</v>
      </c>
      <c r="F414" s="1">
        <v>43160</v>
      </c>
      <c r="G414" s="14" t="s">
        <v>28</v>
      </c>
      <c r="H414" t="s">
        <v>1197</v>
      </c>
      <c r="I414" s="2" t="s">
        <v>1198</v>
      </c>
      <c r="J414" s="2">
        <v>0.10416666666666667</v>
      </c>
      <c r="K414" s="1">
        <v>0.10416666666666667</v>
      </c>
      <c r="L414" s="1">
        <v>0.20833333333333334</v>
      </c>
      <c r="M414" s="1">
        <v>0</v>
      </c>
      <c r="N414" s="1" t="s">
        <v>956</v>
      </c>
      <c r="O414" s="1" t="s">
        <v>503</v>
      </c>
      <c r="P414" s="1" t="s">
        <v>977</v>
      </c>
      <c r="Q414" s="1">
        <v>43161</v>
      </c>
      <c r="R414" s="14" t="s">
        <v>503</v>
      </c>
      <c r="S414" s="1" t="s">
        <v>22</v>
      </c>
      <c r="T414" s="1" t="s">
        <v>22</v>
      </c>
      <c r="U414" s="1" t="s">
        <v>22</v>
      </c>
    </row>
    <row r="415" spans="1:21" x14ac:dyDescent="0.25">
      <c r="A415" s="1" t="s">
        <v>1190</v>
      </c>
      <c r="B415" s="2" t="s">
        <v>1047</v>
      </c>
      <c r="C415" s="1" t="s">
        <v>989</v>
      </c>
      <c r="D415" s="1" t="s">
        <v>503</v>
      </c>
      <c r="E415" s="1" t="s">
        <v>37</v>
      </c>
      <c r="F415" s="1">
        <v>43161</v>
      </c>
      <c r="G415" s="14" t="s">
        <v>953</v>
      </c>
      <c r="H415" t="s">
        <v>1199</v>
      </c>
      <c r="I415" s="2" t="s">
        <v>1200</v>
      </c>
      <c r="J415" s="2">
        <v>0.006944444444444444</v>
      </c>
      <c r="K415" s="1">
        <v>0.006944444444444444</v>
      </c>
      <c r="L415" s="1">
        <v>0.013888888888888888</v>
      </c>
      <c r="M415" s="1">
        <v>0</v>
      </c>
      <c r="N415" s="1" t="s">
        <v>966</v>
      </c>
      <c r="O415" s="1" t="s">
        <v>503</v>
      </c>
      <c r="P415" s="1" t="s">
        <v>488</v>
      </c>
      <c r="Q415" s="1">
        <v>43161</v>
      </c>
      <c r="R415" s="14" t="s">
        <v>503</v>
      </c>
      <c r="S415" s="1" t="s">
        <v>22</v>
      </c>
      <c r="T415" s="1" t="s">
        <v>22</v>
      </c>
      <c r="U415" s="1" t="s">
        <v>22</v>
      </c>
    </row>
    <row r="416" spans="1:21" x14ac:dyDescent="0.25">
      <c r="A416" s="1" t="s">
        <v>1190</v>
      </c>
      <c r="B416" s="2" t="s">
        <v>1201</v>
      </c>
      <c r="C416" s="1" t="s">
        <v>1112</v>
      </c>
      <c r="D416" s="1" t="s">
        <v>503</v>
      </c>
      <c r="E416" s="1" t="s">
        <v>37</v>
      </c>
      <c r="F416" s="1">
        <v>43161</v>
      </c>
      <c r="G416" s="14" t="s">
        <v>953</v>
      </c>
      <c r="H416" t="s">
        <v>1202</v>
      </c>
      <c r="I416" s="2" t="s">
        <v>1203</v>
      </c>
      <c r="J416" s="2">
        <v>0.001736111111111111</v>
      </c>
      <c r="K416" s="1">
        <v>0.001736111111111111</v>
      </c>
      <c r="L416" s="1">
        <v>0.003472222222222222</v>
      </c>
      <c r="M416" s="1">
        <v>0</v>
      </c>
      <c r="N416" s="1" t="s">
        <v>1001</v>
      </c>
      <c r="O416" s="1" t="s">
        <v>503</v>
      </c>
      <c r="P416" s="1" t="s">
        <v>977</v>
      </c>
      <c r="Q416" s="1">
        <v>43161</v>
      </c>
      <c r="R416" s="14" t="s">
        <v>503</v>
      </c>
      <c r="S416" s="1" t="s">
        <v>22</v>
      </c>
      <c r="T416" s="1" t="s">
        <v>22</v>
      </c>
      <c r="U416" s="1" t="s">
        <v>22</v>
      </c>
    </row>
    <row r="417" spans="1:21" x14ac:dyDescent="0.25">
      <c r="A417" s="1" t="s">
        <v>1190</v>
      </c>
      <c r="B417" s="2" t="s">
        <v>1204</v>
      </c>
      <c r="C417" s="1" t="s">
        <v>951</v>
      </c>
      <c r="D417" s="1" t="s">
        <v>503</v>
      </c>
      <c r="E417" s="1" t="s">
        <v>37</v>
      </c>
      <c r="F417" s="1">
        <v>43166</v>
      </c>
      <c r="G417" s="14" t="s">
        <v>255</v>
      </c>
      <c r="H417" t="s">
        <v>1205</v>
      </c>
      <c r="I417" s="2" t="s">
        <v>1206</v>
      </c>
      <c r="J417" s="2">
        <v>0.0625</v>
      </c>
      <c r="K417" s="1">
        <v>0.0625</v>
      </c>
      <c r="L417" s="1">
        <v>0.125</v>
      </c>
      <c r="M417" s="1">
        <v>0</v>
      </c>
      <c r="N417" s="1" t="s">
        <v>1001</v>
      </c>
      <c r="O417" s="1" t="s">
        <v>503</v>
      </c>
      <c r="P417" s="1" t="s">
        <v>117</v>
      </c>
      <c r="Q417" s="1">
        <v>43166</v>
      </c>
      <c r="R417" s="14" t="s">
        <v>503</v>
      </c>
      <c r="S417" s="1" t="s">
        <v>22</v>
      </c>
      <c r="T417" s="1" t="s">
        <v>22</v>
      </c>
      <c r="U417" s="1" t="s">
        <v>22</v>
      </c>
    </row>
    <row r="418" spans="1:21" x14ac:dyDescent="0.25">
      <c r="A418" s="1" t="s">
        <v>1190</v>
      </c>
      <c r="B418" s="2" t="s">
        <v>99</v>
      </c>
      <c r="C418" s="1" t="s">
        <v>25</v>
      </c>
      <c r="D418" s="1" t="s">
        <v>503</v>
      </c>
      <c r="E418" s="1" t="s">
        <v>37</v>
      </c>
      <c r="F418" s="1">
        <v>43166</v>
      </c>
      <c r="G418" s="14" t="s">
        <v>28</v>
      </c>
      <c r="H418" t="s">
        <v>1207</v>
      </c>
      <c r="I418" s="2" t="s">
        <v>1208</v>
      </c>
      <c r="J418" s="2">
        <v>0.08333333333333333</v>
      </c>
      <c r="K418" s="1">
        <v>0.08333333333333333</v>
      </c>
      <c r="L418" s="1">
        <v>0.16666666666666666</v>
      </c>
      <c r="M418" s="1">
        <v>0</v>
      </c>
      <c r="N418" s="1" t="s">
        <v>956</v>
      </c>
      <c r="O418" s="1" t="s">
        <v>503</v>
      </c>
      <c r="P418" s="1" t="s">
        <v>488</v>
      </c>
      <c r="Q418" s="1">
        <v>43166</v>
      </c>
      <c r="R418" s="14" t="s">
        <v>503</v>
      </c>
      <c r="S418" s="1" t="s">
        <v>22</v>
      </c>
      <c r="T418" s="1" t="s">
        <v>22</v>
      </c>
      <c r="U418" s="1" t="s">
        <v>22</v>
      </c>
    </row>
    <row r="419" spans="1:21" x14ac:dyDescent="0.25">
      <c r="A419" s="1" t="s">
        <v>1190</v>
      </c>
      <c r="B419" s="2" t="s">
        <v>286</v>
      </c>
      <c r="C419" s="1" t="s">
        <v>974</v>
      </c>
      <c r="D419" s="1" t="s">
        <v>503</v>
      </c>
      <c r="E419" s="1" t="s">
        <v>37</v>
      </c>
      <c r="F419" s="1">
        <v>43166</v>
      </c>
      <c r="G419" s="14" t="s">
        <v>953</v>
      </c>
      <c r="H419" t="s">
        <v>1209</v>
      </c>
      <c r="I419" s="2" t="s">
        <v>1210</v>
      </c>
      <c r="J419" s="2">
        <v>0.010416666666666666</v>
      </c>
      <c r="K419" s="1">
        <v>0.010416666666666666</v>
      </c>
      <c r="L419" s="1">
        <v>0.020833333333333332</v>
      </c>
      <c r="M419" s="1">
        <v>0</v>
      </c>
      <c r="N419" s="1" t="s">
        <v>956</v>
      </c>
      <c r="O419" s="1" t="s">
        <v>503</v>
      </c>
      <c r="P419" s="1" t="s">
        <v>977</v>
      </c>
      <c r="Q419" s="1">
        <v>43166</v>
      </c>
      <c r="R419" s="14" t="s">
        <v>503</v>
      </c>
      <c r="S419" s="1" t="s">
        <v>22</v>
      </c>
      <c r="T419" s="1" t="s">
        <v>22</v>
      </c>
      <c r="U419" s="1" t="s">
        <v>22</v>
      </c>
    </row>
    <row r="420" spans="1:21" x14ac:dyDescent="0.25">
      <c r="A420" s="1" t="s">
        <v>1190</v>
      </c>
      <c r="B420" s="2" t="s">
        <v>288</v>
      </c>
      <c r="C420" s="1" t="s">
        <v>25</v>
      </c>
      <c r="D420" s="1" t="s">
        <v>503</v>
      </c>
      <c r="E420" s="1" t="s">
        <v>27</v>
      </c>
      <c r="F420" s="1">
        <v>43168</v>
      </c>
      <c r="G420" s="14" t="s">
        <v>28</v>
      </c>
      <c r="H420" t="s">
        <v>1211</v>
      </c>
      <c r="I420" s="2" t="s">
        <v>1211</v>
      </c>
      <c r="J420" s="2">
        <v>0.003472222222222222</v>
      </c>
      <c r="K420" s="1">
        <v>0.003472222222222222</v>
      </c>
      <c r="L420" s="1">
        <v>0.006944444444444444</v>
      </c>
      <c r="M420" s="1">
        <v>0</v>
      </c>
      <c r="N420" s="1" t="s">
        <v>966</v>
      </c>
      <c r="O420" s="1" t="s">
        <v>503</v>
      </c>
      <c r="P420" s="1" t="s">
        <v>977</v>
      </c>
      <c r="Q420" s="1">
        <v>43168</v>
      </c>
      <c r="R420" s="14" t="s">
        <v>503</v>
      </c>
      <c r="S420" s="1" t="s">
        <v>22</v>
      </c>
      <c r="T420" s="1" t="s">
        <v>22</v>
      </c>
      <c r="U420" s="1" t="s">
        <v>22</v>
      </c>
    </row>
    <row r="421" spans="1:21" x14ac:dyDescent="0.25">
      <c r="A421" s="1" t="s">
        <v>1190</v>
      </c>
      <c r="B421" s="2" t="s">
        <v>1012</v>
      </c>
      <c r="C421" s="1" t="s">
        <v>25</v>
      </c>
      <c r="D421" s="1" t="s">
        <v>503</v>
      </c>
      <c r="E421" s="1" t="s">
        <v>27</v>
      </c>
      <c r="F421" s="1">
        <v>43168</v>
      </c>
      <c r="G421" s="14" t="s">
        <v>28</v>
      </c>
      <c r="H421" t="s">
        <v>1211</v>
      </c>
      <c r="I421" s="2" t="s">
        <v>1211</v>
      </c>
      <c r="J421" s="2">
        <v>0.003472222222222222</v>
      </c>
      <c r="K421" s="1">
        <v>0.003472222222222222</v>
      </c>
      <c r="L421" s="1">
        <v>0.006944444444444444</v>
      </c>
      <c r="M421" s="1">
        <v>0</v>
      </c>
      <c r="N421" s="1" t="s">
        <v>966</v>
      </c>
      <c r="O421" s="1" t="s">
        <v>503</v>
      </c>
      <c r="P421" s="1" t="s">
        <v>977</v>
      </c>
      <c r="Q421" s="1">
        <v>43168</v>
      </c>
      <c r="R421" s="14" t="s">
        <v>503</v>
      </c>
      <c r="S421" s="1" t="s">
        <v>22</v>
      </c>
      <c r="T421" s="1" t="s">
        <v>22</v>
      </c>
      <c r="U421" s="1" t="s">
        <v>22</v>
      </c>
    </row>
    <row r="422" spans="1:21" x14ac:dyDescent="0.25">
      <c r="A422" s="1" t="s">
        <v>1190</v>
      </c>
      <c r="B422" s="2" t="s">
        <v>1212</v>
      </c>
      <c r="C422" s="1" t="s">
        <v>25</v>
      </c>
      <c r="D422" s="1" t="s">
        <v>503</v>
      </c>
      <c r="E422" s="1" t="s">
        <v>27</v>
      </c>
      <c r="F422" s="1">
        <v>43168</v>
      </c>
      <c r="G422" s="14" t="s">
        <v>28</v>
      </c>
      <c r="H422" t="s">
        <v>1211</v>
      </c>
      <c r="I422" s="2" t="s">
        <v>1211</v>
      </c>
      <c r="J422" s="2">
        <v>0.003472222222222222</v>
      </c>
      <c r="K422" s="1">
        <v>0.003472222222222222</v>
      </c>
      <c r="L422" s="1">
        <v>0.006944444444444444</v>
      </c>
      <c r="M422" s="1">
        <v>0</v>
      </c>
      <c r="N422" s="1" t="s">
        <v>966</v>
      </c>
      <c r="O422" s="1" t="s">
        <v>503</v>
      </c>
      <c r="P422" s="1" t="s">
        <v>977</v>
      </c>
      <c r="Q422" s="1">
        <v>43168</v>
      </c>
      <c r="R422" s="14" t="s">
        <v>503</v>
      </c>
      <c r="S422" s="1" t="s">
        <v>22</v>
      </c>
      <c r="T422" s="1" t="s">
        <v>22</v>
      </c>
      <c r="U422" s="1" t="s">
        <v>22</v>
      </c>
    </row>
    <row r="423" spans="1:21" x14ac:dyDescent="0.25">
      <c r="A423" s="1" t="s">
        <v>1190</v>
      </c>
      <c r="B423" s="2" t="s">
        <v>988</v>
      </c>
      <c r="C423" s="1" t="s">
        <v>989</v>
      </c>
      <c r="D423" s="1" t="s">
        <v>503</v>
      </c>
      <c r="E423" s="1" t="s">
        <v>952</v>
      </c>
      <c r="F423" s="1">
        <v>43172</v>
      </c>
      <c r="G423" s="14" t="s">
        <v>1073</v>
      </c>
      <c r="H423" t="s">
        <v>1213</v>
      </c>
      <c r="I423" s="2" t="s">
        <v>1214</v>
      </c>
      <c r="J423" s="2">
        <v>0.010416666666666666</v>
      </c>
      <c r="K423" s="1">
        <v>0.010416666666666666</v>
      </c>
      <c r="L423" s="1">
        <v>0.020833333333333332</v>
      </c>
      <c r="M423" s="1">
        <v>0</v>
      </c>
      <c r="N423" s="1" t="s">
        <v>1001</v>
      </c>
      <c r="O423" s="1" t="s">
        <v>503</v>
      </c>
      <c r="P423" s="1" t="s">
        <v>967</v>
      </c>
      <c r="Q423" s="1">
        <v>43172</v>
      </c>
      <c r="R423" s="14" t="s">
        <v>503</v>
      </c>
      <c r="S423" s="1" t="s">
        <v>22</v>
      </c>
      <c r="T423" s="1" t="s">
        <v>22</v>
      </c>
      <c r="U423" s="1" t="s">
        <v>22</v>
      </c>
    </row>
    <row r="424" spans="1:21" x14ac:dyDescent="0.25">
      <c r="A424" s="1" t="s">
        <v>1190</v>
      </c>
      <c r="B424" s="2" t="s">
        <v>1111</v>
      </c>
      <c r="C424" s="1" t="s">
        <v>1112</v>
      </c>
      <c r="D424" s="1" t="s">
        <v>503</v>
      </c>
      <c r="E424" s="1" t="s">
        <v>27</v>
      </c>
      <c r="F424" s="1">
        <v>43173</v>
      </c>
      <c r="G424" s="14" t="s">
        <v>50</v>
      </c>
      <c r="H424" t="s">
        <v>1215</v>
      </c>
      <c r="I424" s="2" t="s">
        <v>1216</v>
      </c>
      <c r="J424" s="2">
        <v>0.020833333333333332</v>
      </c>
      <c r="K424" s="1">
        <v>0.020833333333333332</v>
      </c>
      <c r="L424" s="1">
        <v>0.041666666666666664</v>
      </c>
      <c r="M424" s="1">
        <v>0</v>
      </c>
      <c r="N424" s="1" t="s">
        <v>956</v>
      </c>
      <c r="O424" s="1" t="s">
        <v>503</v>
      </c>
      <c r="P424" s="1" t="s">
        <v>977</v>
      </c>
      <c r="Q424" s="1">
        <v>43173</v>
      </c>
      <c r="R424" s="14" t="s">
        <v>503</v>
      </c>
      <c r="S424" s="1" t="s">
        <v>22</v>
      </c>
      <c r="T424" s="1" t="s">
        <v>22</v>
      </c>
      <c r="U424" s="1" t="s">
        <v>22</v>
      </c>
    </row>
    <row r="425" spans="1:21" x14ac:dyDescent="0.25">
      <c r="A425" s="1" t="s">
        <v>1190</v>
      </c>
      <c r="B425" s="2" t="s">
        <v>1217</v>
      </c>
      <c r="C425" s="1" t="s">
        <v>261</v>
      </c>
      <c r="D425" s="1" t="s">
        <v>503</v>
      </c>
      <c r="E425" s="1" t="s">
        <v>27</v>
      </c>
      <c r="F425" s="1">
        <v>43174</v>
      </c>
      <c r="G425" s="14" t="s">
        <v>50</v>
      </c>
      <c r="H425" t="s">
        <v>1218</v>
      </c>
      <c r="I425" s="2" t="s">
        <v>1219</v>
      </c>
      <c r="J425" s="2">
        <v>0.010416666666666666</v>
      </c>
      <c r="K425" s="1">
        <v>0.010416666666666666</v>
      </c>
      <c r="L425" s="1">
        <v>0.020833333333333332</v>
      </c>
      <c r="M425" s="1">
        <v>0</v>
      </c>
      <c r="N425" s="1" t="s">
        <v>956</v>
      </c>
      <c r="O425" s="1" t="s">
        <v>503</v>
      </c>
      <c r="P425" s="1" t="s">
        <v>977</v>
      </c>
      <c r="Q425" s="1">
        <v>43174</v>
      </c>
      <c r="R425" s="14" t="s">
        <v>503</v>
      </c>
      <c r="S425" s="1" t="s">
        <v>22</v>
      </c>
      <c r="T425" s="1" t="s">
        <v>22</v>
      </c>
      <c r="U425" s="1" t="s">
        <v>22</v>
      </c>
    </row>
    <row r="426" spans="1:21" x14ac:dyDescent="0.25">
      <c r="A426" s="1" t="s">
        <v>1190</v>
      </c>
      <c r="B426" s="2" t="s">
        <v>1009</v>
      </c>
      <c r="C426" s="1" t="s">
        <v>951</v>
      </c>
      <c r="D426" s="1" t="s">
        <v>503</v>
      </c>
      <c r="E426" s="1" t="s">
        <v>37</v>
      </c>
      <c r="F426" s="1">
        <v>43179</v>
      </c>
      <c r="G426" s="14" t="s">
        <v>255</v>
      </c>
      <c r="H426" t="s">
        <v>1220</v>
      </c>
      <c r="I426" s="2" t="s">
        <v>1221</v>
      </c>
      <c r="J426" s="2">
        <v>0.010416666666666666</v>
      </c>
      <c r="K426" s="1">
        <v>0.010416666666666666</v>
      </c>
      <c r="L426" s="1">
        <v>0.020833333333333332</v>
      </c>
      <c r="M426" s="1">
        <v>0</v>
      </c>
      <c r="N426" s="1" t="s">
        <v>956</v>
      </c>
      <c r="O426" s="1" t="s">
        <v>503</v>
      </c>
      <c r="P426" s="1" t="s">
        <v>957</v>
      </c>
      <c r="Q426" s="1">
        <v>43179</v>
      </c>
      <c r="R426" s="14" t="s">
        <v>503</v>
      </c>
      <c r="S426" s="1" t="s">
        <v>22</v>
      </c>
      <c r="T426" s="1" t="s">
        <v>22</v>
      </c>
      <c r="U426" s="1" t="s">
        <v>22</v>
      </c>
    </row>
    <row r="427" spans="1:21" x14ac:dyDescent="0.25">
      <c r="A427" s="1" t="s">
        <v>1190</v>
      </c>
      <c r="B427" s="2" t="s">
        <v>1222</v>
      </c>
      <c r="C427" s="1" t="s">
        <v>541</v>
      </c>
      <c r="D427" s="1" t="s">
        <v>503</v>
      </c>
      <c r="E427" s="1" t="s">
        <v>37</v>
      </c>
      <c r="F427" s="1">
        <v>43180</v>
      </c>
      <c r="G427" s="14" t="s">
        <v>28</v>
      </c>
      <c r="H427" t="s">
        <v>1223</v>
      </c>
      <c r="I427" s="2" t="s">
        <v>1224</v>
      </c>
      <c r="J427" s="2">
        <v>0.020833333333333332</v>
      </c>
      <c r="K427" s="1">
        <v>0.020833333333333332</v>
      </c>
      <c r="L427" s="1">
        <v>0.041666666666666664</v>
      </c>
      <c r="M427" s="1">
        <v>0</v>
      </c>
      <c r="N427" s="1" t="s">
        <v>956</v>
      </c>
      <c r="O427" s="1" t="s">
        <v>503</v>
      </c>
      <c r="P427" s="1" t="s">
        <v>967</v>
      </c>
      <c r="Q427" s="1">
        <v>43179</v>
      </c>
      <c r="R427" s="14" t="s">
        <v>503</v>
      </c>
      <c r="S427" s="1" t="s">
        <v>22</v>
      </c>
      <c r="T427" s="1" t="s">
        <v>22</v>
      </c>
      <c r="U427" s="1" t="s">
        <v>22</v>
      </c>
    </row>
    <row r="428" spans="1:21" x14ac:dyDescent="0.25">
      <c r="A428" s="1" t="s">
        <v>1190</v>
      </c>
      <c r="B428" s="2" t="s">
        <v>1096</v>
      </c>
      <c r="C428" s="1" t="s">
        <v>541</v>
      </c>
      <c r="D428" s="1" t="s">
        <v>503</v>
      </c>
      <c r="E428" s="1" t="s">
        <v>37</v>
      </c>
      <c r="F428" s="1">
        <v>43182</v>
      </c>
      <c r="G428" s="14" t="s">
        <v>28</v>
      </c>
      <c r="H428" t="s">
        <v>1225</v>
      </c>
      <c r="I428" s="2" t="s">
        <v>1226</v>
      </c>
      <c r="J428" s="2">
        <v>0.0625</v>
      </c>
      <c r="K428" s="1">
        <v>0.0625</v>
      </c>
      <c r="L428" s="1">
        <v>0.125</v>
      </c>
      <c r="M428" s="1">
        <v>0</v>
      </c>
      <c r="N428" s="1" t="s">
        <v>1001</v>
      </c>
      <c r="O428" s="1" t="s">
        <v>503</v>
      </c>
      <c r="P428" s="1" t="s">
        <v>967</v>
      </c>
      <c r="Q428" s="1">
        <v>43182</v>
      </c>
      <c r="R428" s="14" t="s">
        <v>503</v>
      </c>
      <c r="S428" s="1" t="s">
        <v>22</v>
      </c>
      <c r="T428" s="1" t="s">
        <v>22</v>
      </c>
      <c r="U428" s="1" t="s">
        <v>22</v>
      </c>
    </row>
    <row r="429" spans="1:21" x14ac:dyDescent="0.25">
      <c r="A429" s="1" t="s">
        <v>1190</v>
      </c>
      <c r="B429" s="2" t="s">
        <v>796</v>
      </c>
      <c r="C429" s="1" t="s">
        <v>285</v>
      </c>
      <c r="D429" s="1" t="s">
        <v>503</v>
      </c>
      <c r="E429" s="1" t="s">
        <v>37</v>
      </c>
      <c r="F429" s="1">
        <v>43182</v>
      </c>
      <c r="G429" s="14" t="s">
        <v>28</v>
      </c>
      <c r="H429" t="s">
        <v>1227</v>
      </c>
      <c r="I429" s="2" t="s">
        <v>1228</v>
      </c>
      <c r="J429" s="2">
        <v>0.010416666666666666</v>
      </c>
      <c r="K429" s="1">
        <v>0.010416666666666666</v>
      </c>
      <c r="L429" s="1">
        <v>0.020833333333333332</v>
      </c>
      <c r="M429" s="1">
        <v>0</v>
      </c>
      <c r="N429" s="1" t="s">
        <v>1001</v>
      </c>
      <c r="O429" s="1" t="s">
        <v>503</v>
      </c>
      <c r="P429" s="1" t="s">
        <v>488</v>
      </c>
      <c r="Q429" s="1">
        <v>43182</v>
      </c>
      <c r="R429" s="14" t="s">
        <v>503</v>
      </c>
      <c r="S429" s="1" t="s">
        <v>22</v>
      </c>
      <c r="T429" s="1" t="s">
        <v>22</v>
      </c>
      <c r="U429" s="1" t="s">
        <v>22</v>
      </c>
    </row>
    <row r="430" spans="1:21" x14ac:dyDescent="0.25">
      <c r="A430" s="1" t="s">
        <v>1190</v>
      </c>
      <c r="B430" s="2" t="s">
        <v>1093</v>
      </c>
      <c r="C430" s="1" t="s">
        <v>25</v>
      </c>
      <c r="D430" s="1" t="s">
        <v>503</v>
      </c>
      <c r="E430" s="1" t="s">
        <v>27</v>
      </c>
      <c r="F430" s="1">
        <v>43186</v>
      </c>
      <c r="G430" s="14" t="s">
        <v>953</v>
      </c>
      <c r="H430" t="s">
        <v>1229</v>
      </c>
      <c r="I430" s="2" t="s">
        <v>1230</v>
      </c>
      <c r="J430" s="2">
        <v>0.003472222222222222</v>
      </c>
      <c r="K430" s="1">
        <v>0.003472222222222222</v>
      </c>
      <c r="L430" s="1">
        <v>0.006944444444444444</v>
      </c>
      <c r="M430" s="1">
        <v>0</v>
      </c>
      <c r="N430" s="1" t="s">
        <v>966</v>
      </c>
      <c r="O430" s="1" t="s">
        <v>503</v>
      </c>
      <c r="P430" s="1" t="s">
        <v>977</v>
      </c>
      <c r="Q430" s="1">
        <v>43186</v>
      </c>
      <c r="R430" s="14" t="s">
        <v>503</v>
      </c>
      <c r="S430" s="1" t="s">
        <v>22</v>
      </c>
      <c r="T430" s="1" t="s">
        <v>22</v>
      </c>
      <c r="U430" s="1" t="s">
        <v>22</v>
      </c>
    </row>
    <row r="431" spans="1:21" x14ac:dyDescent="0.25">
      <c r="A431" s="1" t="s">
        <v>1190</v>
      </c>
      <c r="B431" s="2" t="s">
        <v>1041</v>
      </c>
      <c r="C431" s="1" t="s">
        <v>1042</v>
      </c>
      <c r="D431" s="1" t="s">
        <v>503</v>
      </c>
      <c r="E431" s="1" t="s">
        <v>27</v>
      </c>
      <c r="F431" s="1">
        <v>43187</v>
      </c>
      <c r="G431" s="14" t="s">
        <v>96</v>
      </c>
      <c r="H431" t="s">
        <v>1231</v>
      </c>
      <c r="I431" s="2" t="s">
        <v>1232</v>
      </c>
      <c r="J431" s="2">
        <v>0.03125</v>
      </c>
      <c r="K431" s="1">
        <v>0.03125</v>
      </c>
      <c r="L431" s="1">
        <v>0.0625</v>
      </c>
      <c r="M431" s="1">
        <v>0</v>
      </c>
      <c r="N431" s="1" t="s">
        <v>966</v>
      </c>
      <c r="O431" s="1" t="s">
        <v>503</v>
      </c>
      <c r="P431" s="1" t="s">
        <v>484</v>
      </c>
      <c r="Q431" s="1">
        <v>43187</v>
      </c>
      <c r="R431" s="14" t="s">
        <v>503</v>
      </c>
      <c r="S431" s="1" t="s">
        <v>22</v>
      </c>
      <c r="T431" s="1" t="s">
        <v>22</v>
      </c>
      <c r="U431" s="1" t="s">
        <v>22</v>
      </c>
    </row>
    <row r="432" spans="1:21" x14ac:dyDescent="0.25">
      <c r="A432" s="1" t="s">
        <v>1190</v>
      </c>
      <c r="B432" s="2" t="s">
        <v>1096</v>
      </c>
      <c r="C432" s="1" t="s">
        <v>541</v>
      </c>
      <c r="D432" s="1" t="s">
        <v>503</v>
      </c>
      <c r="E432" s="1" t="s">
        <v>37</v>
      </c>
      <c r="F432" s="1">
        <v>43187</v>
      </c>
      <c r="G432" s="14" t="s">
        <v>50</v>
      </c>
      <c r="H432" t="s">
        <v>1233</v>
      </c>
      <c r="I432" s="2" t="s">
        <v>1234</v>
      </c>
      <c r="J432" s="2">
        <v>0.0625</v>
      </c>
      <c r="K432" s="1">
        <v>0.0625</v>
      </c>
      <c r="L432" s="1">
        <v>0.125</v>
      </c>
      <c r="M432" s="1">
        <v>0</v>
      </c>
      <c r="N432" s="1" t="s">
        <v>966</v>
      </c>
      <c r="O432" s="1" t="s">
        <v>503</v>
      </c>
      <c r="P432" s="1" t="s">
        <v>967</v>
      </c>
      <c r="Q432" s="1">
        <v>43187</v>
      </c>
      <c r="R432" s="14" t="s">
        <v>503</v>
      </c>
      <c r="S432" s="1" t="s">
        <v>22</v>
      </c>
      <c r="T432" s="1" t="s">
        <v>22</v>
      </c>
      <c r="U432" s="1" t="s">
        <v>22</v>
      </c>
    </row>
    <row r="433" spans="1:21" x14ac:dyDescent="0.25">
      <c r="A433" s="1" t="s">
        <v>1190</v>
      </c>
      <c r="B433" s="2" t="s">
        <v>1235</v>
      </c>
      <c r="C433" s="1" t="s">
        <v>1236</v>
      </c>
      <c r="D433" s="1" t="s">
        <v>503</v>
      </c>
      <c r="E433" s="1" t="s">
        <v>37</v>
      </c>
      <c r="F433" s="1">
        <v>43188</v>
      </c>
      <c r="G433" s="14" t="s">
        <v>50</v>
      </c>
      <c r="H433" t="s">
        <v>1237</v>
      </c>
      <c r="I433" s="2" t="s">
        <v>1238</v>
      </c>
      <c r="J433" s="2">
        <v>0.013888888888888888</v>
      </c>
      <c r="K433" s="1">
        <v>0.013888888888888888</v>
      </c>
      <c r="L433" s="1">
        <v>0.027777777777777776</v>
      </c>
      <c r="M433" s="1">
        <v>0</v>
      </c>
      <c r="N433" s="1" t="s">
        <v>1001</v>
      </c>
      <c r="O433" s="1" t="s">
        <v>503</v>
      </c>
      <c r="P433" s="1" t="s">
        <v>967</v>
      </c>
      <c r="Q433" s="1">
        <v>43188</v>
      </c>
      <c r="R433" s="14" t="s">
        <v>503</v>
      </c>
      <c r="S433" s="1" t="s">
        <v>22</v>
      </c>
      <c r="T433" s="1" t="s">
        <v>22</v>
      </c>
      <c r="U433" s="1" t="s">
        <v>22</v>
      </c>
    </row>
    <row r="434" spans="1:21" x14ac:dyDescent="0.25">
      <c r="A434" s="1" t="s">
        <v>1190</v>
      </c>
      <c r="B434" s="2" t="s">
        <v>199</v>
      </c>
      <c r="C434" s="1" t="s">
        <v>541</v>
      </c>
      <c r="D434" s="1" t="s">
        <v>503</v>
      </c>
      <c r="E434" s="1" t="s">
        <v>37</v>
      </c>
      <c r="F434" s="1">
        <v>43188</v>
      </c>
      <c r="G434" s="14" t="s">
        <v>255</v>
      </c>
      <c r="H434" t="s">
        <v>1239</v>
      </c>
      <c r="I434" s="2" t="s">
        <v>1240</v>
      </c>
      <c r="J434" s="2">
        <v>0.010416666666666666</v>
      </c>
      <c r="K434" s="1">
        <v>0.010416666666666666</v>
      </c>
      <c r="L434" s="1">
        <v>0.020833333333333332</v>
      </c>
      <c r="M434" s="1">
        <v>0</v>
      </c>
      <c r="N434" s="1" t="s">
        <v>956</v>
      </c>
      <c r="O434" s="1" t="s">
        <v>503</v>
      </c>
      <c r="P434" s="1" t="s">
        <v>967</v>
      </c>
      <c r="Q434" s="1">
        <v>43188</v>
      </c>
      <c r="R434" s="14" t="s">
        <v>503</v>
      </c>
      <c r="S434" s="1" t="s">
        <v>22</v>
      </c>
      <c r="T434" s="1" t="s">
        <v>22</v>
      </c>
      <c r="U434" s="1" t="s">
        <v>22</v>
      </c>
    </row>
    <row r="435" spans="1:21" x14ac:dyDescent="0.25">
      <c r="A435" s="1" t="s">
        <v>1241</v>
      </c>
      <c r="B435" s="2" t="s">
        <v>1222</v>
      </c>
      <c r="C435" s="1" t="s">
        <v>541</v>
      </c>
      <c r="D435" s="1" t="s">
        <v>503</v>
      </c>
      <c r="E435" s="1" t="s">
        <v>27</v>
      </c>
      <c r="F435" s="1">
        <v>43194</v>
      </c>
      <c r="G435" s="14" t="s">
        <v>50</v>
      </c>
      <c r="H435" t="s">
        <v>1242</v>
      </c>
      <c r="I435" s="2" t="s">
        <v>1243</v>
      </c>
      <c r="J435" s="2">
        <v>0.015625</v>
      </c>
      <c r="K435" s="1">
        <v>0.015625</v>
      </c>
      <c r="L435" s="1">
        <v>0.03125</v>
      </c>
      <c r="M435" s="1">
        <v>0</v>
      </c>
      <c r="N435" s="1" t="s">
        <v>956</v>
      </c>
      <c r="O435" s="1" t="s">
        <v>503</v>
      </c>
      <c r="P435" s="1" t="s">
        <v>967</v>
      </c>
      <c r="Q435" s="1">
        <v>43194</v>
      </c>
      <c r="R435" s="14" t="s">
        <v>503</v>
      </c>
      <c r="S435" s="1" t="s">
        <v>22</v>
      </c>
      <c r="T435" s="1" t="s">
        <v>22</v>
      </c>
      <c r="U435" s="1" t="s">
        <v>22</v>
      </c>
    </row>
    <row r="436" spans="1:21" x14ac:dyDescent="0.25">
      <c r="A436" s="1" t="s">
        <v>1241</v>
      </c>
      <c r="B436" s="2" t="s">
        <v>99</v>
      </c>
      <c r="C436" s="1" t="s">
        <v>25</v>
      </c>
      <c r="D436" s="1" t="s">
        <v>503</v>
      </c>
      <c r="E436" s="1" t="s">
        <v>27</v>
      </c>
      <c r="F436" s="1">
        <v>43194</v>
      </c>
      <c r="G436" s="14" t="s">
        <v>28</v>
      </c>
      <c r="H436" t="s">
        <v>1244</v>
      </c>
      <c r="I436" s="2" t="s">
        <v>1245</v>
      </c>
      <c r="J436" s="2">
        <v>0.052083333333333336</v>
      </c>
      <c r="K436" s="1">
        <v>0.052083333333333336</v>
      </c>
      <c r="L436" s="1">
        <v>0.10416666666666667</v>
      </c>
      <c r="M436" s="1">
        <v>0</v>
      </c>
      <c r="N436" s="1" t="s">
        <v>956</v>
      </c>
      <c r="O436" s="1" t="s">
        <v>503</v>
      </c>
      <c r="P436" s="1" t="s">
        <v>488</v>
      </c>
      <c r="Q436" s="1">
        <v>43194</v>
      </c>
      <c r="R436" s="14" t="s">
        <v>503</v>
      </c>
      <c r="S436" s="1" t="s">
        <v>22</v>
      </c>
      <c r="T436" s="1" t="s">
        <v>22</v>
      </c>
      <c r="U436" s="1" t="s">
        <v>22</v>
      </c>
    </row>
    <row r="437" spans="1:21" x14ac:dyDescent="0.25">
      <c r="A437" s="1" t="s">
        <v>1241</v>
      </c>
      <c r="B437" s="2" t="s">
        <v>1038</v>
      </c>
      <c r="C437" s="1" t="s">
        <v>261</v>
      </c>
      <c r="D437" s="1" t="s">
        <v>503</v>
      </c>
      <c r="E437" s="1" t="s">
        <v>27</v>
      </c>
      <c r="F437" s="1">
        <v>43194</v>
      </c>
      <c r="G437" s="14" t="s">
        <v>28</v>
      </c>
      <c r="H437" t="s">
        <v>1246</v>
      </c>
      <c r="I437" s="2" t="s">
        <v>1247</v>
      </c>
      <c r="J437" s="2">
        <v>0.03125</v>
      </c>
      <c r="K437" s="1">
        <v>0.03125</v>
      </c>
      <c r="L437" s="1">
        <v>0.0625</v>
      </c>
      <c r="M437" s="1">
        <v>0</v>
      </c>
      <c r="N437" s="1" t="s">
        <v>1001</v>
      </c>
      <c r="O437" s="1" t="s">
        <v>503</v>
      </c>
      <c r="P437" s="1" t="s">
        <v>488</v>
      </c>
      <c r="Q437" s="1">
        <v>43194</v>
      </c>
      <c r="R437" s="14" t="s">
        <v>503</v>
      </c>
      <c r="S437" s="1" t="s">
        <v>22</v>
      </c>
      <c r="T437" s="1" t="s">
        <v>22</v>
      </c>
      <c r="U437" s="1" t="s">
        <v>22</v>
      </c>
    </row>
    <row r="438" spans="1:21" x14ac:dyDescent="0.25">
      <c r="A438" s="1" t="s">
        <v>1241</v>
      </c>
      <c r="B438" s="2" t="s">
        <v>1222</v>
      </c>
      <c r="C438" s="1" t="s">
        <v>541</v>
      </c>
      <c r="D438" s="1" t="s">
        <v>503</v>
      </c>
      <c r="E438" s="1" t="s">
        <v>952</v>
      </c>
      <c r="F438" s="1">
        <v>43196</v>
      </c>
      <c r="G438" s="14" t="s">
        <v>50</v>
      </c>
      <c r="H438" t="s">
        <v>1248</v>
      </c>
      <c r="I438" s="2" t="s">
        <v>1249</v>
      </c>
      <c r="J438" s="2">
        <v>0.010416666666666666</v>
      </c>
      <c r="K438" s="1">
        <v>0.010416666666666666</v>
      </c>
      <c r="L438" s="1">
        <v>0.020833333333333332</v>
      </c>
      <c r="M438" s="1">
        <v>0</v>
      </c>
      <c r="N438" s="1" t="s">
        <v>1001</v>
      </c>
      <c r="O438" s="1" t="s">
        <v>503</v>
      </c>
      <c r="P438" s="1" t="s">
        <v>967</v>
      </c>
      <c r="Q438" s="1">
        <v>43196</v>
      </c>
      <c r="R438" s="14" t="s">
        <v>503</v>
      </c>
      <c r="S438" s="1" t="s">
        <v>22</v>
      </c>
      <c r="T438" s="1" t="s">
        <v>22</v>
      </c>
      <c r="U438" s="1" t="s">
        <v>22</v>
      </c>
    </row>
    <row r="439" spans="1:21" x14ac:dyDescent="0.25">
      <c r="A439" s="1" t="s">
        <v>1241</v>
      </c>
      <c r="B439" s="2" t="s">
        <v>962</v>
      </c>
      <c r="C439" s="1" t="s">
        <v>963</v>
      </c>
      <c r="D439" s="1" t="s">
        <v>503</v>
      </c>
      <c r="E439" s="1" t="s">
        <v>37</v>
      </c>
      <c r="F439" s="1">
        <v>43195</v>
      </c>
      <c r="G439" s="14" t="s">
        <v>28</v>
      </c>
      <c r="H439" t="s">
        <v>1250</v>
      </c>
      <c r="I439" s="2" t="s">
        <v>1251</v>
      </c>
      <c r="J439" s="2">
        <v>0.010416666666666666</v>
      </c>
      <c r="K439" s="1">
        <v>0.010416666666666666</v>
      </c>
      <c r="L439" s="1">
        <v>0.020833333333333332</v>
      </c>
      <c r="M439" s="1">
        <v>0</v>
      </c>
      <c r="N439" s="1" t="s">
        <v>966</v>
      </c>
      <c r="O439" s="1" t="s">
        <v>503</v>
      </c>
      <c r="P439" s="1" t="s">
        <v>484</v>
      </c>
      <c r="Q439" s="1">
        <v>43195</v>
      </c>
      <c r="R439" s="14" t="s">
        <v>503</v>
      </c>
      <c r="S439" s="1" t="s">
        <v>22</v>
      </c>
      <c r="T439" s="1" t="s">
        <v>22</v>
      </c>
      <c r="U439" s="1" t="s">
        <v>22</v>
      </c>
    </row>
    <row r="440" spans="1:21" x14ac:dyDescent="0.25">
      <c r="A440" s="1" t="s">
        <v>1241</v>
      </c>
      <c r="B440" s="2" t="s">
        <v>122</v>
      </c>
      <c r="C440" s="1" t="s">
        <v>123</v>
      </c>
      <c r="D440" s="1" t="s">
        <v>503</v>
      </c>
      <c r="E440" s="1" t="s">
        <v>27</v>
      </c>
      <c r="F440" s="1">
        <v>43208</v>
      </c>
      <c r="G440" s="14" t="s">
        <v>50</v>
      </c>
      <c r="H440" t="s">
        <v>1252</v>
      </c>
      <c r="I440" s="2" t="s">
        <v>1253</v>
      </c>
      <c r="J440" s="2">
        <v>0.010416666666666666</v>
      </c>
      <c r="K440" s="1">
        <v>0.010416666666666666</v>
      </c>
      <c r="L440" s="1">
        <v>0.020833333333333332</v>
      </c>
      <c r="M440" s="1">
        <v>0</v>
      </c>
      <c r="N440" s="1" t="s">
        <v>1001</v>
      </c>
      <c r="O440" s="1" t="s">
        <v>503</v>
      </c>
      <c r="P440" s="1" t="s">
        <v>977</v>
      </c>
      <c r="Q440" s="1">
        <v>43208</v>
      </c>
      <c r="R440" s="14" t="s">
        <v>503</v>
      </c>
      <c r="S440" s="1" t="s">
        <v>22</v>
      </c>
      <c r="T440" s="1" t="s">
        <v>22</v>
      </c>
      <c r="U440" s="1" t="s">
        <v>22</v>
      </c>
    </row>
    <row r="441" spans="1:21" x14ac:dyDescent="0.25">
      <c r="A441" s="1" t="s">
        <v>1241</v>
      </c>
      <c r="B441" s="2" t="s">
        <v>988</v>
      </c>
      <c r="C441" s="1" t="s">
        <v>989</v>
      </c>
      <c r="D441" s="1" t="s">
        <v>503</v>
      </c>
      <c r="E441" s="1" t="s">
        <v>952</v>
      </c>
      <c r="F441" s="1">
        <v>43208</v>
      </c>
      <c r="G441" s="14" t="s">
        <v>28</v>
      </c>
      <c r="H441" t="s">
        <v>1254</v>
      </c>
      <c r="I441" s="2" t="s">
        <v>1255</v>
      </c>
      <c r="J441" s="2">
        <v>0.027777777777777776</v>
      </c>
      <c r="K441" s="1">
        <v>0.027777777777777776</v>
      </c>
      <c r="L441" s="1">
        <v>0.05555555555555555</v>
      </c>
      <c r="M441" s="1">
        <v>0</v>
      </c>
      <c r="N441" s="1" t="s">
        <v>1001</v>
      </c>
      <c r="O441" s="1" t="s">
        <v>503</v>
      </c>
      <c r="P441" s="1" t="s">
        <v>967</v>
      </c>
      <c r="Q441" s="1">
        <v>43208</v>
      </c>
      <c r="R441" s="14" t="s">
        <v>503</v>
      </c>
      <c r="S441" s="1" t="s">
        <v>22</v>
      </c>
      <c r="T441" s="1" t="s">
        <v>22</v>
      </c>
      <c r="U441" s="1" t="s">
        <v>22</v>
      </c>
    </row>
    <row r="442" spans="1:21" x14ac:dyDescent="0.25">
      <c r="A442" s="1" t="s">
        <v>1241</v>
      </c>
      <c r="B442" s="2" t="s">
        <v>1041</v>
      </c>
      <c r="C442" s="1" t="s">
        <v>1042</v>
      </c>
      <c r="D442" s="1" t="s">
        <v>503</v>
      </c>
      <c r="E442" s="1" t="s">
        <v>37</v>
      </c>
      <c r="F442" s="1">
        <v>43210</v>
      </c>
      <c r="G442" s="14" t="s">
        <v>1073</v>
      </c>
      <c r="H442" t="s">
        <v>1256</v>
      </c>
      <c r="I442" s="2" t="s">
        <v>1257</v>
      </c>
      <c r="J442" s="2">
        <v>0.010416666666666666</v>
      </c>
      <c r="K442" s="1">
        <v>0.010416666666666666</v>
      </c>
      <c r="L442" s="1">
        <v>0.020833333333333332</v>
      </c>
      <c r="M442" s="1">
        <v>0</v>
      </c>
      <c r="N442" s="1" t="s">
        <v>966</v>
      </c>
      <c r="O442" s="1" t="s">
        <v>503</v>
      </c>
      <c r="P442" s="1" t="s">
        <v>484</v>
      </c>
      <c r="Q442" s="1">
        <v>43210</v>
      </c>
      <c r="R442" s="14" t="s">
        <v>503</v>
      </c>
      <c r="S442" s="1" t="s">
        <v>22</v>
      </c>
      <c r="T442" s="1" t="s">
        <v>22</v>
      </c>
      <c r="U442" s="1" t="s">
        <v>22</v>
      </c>
    </row>
    <row r="443" spans="1:21" x14ac:dyDescent="0.25">
      <c r="A443" s="1" t="s">
        <v>1241</v>
      </c>
      <c r="B443" s="2" t="s">
        <v>489</v>
      </c>
      <c r="C443" s="1" t="s">
        <v>1258</v>
      </c>
      <c r="D443" s="1" t="s">
        <v>503</v>
      </c>
      <c r="E443" s="1" t="s">
        <v>952</v>
      </c>
      <c r="F443" s="1">
        <v>43210</v>
      </c>
      <c r="G443" s="14" t="s">
        <v>28</v>
      </c>
      <c r="H443" t="s">
        <v>1259</v>
      </c>
      <c r="I443" s="2" t="s">
        <v>1260</v>
      </c>
      <c r="J443" s="2">
        <v>0.024305555555555556</v>
      </c>
      <c r="K443" s="1">
        <v>0.024305555555555556</v>
      </c>
      <c r="L443" s="1">
        <v>0.04861111111111111</v>
      </c>
      <c r="M443" s="1">
        <v>0</v>
      </c>
      <c r="N443" s="1" t="s">
        <v>1001</v>
      </c>
      <c r="O443" s="1" t="s">
        <v>503</v>
      </c>
      <c r="P443" s="1" t="s">
        <v>967</v>
      </c>
      <c r="Q443" s="1">
        <v>43210</v>
      </c>
      <c r="R443" s="14" t="s">
        <v>503</v>
      </c>
      <c r="S443" s="1" t="s">
        <v>22</v>
      </c>
      <c r="T443" s="1" t="s">
        <v>22</v>
      </c>
      <c r="U443" s="1" t="s">
        <v>22</v>
      </c>
    </row>
    <row r="444" spans="1:21" x14ac:dyDescent="0.25">
      <c r="A444" s="1" t="s">
        <v>1241</v>
      </c>
      <c r="B444" s="2" t="s">
        <v>1041</v>
      </c>
      <c r="C444" s="1" t="s">
        <v>1042</v>
      </c>
      <c r="D444" s="1" t="s">
        <v>503</v>
      </c>
      <c r="E444" s="1" t="s">
        <v>37</v>
      </c>
      <c r="F444" s="1">
        <v>43211</v>
      </c>
      <c r="G444" s="14" t="s">
        <v>28</v>
      </c>
      <c r="H444" t="s">
        <v>1261</v>
      </c>
      <c r="I444" s="2" t="s">
        <v>1262</v>
      </c>
      <c r="J444" s="2">
        <v>0.06770833333333333</v>
      </c>
      <c r="K444" s="1">
        <v>0.06770833333333333</v>
      </c>
      <c r="L444" s="1">
        <v>0.13541666666666666</v>
      </c>
      <c r="M444" s="1">
        <v>0</v>
      </c>
      <c r="N444" s="1" t="s">
        <v>966</v>
      </c>
      <c r="O444" s="1" t="s">
        <v>503</v>
      </c>
      <c r="P444" s="1" t="s">
        <v>484</v>
      </c>
      <c r="Q444" s="1">
        <v>43211</v>
      </c>
      <c r="R444" s="14" t="s">
        <v>503</v>
      </c>
      <c r="S444" s="1" t="s">
        <v>22</v>
      </c>
      <c r="T444" s="1" t="s">
        <v>22</v>
      </c>
      <c r="U444" s="1" t="s">
        <v>22</v>
      </c>
    </row>
    <row r="445" spans="1:21" x14ac:dyDescent="0.25">
      <c r="A445" s="1" t="s">
        <v>1241</v>
      </c>
      <c r="B445" s="2" t="s">
        <v>1120</v>
      </c>
      <c r="C445" s="1" t="s">
        <v>541</v>
      </c>
      <c r="D445" s="1" t="s">
        <v>503</v>
      </c>
      <c r="E445" s="1" t="s">
        <v>37</v>
      </c>
      <c r="F445" s="1">
        <v>43216</v>
      </c>
      <c r="G445" s="14" t="s">
        <v>28</v>
      </c>
      <c r="H445" t="s">
        <v>1263</v>
      </c>
      <c r="I445" s="2" t="s">
        <v>1264</v>
      </c>
      <c r="J445" s="2">
        <v>0.041666666666666664</v>
      </c>
      <c r="K445" s="1">
        <v>0.041666666666666664</v>
      </c>
      <c r="L445" s="1">
        <v>0.08333333333333333</v>
      </c>
      <c r="M445" s="1">
        <v>0</v>
      </c>
      <c r="N445" s="1" t="s">
        <v>1001</v>
      </c>
      <c r="O445" s="1" t="s">
        <v>503</v>
      </c>
      <c r="P445" s="1" t="s">
        <v>967</v>
      </c>
      <c r="Q445" s="1">
        <v>43216</v>
      </c>
      <c r="R445" s="14" t="s">
        <v>503</v>
      </c>
      <c r="S445" s="1" t="s">
        <v>22</v>
      </c>
      <c r="T445" s="1" t="s">
        <v>22</v>
      </c>
      <c r="U445" s="1" t="s">
        <v>22</v>
      </c>
    </row>
    <row r="446" spans="1:21" x14ac:dyDescent="0.25">
      <c r="A446" s="1" t="s">
        <v>1265</v>
      </c>
      <c r="B446" s="2" t="s">
        <v>1235</v>
      </c>
      <c r="C446" s="1" t="s">
        <v>1236</v>
      </c>
      <c r="D446" s="1" t="s">
        <v>503</v>
      </c>
      <c r="E446" s="1" t="s">
        <v>37</v>
      </c>
      <c r="F446" s="1">
        <v>43222</v>
      </c>
      <c r="G446" s="14" t="s">
        <v>28</v>
      </c>
      <c r="H446" t="s">
        <v>1266</v>
      </c>
      <c r="I446" s="2" t="s">
        <v>1267</v>
      </c>
      <c r="J446" s="2">
        <v>0.020833333333333332</v>
      </c>
      <c r="K446" s="1">
        <v>0.020833333333333332</v>
      </c>
      <c r="L446" s="1">
        <v>0.041666666666666664</v>
      </c>
      <c r="M446" s="1">
        <v>0</v>
      </c>
      <c r="N446" s="1" t="s">
        <v>1001</v>
      </c>
      <c r="O446" s="1" t="s">
        <v>503</v>
      </c>
      <c r="P446" s="1" t="s">
        <v>484</v>
      </c>
      <c r="Q446" s="1">
        <v>43222</v>
      </c>
      <c r="R446" s="14" t="s">
        <v>503</v>
      </c>
      <c r="S446" s="1" t="s">
        <v>22</v>
      </c>
      <c r="T446" s="1" t="s">
        <v>22</v>
      </c>
      <c r="U446" s="1" t="s">
        <v>22</v>
      </c>
    </row>
    <row r="447" spans="1:21" x14ac:dyDescent="0.25">
      <c r="A447" s="1" t="s">
        <v>1265</v>
      </c>
      <c r="B447" s="2" t="s">
        <v>1169</v>
      </c>
      <c r="C447" s="1" t="s">
        <v>989</v>
      </c>
      <c r="D447" s="1" t="s">
        <v>503</v>
      </c>
      <c r="E447" s="1" t="s">
        <v>27</v>
      </c>
      <c r="F447" s="1">
        <v>43222</v>
      </c>
      <c r="G447" s="14" t="s">
        <v>38</v>
      </c>
      <c r="H447" t="s">
        <v>1268</v>
      </c>
      <c r="I447" s="2" t="s">
        <v>1269</v>
      </c>
      <c r="J447" s="2">
        <v>0.0625</v>
      </c>
      <c r="K447" s="1">
        <v>0.0625</v>
      </c>
      <c r="L447" s="1">
        <v>0.125</v>
      </c>
      <c r="M447" s="1">
        <v>0</v>
      </c>
      <c r="N447" s="1" t="s">
        <v>1001</v>
      </c>
      <c r="O447" s="1" t="s">
        <v>503</v>
      </c>
      <c r="P447" s="1" t="s">
        <v>484</v>
      </c>
      <c r="Q447" s="1">
        <v>43222</v>
      </c>
      <c r="R447" s="14" t="s">
        <v>503</v>
      </c>
      <c r="S447" s="1" t="s">
        <v>22</v>
      </c>
      <c r="T447" s="1" t="s">
        <v>22</v>
      </c>
      <c r="U447" s="1" t="s">
        <v>22</v>
      </c>
    </row>
    <row r="448" spans="1:21" x14ac:dyDescent="0.25">
      <c r="A448" s="1" t="s">
        <v>1265</v>
      </c>
      <c r="B448" s="2" t="s">
        <v>286</v>
      </c>
      <c r="C448" s="1" t="s">
        <v>974</v>
      </c>
      <c r="D448" s="1" t="s">
        <v>503</v>
      </c>
      <c r="E448" s="1" t="s">
        <v>27</v>
      </c>
      <c r="F448" s="1">
        <v>43223</v>
      </c>
      <c r="G448" s="14" t="s">
        <v>50</v>
      </c>
      <c r="H448" t="s">
        <v>1270</v>
      </c>
      <c r="I448" s="2" t="s">
        <v>1271</v>
      </c>
      <c r="J448" s="2">
        <v>0.010416666666666666</v>
      </c>
      <c r="K448" s="1">
        <v>0.010416666666666666</v>
      </c>
      <c r="L448" s="1">
        <v>0.020833333333333332</v>
      </c>
      <c r="M448" s="1">
        <v>0</v>
      </c>
      <c r="N448" s="1" t="s">
        <v>966</v>
      </c>
      <c r="O448" s="1" t="s">
        <v>503</v>
      </c>
      <c r="P448" s="1" t="s">
        <v>977</v>
      </c>
      <c r="Q448" s="1">
        <v>43223</v>
      </c>
      <c r="R448" s="14" t="s">
        <v>503</v>
      </c>
      <c r="S448" s="1" t="s">
        <v>22</v>
      </c>
      <c r="T448" s="1" t="s">
        <v>22</v>
      </c>
      <c r="U448" s="1" t="s">
        <v>22</v>
      </c>
    </row>
    <row r="449" spans="1:21" x14ac:dyDescent="0.25">
      <c r="A449" s="1" t="s">
        <v>1265</v>
      </c>
      <c r="B449" s="2" t="s">
        <v>286</v>
      </c>
      <c r="C449" s="1" t="s">
        <v>974</v>
      </c>
      <c r="D449" s="1" t="s">
        <v>503</v>
      </c>
      <c r="E449" s="1" t="s">
        <v>27</v>
      </c>
      <c r="F449" s="1">
        <v>43223</v>
      </c>
      <c r="G449" s="14" t="s">
        <v>50</v>
      </c>
      <c r="H449" t="s">
        <v>1272</v>
      </c>
      <c r="I449" s="2" t="s">
        <v>1273</v>
      </c>
      <c r="J449" s="2">
        <v>0.0625</v>
      </c>
      <c r="K449" s="1">
        <v>0.0625</v>
      </c>
      <c r="L449" s="1">
        <v>0.125</v>
      </c>
      <c r="M449" s="1">
        <v>0</v>
      </c>
      <c r="N449" s="1" t="s">
        <v>966</v>
      </c>
      <c r="O449" s="1" t="s">
        <v>503</v>
      </c>
      <c r="P449" s="1" t="s">
        <v>977</v>
      </c>
      <c r="Q449" s="1">
        <v>43223</v>
      </c>
      <c r="R449" s="14" t="s">
        <v>503</v>
      </c>
      <c r="S449" s="1" t="s">
        <v>22</v>
      </c>
      <c r="T449" s="1" t="s">
        <v>22</v>
      </c>
      <c r="U449" s="1" t="s">
        <v>22</v>
      </c>
    </row>
    <row r="450" spans="1:21" x14ac:dyDescent="0.25">
      <c r="A450" s="1" t="s">
        <v>1265</v>
      </c>
      <c r="B450" s="2" t="s">
        <v>1041</v>
      </c>
      <c r="C450" s="1" t="s">
        <v>1042</v>
      </c>
      <c r="D450" s="1" t="s">
        <v>503</v>
      </c>
      <c r="E450" s="1" t="s">
        <v>952</v>
      </c>
      <c r="F450" s="1">
        <v>43224</v>
      </c>
      <c r="G450" s="14" t="s">
        <v>28</v>
      </c>
      <c r="H450" t="s">
        <v>1274</v>
      </c>
      <c r="I450" s="2" t="s">
        <v>1275</v>
      </c>
      <c r="J450" s="2">
        <v>0.010416666666666666</v>
      </c>
      <c r="K450" s="1">
        <v>0.010416666666666666</v>
      </c>
      <c r="L450" s="1">
        <v>0.020833333333333332</v>
      </c>
      <c r="M450" s="1">
        <v>0</v>
      </c>
      <c r="N450" s="1" t="s">
        <v>966</v>
      </c>
      <c r="O450" s="1" t="s">
        <v>503</v>
      </c>
      <c r="P450" s="1" t="s">
        <v>484</v>
      </c>
      <c r="Q450" s="1">
        <v>43224</v>
      </c>
      <c r="R450" s="14" t="s">
        <v>503</v>
      </c>
      <c r="S450" s="1" t="s">
        <v>22</v>
      </c>
      <c r="T450" s="1" t="s">
        <v>22</v>
      </c>
      <c r="U450" s="1" t="s">
        <v>22</v>
      </c>
    </row>
    <row r="451" spans="1:21" x14ac:dyDescent="0.25">
      <c r="A451" s="1" t="s">
        <v>1265</v>
      </c>
      <c r="B451" s="2" t="s">
        <v>1002</v>
      </c>
      <c r="C451" s="1" t="s">
        <v>1003</v>
      </c>
      <c r="D451" s="1" t="s">
        <v>503</v>
      </c>
      <c r="E451" s="1" t="s">
        <v>27</v>
      </c>
      <c r="F451" s="1">
        <v>43224</v>
      </c>
      <c r="G451" s="14" t="s">
        <v>28</v>
      </c>
      <c r="H451" t="s">
        <v>1276</v>
      </c>
      <c r="I451" s="2" t="s">
        <v>1277</v>
      </c>
      <c r="J451" s="2">
        <v>0.03125</v>
      </c>
      <c r="K451" s="1">
        <v>0.03125</v>
      </c>
      <c r="L451" s="1">
        <v>0.0625</v>
      </c>
      <c r="M451" s="1">
        <v>0</v>
      </c>
      <c r="N451" s="1" t="s">
        <v>966</v>
      </c>
      <c r="O451" s="1" t="s">
        <v>503</v>
      </c>
      <c r="P451" s="1" t="s">
        <v>977</v>
      </c>
      <c r="Q451" s="1">
        <v>43224</v>
      </c>
      <c r="R451" s="14" t="s">
        <v>503</v>
      </c>
      <c r="S451" s="1" t="s">
        <v>22</v>
      </c>
      <c r="T451" s="1" t="s">
        <v>22</v>
      </c>
      <c r="U451" s="1" t="s">
        <v>22</v>
      </c>
    </row>
    <row r="452" spans="1:21" x14ac:dyDescent="0.25">
      <c r="A452" s="1" t="s">
        <v>1265</v>
      </c>
      <c r="B452" s="2" t="s">
        <v>1111</v>
      </c>
      <c r="C452" s="1" t="s">
        <v>1112</v>
      </c>
      <c r="D452" s="1" t="s">
        <v>503</v>
      </c>
      <c r="E452" s="1" t="s">
        <v>37</v>
      </c>
      <c r="F452" s="1">
        <v>43224</v>
      </c>
      <c r="G452" s="14" t="s">
        <v>28</v>
      </c>
      <c r="H452" t="s">
        <v>1278</v>
      </c>
      <c r="I452" s="2" t="s">
        <v>1279</v>
      </c>
      <c r="J452" s="2">
        <v>0.052083333333333336</v>
      </c>
      <c r="K452" s="1">
        <v>0.052083333333333336</v>
      </c>
      <c r="L452" s="1">
        <v>0.10416666666666667</v>
      </c>
      <c r="M452" s="1">
        <v>0</v>
      </c>
      <c r="N452" s="1" t="s">
        <v>1001</v>
      </c>
      <c r="O452" s="1" t="s">
        <v>503</v>
      </c>
      <c r="P452" s="1" t="s">
        <v>977</v>
      </c>
      <c r="Q452" s="1">
        <v>43224</v>
      </c>
      <c r="R452" s="14" t="s">
        <v>503</v>
      </c>
      <c r="S452" s="1" t="s">
        <v>22</v>
      </c>
      <c r="T452" s="1" t="s">
        <v>22</v>
      </c>
      <c r="U452" s="1" t="s">
        <v>22</v>
      </c>
    </row>
    <row r="453" spans="1:21" x14ac:dyDescent="0.25">
      <c r="A453" s="1" t="s">
        <v>1265</v>
      </c>
      <c r="B453" s="2" t="s">
        <v>1012</v>
      </c>
      <c r="C453" s="1" t="s">
        <v>25</v>
      </c>
      <c r="D453" s="1" t="s">
        <v>503</v>
      </c>
      <c r="E453" s="1" t="s">
        <v>27</v>
      </c>
      <c r="F453" s="1">
        <v>43229</v>
      </c>
      <c r="G453" s="14" t="s">
        <v>28</v>
      </c>
      <c r="H453" t="s">
        <v>1280</v>
      </c>
      <c r="I453" s="2" t="s">
        <v>1281</v>
      </c>
      <c r="J453" s="2">
        <v>0.013888888888888888</v>
      </c>
      <c r="K453" s="1">
        <v>0.013888888888888888</v>
      </c>
      <c r="L453" s="1">
        <v>0.027777777777777776</v>
      </c>
      <c r="M453" s="1">
        <v>0</v>
      </c>
      <c r="N453" s="1" t="s">
        <v>1001</v>
      </c>
      <c r="O453" s="1" t="s">
        <v>503</v>
      </c>
      <c r="P453" s="1" t="s">
        <v>977</v>
      </c>
      <c r="Q453" s="1">
        <v>43229</v>
      </c>
      <c r="R453" s="14" t="s">
        <v>503</v>
      </c>
      <c r="S453" s="1" t="s">
        <v>22</v>
      </c>
      <c r="T453" s="1" t="s">
        <v>22</v>
      </c>
      <c r="U453" s="1" t="s">
        <v>22</v>
      </c>
    </row>
    <row r="454" spans="1:21" x14ac:dyDescent="0.25">
      <c r="A454" s="1" t="s">
        <v>1265</v>
      </c>
      <c r="B454" s="2" t="s">
        <v>796</v>
      </c>
      <c r="C454" s="1" t="s">
        <v>285</v>
      </c>
      <c r="D454" s="1" t="s">
        <v>503</v>
      </c>
      <c r="E454" s="1" t="s">
        <v>37</v>
      </c>
      <c r="F454" s="1">
        <v>43225</v>
      </c>
      <c r="G454" s="14" t="s">
        <v>28</v>
      </c>
      <c r="H454" t="s">
        <v>1282</v>
      </c>
      <c r="I454" s="2" t="s">
        <v>1283</v>
      </c>
      <c r="J454" s="2">
        <v>0.0625</v>
      </c>
      <c r="K454" s="1">
        <v>0.0625</v>
      </c>
      <c r="L454" s="1">
        <v>0.125</v>
      </c>
      <c r="M454" s="1">
        <v>0</v>
      </c>
      <c r="N454" s="1" t="s">
        <v>956</v>
      </c>
      <c r="O454" s="1" t="s">
        <v>503</v>
      </c>
      <c r="P454" s="1" t="s">
        <v>977</v>
      </c>
      <c r="Q454" s="1">
        <v>43225</v>
      </c>
      <c r="R454" s="14" t="s">
        <v>503</v>
      </c>
      <c r="S454" s="1" t="s">
        <v>22</v>
      </c>
      <c r="T454" s="1" t="s">
        <v>22</v>
      </c>
      <c r="U454" s="1" t="s">
        <v>22</v>
      </c>
    </row>
    <row r="455" spans="1:21" x14ac:dyDescent="0.25">
      <c r="A455" s="1" t="s">
        <v>1265</v>
      </c>
      <c r="B455" s="2" t="s">
        <v>796</v>
      </c>
      <c r="C455" s="1" t="s">
        <v>285</v>
      </c>
      <c r="D455" s="1" t="s">
        <v>503</v>
      </c>
      <c r="E455" s="1" t="s">
        <v>37</v>
      </c>
      <c r="F455" s="1">
        <v>43231</v>
      </c>
      <c r="G455" s="14" t="s">
        <v>28</v>
      </c>
      <c r="H455" t="s">
        <v>1284</v>
      </c>
      <c r="I455" s="2" t="s">
        <v>1285</v>
      </c>
      <c r="J455" s="2">
        <v>0.015625</v>
      </c>
      <c r="K455" s="1">
        <v>0.015625</v>
      </c>
      <c r="L455" s="1">
        <v>0.03125</v>
      </c>
      <c r="M455" s="1">
        <v>0</v>
      </c>
      <c r="N455" s="1" t="s">
        <v>966</v>
      </c>
      <c r="O455" s="1" t="s">
        <v>503</v>
      </c>
      <c r="P455" s="1" t="s">
        <v>977</v>
      </c>
      <c r="Q455" s="1">
        <v>43231</v>
      </c>
      <c r="R455" s="14" t="s">
        <v>503</v>
      </c>
      <c r="S455" s="1" t="s">
        <v>22</v>
      </c>
      <c r="T455" s="1" t="s">
        <v>22</v>
      </c>
      <c r="U455" s="1" t="s">
        <v>22</v>
      </c>
    </row>
    <row r="456" spans="1:21" x14ac:dyDescent="0.25">
      <c r="A456" s="1" t="s">
        <v>1265</v>
      </c>
      <c r="B456" s="2" t="s">
        <v>1222</v>
      </c>
      <c r="C456" s="1" t="s">
        <v>541</v>
      </c>
      <c r="D456" s="1" t="s">
        <v>503</v>
      </c>
      <c r="E456" s="1" t="s">
        <v>952</v>
      </c>
      <c r="F456" s="1">
        <v>43234</v>
      </c>
      <c r="G456" s="14" t="s">
        <v>50</v>
      </c>
      <c r="H456" t="s">
        <v>1286</v>
      </c>
      <c r="I456" s="2" t="s">
        <v>1287</v>
      </c>
      <c r="J456" s="2">
        <v>0.006944444444444444</v>
      </c>
      <c r="K456" s="1">
        <v>0.006944444444444444</v>
      </c>
      <c r="L456" s="1">
        <v>0.013888888888888888</v>
      </c>
      <c r="M456" s="1">
        <v>0</v>
      </c>
      <c r="N456" s="1" t="s">
        <v>966</v>
      </c>
      <c r="O456" s="1" t="s">
        <v>503</v>
      </c>
      <c r="P456" s="1" t="s">
        <v>488</v>
      </c>
      <c r="Q456" s="1">
        <v>43234</v>
      </c>
      <c r="R456" s="14" t="s">
        <v>503</v>
      </c>
      <c r="S456" s="1" t="s">
        <v>22</v>
      </c>
      <c r="T456" s="1" t="s">
        <v>22</v>
      </c>
      <c r="U456" s="1" t="s">
        <v>22</v>
      </c>
    </row>
    <row r="457" spans="1:21" x14ac:dyDescent="0.25">
      <c r="A457" s="1" t="s">
        <v>1265</v>
      </c>
      <c r="B457" s="2" t="s">
        <v>99</v>
      </c>
      <c r="C457" s="1" t="s">
        <v>25</v>
      </c>
      <c r="D457" s="1" t="s">
        <v>503</v>
      </c>
      <c r="E457" s="1" t="s">
        <v>27</v>
      </c>
      <c r="F457" s="1">
        <v>43234</v>
      </c>
      <c r="G457" s="14" t="s">
        <v>50</v>
      </c>
      <c r="H457" t="s">
        <v>1288</v>
      </c>
      <c r="I457" s="2" t="s">
        <v>1289</v>
      </c>
      <c r="J457" s="2">
        <v>0.017361111111111112</v>
      </c>
      <c r="K457" s="1">
        <v>0.017361111111111112</v>
      </c>
      <c r="L457" s="1">
        <v>0.034722222222222224</v>
      </c>
      <c r="M457" s="1">
        <v>0</v>
      </c>
      <c r="N457" s="1" t="s">
        <v>956</v>
      </c>
      <c r="O457" s="1" t="s">
        <v>503</v>
      </c>
      <c r="P457" s="1" t="s">
        <v>977</v>
      </c>
      <c r="Q457" s="1">
        <v>43234</v>
      </c>
      <c r="R457" s="14" t="s">
        <v>503</v>
      </c>
      <c r="S457" s="1" t="s">
        <v>22</v>
      </c>
      <c r="T457" s="1" t="s">
        <v>22</v>
      </c>
      <c r="U457" s="1" t="s">
        <v>22</v>
      </c>
    </row>
    <row r="458" spans="1:21" x14ac:dyDescent="0.25">
      <c r="A458" s="1" t="s">
        <v>1265</v>
      </c>
      <c r="B458" s="2" t="s">
        <v>286</v>
      </c>
      <c r="C458" s="1" t="s">
        <v>974</v>
      </c>
      <c r="D458" s="1" t="s">
        <v>503</v>
      </c>
      <c r="E458" s="1" t="s">
        <v>27</v>
      </c>
      <c r="F458" s="1">
        <v>43237</v>
      </c>
      <c r="G458" s="14" t="s">
        <v>50</v>
      </c>
      <c r="H458" t="s">
        <v>1290</v>
      </c>
      <c r="I458" s="2" t="s">
        <v>1291</v>
      </c>
      <c r="J458" s="2">
        <v>0.041666666666666664</v>
      </c>
      <c r="K458" s="1">
        <v>0.041666666666666664</v>
      </c>
      <c r="L458" s="1">
        <v>0.08333333333333333</v>
      </c>
      <c r="M458" s="1">
        <v>0</v>
      </c>
      <c r="N458" s="1" t="s">
        <v>966</v>
      </c>
      <c r="O458" s="1" t="s">
        <v>503</v>
      </c>
      <c r="P458" s="1" t="s">
        <v>977</v>
      </c>
      <c r="Q458" s="1">
        <v>43237</v>
      </c>
      <c r="R458" s="14" t="s">
        <v>503</v>
      </c>
      <c r="S458" s="1" t="s">
        <v>22</v>
      </c>
      <c r="T458" s="1" t="s">
        <v>22</v>
      </c>
      <c r="U458" s="1" t="s">
        <v>22</v>
      </c>
    </row>
    <row r="459" spans="1:21" x14ac:dyDescent="0.25">
      <c r="A459" s="1" t="s">
        <v>1265</v>
      </c>
      <c r="B459" s="2" t="s">
        <v>1204</v>
      </c>
      <c r="C459" s="1" t="s">
        <v>951</v>
      </c>
      <c r="D459" s="1" t="s">
        <v>503</v>
      </c>
      <c r="E459" s="1" t="s">
        <v>37</v>
      </c>
      <c r="F459" s="1">
        <v>43237</v>
      </c>
      <c r="G459" s="14" t="s">
        <v>953</v>
      </c>
      <c r="H459" t="s">
        <v>1292</v>
      </c>
      <c r="I459" s="2" t="s">
        <v>1293</v>
      </c>
      <c r="J459" s="2">
        <v>0.036458333333333336</v>
      </c>
      <c r="K459" s="1">
        <v>0.036458333333333336</v>
      </c>
      <c r="L459" s="1">
        <v>0.07291666666666667</v>
      </c>
      <c r="M459" s="1">
        <v>0</v>
      </c>
      <c r="N459" s="1" t="s">
        <v>956</v>
      </c>
      <c r="O459" s="1" t="s">
        <v>503</v>
      </c>
      <c r="P459" s="1" t="s">
        <v>484</v>
      </c>
      <c r="Q459" s="1">
        <v>43237</v>
      </c>
      <c r="R459" s="14" t="s">
        <v>503</v>
      </c>
      <c r="S459" s="1" t="s">
        <v>22</v>
      </c>
      <c r="T459" s="1" t="s">
        <v>22</v>
      </c>
      <c r="U459" s="1" t="s">
        <v>22</v>
      </c>
    </row>
    <row r="460" spans="1:21" x14ac:dyDescent="0.25">
      <c r="A460" s="1" t="s">
        <v>1265</v>
      </c>
      <c r="B460" s="2" t="s">
        <v>1018</v>
      </c>
      <c r="C460" s="1" t="s">
        <v>1019</v>
      </c>
      <c r="D460" s="1" t="s">
        <v>503</v>
      </c>
      <c r="E460" s="1" t="s">
        <v>27</v>
      </c>
      <c r="F460" s="1">
        <v>43238</v>
      </c>
      <c r="G460" s="14" t="s">
        <v>28</v>
      </c>
      <c r="H460" t="s">
        <v>1294</v>
      </c>
      <c r="I460" s="2" t="s">
        <v>1295</v>
      </c>
      <c r="J460" s="2">
        <v>0.052083333333333336</v>
      </c>
      <c r="K460" s="1">
        <v>0.052083333333333336</v>
      </c>
      <c r="L460" s="1">
        <v>0.10416666666666667</v>
      </c>
      <c r="M460" s="1">
        <v>0</v>
      </c>
      <c r="N460" s="1" t="s">
        <v>1001</v>
      </c>
      <c r="O460" s="1" t="s">
        <v>503</v>
      </c>
      <c r="P460" s="1" t="s">
        <v>977</v>
      </c>
      <c r="Q460" s="1">
        <v>43238</v>
      </c>
      <c r="R460" s="14" t="s">
        <v>503</v>
      </c>
      <c r="S460" s="1" t="s">
        <v>22</v>
      </c>
      <c r="T460" s="1" t="s">
        <v>22</v>
      </c>
      <c r="U460" s="1" t="s">
        <v>22</v>
      </c>
    </row>
    <row r="461" spans="1:21" x14ac:dyDescent="0.25">
      <c r="A461" s="1" t="s">
        <v>1265</v>
      </c>
      <c r="B461" s="2" t="s">
        <v>1093</v>
      </c>
      <c r="C461" s="1" t="s">
        <v>25</v>
      </c>
      <c r="D461" s="1" t="s">
        <v>503</v>
      </c>
      <c r="E461" s="1" t="s">
        <v>27</v>
      </c>
      <c r="F461" s="1">
        <v>43238</v>
      </c>
      <c r="G461" s="14" t="s">
        <v>28</v>
      </c>
      <c r="H461" t="s">
        <v>1296</v>
      </c>
      <c r="I461" s="2" t="s">
        <v>1297</v>
      </c>
      <c r="J461" s="2">
        <v>0.03472222222222222</v>
      </c>
      <c r="K461" s="1">
        <v>0.03472222222222222</v>
      </c>
      <c r="L461" s="1">
        <v>0.06944444444444443</v>
      </c>
      <c r="M461" s="1">
        <v>0</v>
      </c>
      <c r="N461" s="1" t="s">
        <v>966</v>
      </c>
      <c r="O461" s="1" t="s">
        <v>503</v>
      </c>
      <c r="P461" s="1" t="s">
        <v>977</v>
      </c>
      <c r="Q461" s="1">
        <v>43238</v>
      </c>
      <c r="R461" s="14" t="s">
        <v>503</v>
      </c>
      <c r="S461" s="1" t="s">
        <v>22</v>
      </c>
      <c r="T461" s="1" t="s">
        <v>22</v>
      </c>
      <c r="U461" s="1" t="s">
        <v>22</v>
      </c>
    </row>
    <row r="462" spans="1:21" x14ac:dyDescent="0.25">
      <c r="A462" s="1" t="s">
        <v>1265</v>
      </c>
      <c r="B462" s="2" t="s">
        <v>962</v>
      </c>
      <c r="C462" s="1" t="s">
        <v>963</v>
      </c>
      <c r="D462" s="1" t="s">
        <v>503</v>
      </c>
      <c r="E462" s="1" t="s">
        <v>37</v>
      </c>
      <c r="F462" s="1">
        <v>43243</v>
      </c>
      <c r="G462" s="14" t="s">
        <v>28</v>
      </c>
      <c r="H462" t="s">
        <v>1298</v>
      </c>
      <c r="I462" s="2" t="s">
        <v>1299</v>
      </c>
      <c r="J462" s="2">
        <v>0.052083333333333336</v>
      </c>
      <c r="K462" s="1">
        <v>0.052083333333333336</v>
      </c>
      <c r="L462" s="1">
        <v>0.10416666666666667</v>
      </c>
      <c r="M462" s="1">
        <v>0</v>
      </c>
      <c r="N462" s="1" t="s">
        <v>966</v>
      </c>
      <c r="O462" s="1" t="s">
        <v>503</v>
      </c>
      <c r="P462" s="1" t="s">
        <v>484</v>
      </c>
      <c r="Q462" s="1">
        <v>43243</v>
      </c>
      <c r="R462" s="14" t="s">
        <v>503</v>
      </c>
      <c r="S462" s="1" t="s">
        <v>22</v>
      </c>
      <c r="T462" s="1" t="s">
        <v>22</v>
      </c>
      <c r="U462" s="1" t="s">
        <v>22</v>
      </c>
    </row>
    <row r="463" spans="1:21" x14ac:dyDescent="0.25">
      <c r="A463" s="1" t="s">
        <v>1265</v>
      </c>
      <c r="B463" s="2" t="s">
        <v>1041</v>
      </c>
      <c r="C463" s="1" t="s">
        <v>1042</v>
      </c>
      <c r="D463" s="1" t="s">
        <v>503</v>
      </c>
      <c r="E463" s="1" t="s">
        <v>37</v>
      </c>
      <c r="F463" s="1">
        <v>43243</v>
      </c>
      <c r="G463" s="14" t="s">
        <v>28</v>
      </c>
      <c r="H463" t="s">
        <v>1300</v>
      </c>
      <c r="I463" s="2" t="s">
        <v>1301</v>
      </c>
      <c r="J463" s="2">
        <v>0.052083333333333336</v>
      </c>
      <c r="K463" s="1">
        <v>0.052083333333333336</v>
      </c>
      <c r="L463" s="1">
        <v>0.10416666666666667</v>
      </c>
      <c r="M463" s="1">
        <v>0</v>
      </c>
      <c r="N463" s="1" t="s">
        <v>966</v>
      </c>
      <c r="O463" s="1" t="s">
        <v>503</v>
      </c>
      <c r="P463" s="1" t="s">
        <v>484</v>
      </c>
      <c r="Q463" s="1">
        <v>43243</v>
      </c>
      <c r="R463" s="14" t="s">
        <v>503</v>
      </c>
      <c r="S463" s="1" t="s">
        <v>22</v>
      </c>
      <c r="T463" s="1" t="s">
        <v>22</v>
      </c>
      <c r="U463" s="1" t="s">
        <v>22</v>
      </c>
    </row>
    <row r="464" spans="1:21" x14ac:dyDescent="0.25">
      <c r="A464" s="1" t="s">
        <v>1265</v>
      </c>
      <c r="B464" s="2" t="s">
        <v>1120</v>
      </c>
      <c r="C464" s="1" t="s">
        <v>541</v>
      </c>
      <c r="D464" s="1" t="s">
        <v>503</v>
      </c>
      <c r="E464" s="1" t="s">
        <v>37</v>
      </c>
      <c r="F464" s="1">
        <v>43245</v>
      </c>
      <c r="G464" s="14" t="s">
        <v>953</v>
      </c>
      <c r="H464" t="s">
        <v>1302</v>
      </c>
      <c r="I464" s="2" t="s">
        <v>1303</v>
      </c>
      <c r="J464" s="2">
        <v>0.006944444444444444</v>
      </c>
      <c r="K464" s="1">
        <v>0.006944444444444444</v>
      </c>
      <c r="L464" s="1">
        <v>0.013888888888888888</v>
      </c>
      <c r="M464" s="1">
        <v>0</v>
      </c>
      <c r="N464" s="1" t="s">
        <v>966</v>
      </c>
      <c r="O464" s="1" t="s">
        <v>503</v>
      </c>
      <c r="P464" s="1" t="s">
        <v>488</v>
      </c>
      <c r="Q464" s="1">
        <v>43245</v>
      </c>
      <c r="R464" s="14" t="s">
        <v>503</v>
      </c>
      <c r="S464" s="1" t="s">
        <v>22</v>
      </c>
      <c r="T464" s="1" t="s">
        <v>22</v>
      </c>
      <c r="U464" s="1" t="s">
        <v>22</v>
      </c>
    </row>
    <row r="465" spans="1:21" x14ac:dyDescent="0.25">
      <c r="A465" s="1" t="s">
        <v>1265</v>
      </c>
      <c r="B465" s="2" t="s">
        <v>1018</v>
      </c>
      <c r="C465" s="1" t="s">
        <v>1019</v>
      </c>
      <c r="D465" s="1" t="s">
        <v>503</v>
      </c>
      <c r="E465" s="1" t="s">
        <v>27</v>
      </c>
      <c r="F465" s="1">
        <v>43250</v>
      </c>
      <c r="G465" s="14" t="s">
        <v>28</v>
      </c>
      <c r="H465" t="s">
        <v>1304</v>
      </c>
      <c r="I465" s="2" t="s">
        <v>1305</v>
      </c>
      <c r="J465" s="2">
        <v>0.03472222222222222</v>
      </c>
      <c r="K465" s="1">
        <v>0.03472222222222222</v>
      </c>
      <c r="L465" s="1">
        <v>0.06944444444444443</v>
      </c>
      <c r="M465" s="1">
        <v>0</v>
      </c>
      <c r="N465" s="1" t="s">
        <v>1001</v>
      </c>
      <c r="O465" s="1" t="s">
        <v>503</v>
      </c>
      <c r="P465" s="1" t="s">
        <v>977</v>
      </c>
      <c r="Q465" s="1">
        <v>43250</v>
      </c>
      <c r="R465" s="14" t="s">
        <v>503</v>
      </c>
      <c r="S465" s="1" t="s">
        <v>22</v>
      </c>
      <c r="T465" s="1" t="s">
        <v>22</v>
      </c>
      <c r="U465" s="1" t="s">
        <v>22</v>
      </c>
    </row>
    <row r="466" spans="1:21" x14ac:dyDescent="0.25">
      <c r="A466" s="1" t="s">
        <v>1265</v>
      </c>
      <c r="B466" s="2" t="s">
        <v>1018</v>
      </c>
      <c r="C466" s="1" t="s">
        <v>1019</v>
      </c>
      <c r="D466" s="1" t="s">
        <v>503</v>
      </c>
      <c r="E466" s="1" t="s">
        <v>27</v>
      </c>
      <c r="F466" s="1">
        <v>43250</v>
      </c>
      <c r="G466" s="14" t="s">
        <v>28</v>
      </c>
      <c r="H466" t="s">
        <v>1306</v>
      </c>
      <c r="I466" s="2" t="s">
        <v>1306</v>
      </c>
      <c r="J466" s="2">
        <v>0.041666666666666664</v>
      </c>
      <c r="K466" s="1">
        <v>0.041666666666666664</v>
      </c>
      <c r="L466" s="1">
        <v>0.08333333333333333</v>
      </c>
      <c r="M466" s="1">
        <v>0</v>
      </c>
      <c r="N466" s="1" t="s">
        <v>1001</v>
      </c>
      <c r="O466" s="1" t="s">
        <v>503</v>
      </c>
      <c r="P466" s="1" t="s">
        <v>977</v>
      </c>
      <c r="Q466" s="1">
        <v>43250</v>
      </c>
      <c r="R466" s="14" t="s">
        <v>503</v>
      </c>
      <c r="S466" s="1" t="s">
        <v>22</v>
      </c>
      <c r="T466" s="1" t="s">
        <v>22</v>
      </c>
      <c r="U466" s="1" t="s">
        <v>22</v>
      </c>
    </row>
    <row r="467" spans="1:21" x14ac:dyDescent="0.25">
      <c r="A467" s="1" t="s">
        <v>1265</v>
      </c>
      <c r="B467" s="2" t="s">
        <v>1041</v>
      </c>
      <c r="C467" s="1" t="s">
        <v>1042</v>
      </c>
      <c r="D467" s="1" t="s">
        <v>503</v>
      </c>
      <c r="E467" s="1" t="s">
        <v>37</v>
      </c>
      <c r="F467" s="1">
        <v>43250</v>
      </c>
      <c r="G467" s="14" t="s">
        <v>953</v>
      </c>
      <c r="H467" t="s">
        <v>1307</v>
      </c>
      <c r="I467" s="2" t="s">
        <v>1308</v>
      </c>
      <c r="J467" s="2">
        <v>0.006944444444444444</v>
      </c>
      <c r="K467" s="1">
        <v>0.006944444444444444</v>
      </c>
      <c r="L467" s="1">
        <v>0.013888888888888888</v>
      </c>
      <c r="M467" s="1">
        <v>0</v>
      </c>
      <c r="N467" s="1" t="s">
        <v>966</v>
      </c>
      <c r="O467" s="1" t="s">
        <v>503</v>
      </c>
      <c r="P467" s="1" t="s">
        <v>484</v>
      </c>
      <c r="Q467" s="1">
        <v>43250</v>
      </c>
      <c r="R467" s="14" t="s">
        <v>503</v>
      </c>
      <c r="S467" s="1" t="s">
        <v>22</v>
      </c>
      <c r="T467" s="1" t="s">
        <v>22</v>
      </c>
      <c r="U467" s="1" t="s">
        <v>22</v>
      </c>
    </row>
    <row r="468" spans="1:21" x14ac:dyDescent="0.25">
      <c r="A468" s="1" t="s">
        <v>1265</v>
      </c>
      <c r="B468" s="2" t="s">
        <v>1012</v>
      </c>
      <c r="C468" s="1" t="s">
        <v>25</v>
      </c>
      <c r="D468" s="1" t="s">
        <v>503</v>
      </c>
      <c r="E468" s="1" t="s">
        <v>27</v>
      </c>
      <c r="F468" s="1">
        <v>43251</v>
      </c>
      <c r="G468" s="14" t="s">
        <v>28</v>
      </c>
      <c r="H468" t="s">
        <v>1309</v>
      </c>
      <c r="I468" s="2" t="s">
        <v>1310</v>
      </c>
      <c r="J468" s="2">
        <v>0.041666666666666664</v>
      </c>
      <c r="K468" s="1">
        <v>0.041666666666666664</v>
      </c>
      <c r="L468" s="1">
        <v>0.08333333333333333</v>
      </c>
      <c r="M468" s="1">
        <v>0</v>
      </c>
      <c r="N468" s="1" t="s">
        <v>1001</v>
      </c>
      <c r="O468" s="1" t="s">
        <v>503</v>
      </c>
      <c r="P468" s="1" t="s">
        <v>977</v>
      </c>
      <c r="Q468" s="1">
        <v>43251</v>
      </c>
      <c r="R468" s="14" t="s">
        <v>503</v>
      </c>
      <c r="S468" s="1" t="s">
        <v>22</v>
      </c>
      <c r="T468" s="1" t="s">
        <v>22</v>
      </c>
      <c r="U468" s="1" t="s">
        <v>22</v>
      </c>
    </row>
    <row r="469" spans="1:21" x14ac:dyDescent="0.25">
      <c r="A469" s="1" t="s">
        <v>1311</v>
      </c>
      <c r="B469" s="2" t="s">
        <v>199</v>
      </c>
      <c r="C469" s="1" t="s">
        <v>541</v>
      </c>
      <c r="D469" s="1" t="s">
        <v>503</v>
      </c>
      <c r="E469" s="1" t="s">
        <v>37</v>
      </c>
      <c r="F469" s="1">
        <v>43252</v>
      </c>
      <c r="G469" s="14" t="s">
        <v>1073</v>
      </c>
      <c r="H469" t="s">
        <v>1312</v>
      </c>
      <c r="I469" s="2" t="s">
        <v>1313</v>
      </c>
      <c r="J469" s="2">
        <v>0.013888888888888888</v>
      </c>
      <c r="K469" s="1">
        <v>0.013888888888888888</v>
      </c>
      <c r="L469" s="1">
        <v>0.027777777777777776</v>
      </c>
      <c r="M469" s="1">
        <v>0</v>
      </c>
      <c r="N469" s="1" t="s">
        <v>1314</v>
      </c>
      <c r="O469" s="1" t="s">
        <v>503</v>
      </c>
      <c r="P469" s="1" t="s">
        <v>488</v>
      </c>
      <c r="Q469" s="1">
        <v>43252</v>
      </c>
      <c r="R469" s="14" t="s">
        <v>503</v>
      </c>
      <c r="S469" s="1" t="s">
        <v>22</v>
      </c>
      <c r="T469" s="1" t="s">
        <v>22</v>
      </c>
      <c r="U469" s="1" t="s">
        <v>22</v>
      </c>
    </row>
    <row r="470" spans="1:21" x14ac:dyDescent="0.25">
      <c r="A470" s="1" t="s">
        <v>1311</v>
      </c>
      <c r="B470" s="2" t="s">
        <v>99</v>
      </c>
      <c r="C470" s="1" t="s">
        <v>25</v>
      </c>
      <c r="D470" s="1" t="s">
        <v>503</v>
      </c>
      <c r="E470" s="1" t="s">
        <v>37</v>
      </c>
      <c r="F470" s="1">
        <v>43253</v>
      </c>
      <c r="G470" s="14" t="s">
        <v>28</v>
      </c>
      <c r="H470" t="s">
        <v>1315</v>
      </c>
      <c r="I470" s="2" t="s">
        <v>1316</v>
      </c>
      <c r="J470" s="2">
        <v>0.10416666666666667</v>
      </c>
      <c r="K470" s="1">
        <v>0.10416666666666667</v>
      </c>
      <c r="L470" s="1">
        <v>0.20833333333333334</v>
      </c>
      <c r="M470" s="1">
        <v>0</v>
      </c>
      <c r="N470" s="1" t="s">
        <v>956</v>
      </c>
      <c r="O470" s="1" t="s">
        <v>503</v>
      </c>
      <c r="P470" s="1" t="s">
        <v>977</v>
      </c>
      <c r="Q470" s="1">
        <v>43253</v>
      </c>
      <c r="R470" s="14" t="s">
        <v>503</v>
      </c>
      <c r="S470" s="1" t="s">
        <v>22</v>
      </c>
      <c r="T470" s="1" t="s">
        <v>22</v>
      </c>
      <c r="U470" s="1" t="s">
        <v>22</v>
      </c>
    </row>
    <row r="471" spans="1:21" x14ac:dyDescent="0.25">
      <c r="A471" s="1" t="s">
        <v>1311</v>
      </c>
      <c r="B471" s="2" t="s">
        <v>99</v>
      </c>
      <c r="C471" s="1" t="s">
        <v>25</v>
      </c>
      <c r="D471" s="1" t="s">
        <v>503</v>
      </c>
      <c r="E471" s="1" t="s">
        <v>37</v>
      </c>
      <c r="F471" s="1">
        <v>43256</v>
      </c>
      <c r="G471" s="14" t="s">
        <v>28</v>
      </c>
      <c r="H471" t="s">
        <v>1317</v>
      </c>
      <c r="I471" s="2" t="s">
        <v>1318</v>
      </c>
      <c r="J471" s="2">
        <v>0.03125</v>
      </c>
      <c r="K471" s="1">
        <v>0.03125</v>
      </c>
      <c r="L471" s="1">
        <v>0.0625</v>
      </c>
      <c r="M471" s="1">
        <v>0</v>
      </c>
      <c r="N471" s="1" t="s">
        <v>956</v>
      </c>
      <c r="O471" s="1" t="s">
        <v>503</v>
      </c>
      <c r="P471" s="1" t="s">
        <v>977</v>
      </c>
      <c r="Q471" s="1">
        <v>43256</v>
      </c>
      <c r="R471" s="14" t="s">
        <v>503</v>
      </c>
      <c r="S471" s="1" t="s">
        <v>22</v>
      </c>
      <c r="T471" s="1" t="s">
        <v>22</v>
      </c>
      <c r="U471" s="1" t="s">
        <v>22</v>
      </c>
    </row>
    <row r="472" spans="1:21" x14ac:dyDescent="0.25">
      <c r="A472" s="1" t="s">
        <v>1311</v>
      </c>
      <c r="B472" s="2" t="s">
        <v>118</v>
      </c>
      <c r="C472" s="1" t="s">
        <v>25</v>
      </c>
      <c r="D472" s="1" t="s">
        <v>503</v>
      </c>
      <c r="E472" s="1" t="s">
        <v>37</v>
      </c>
      <c r="F472" s="1">
        <v>43257</v>
      </c>
      <c r="G472" s="14" t="s">
        <v>28</v>
      </c>
      <c r="H472" t="s">
        <v>1319</v>
      </c>
      <c r="I472" s="2" t="s">
        <v>1320</v>
      </c>
      <c r="J472" s="2">
        <v>0.08333333333333333</v>
      </c>
      <c r="K472" s="1">
        <v>0.08333333333333333</v>
      </c>
      <c r="L472" s="1">
        <v>0.16666666666666666</v>
      </c>
      <c r="M472" s="1">
        <v>0</v>
      </c>
      <c r="N472" s="1" t="s">
        <v>956</v>
      </c>
      <c r="O472" s="1" t="s">
        <v>503</v>
      </c>
      <c r="P472" s="1" t="s">
        <v>977</v>
      </c>
      <c r="Q472" s="1">
        <v>43257</v>
      </c>
      <c r="R472" s="14" t="s">
        <v>503</v>
      </c>
      <c r="S472" s="1" t="s">
        <v>22</v>
      </c>
      <c r="T472" s="1" t="s">
        <v>22</v>
      </c>
      <c r="U472" s="1" t="s">
        <v>22</v>
      </c>
    </row>
    <row r="473" spans="1:21" x14ac:dyDescent="0.25">
      <c r="A473" s="1" t="s">
        <v>1311</v>
      </c>
      <c r="B473" s="2" t="s">
        <v>1041</v>
      </c>
      <c r="C473" s="1" t="s">
        <v>1042</v>
      </c>
      <c r="D473" s="1" t="s">
        <v>503</v>
      </c>
      <c r="E473" s="1" t="s">
        <v>37</v>
      </c>
      <c r="F473" s="1">
        <v>43262</v>
      </c>
      <c r="G473" s="14" t="s">
        <v>28</v>
      </c>
      <c r="H473" t="s">
        <v>1321</v>
      </c>
      <c r="I473" s="2" t="s">
        <v>1322</v>
      </c>
      <c r="J473" s="2">
        <v>0.041666666666666664</v>
      </c>
      <c r="K473" s="1">
        <v>0.041666666666666664</v>
      </c>
      <c r="L473" s="1">
        <v>0.08333333333333333</v>
      </c>
      <c r="M473" s="1">
        <v>0</v>
      </c>
      <c r="N473" s="1" t="s">
        <v>966</v>
      </c>
      <c r="O473" s="1" t="s">
        <v>503</v>
      </c>
      <c r="P473" s="1" t="s">
        <v>484</v>
      </c>
      <c r="Q473" s="1">
        <v>43262</v>
      </c>
      <c r="R473" s="14" t="s">
        <v>503</v>
      </c>
      <c r="S473" s="1" t="s">
        <v>22</v>
      </c>
      <c r="T473" s="1" t="s">
        <v>22</v>
      </c>
      <c r="U473" s="1" t="s">
        <v>22</v>
      </c>
    </row>
    <row r="474" spans="1:21" x14ac:dyDescent="0.25">
      <c r="A474" s="1" t="s">
        <v>1311</v>
      </c>
      <c r="B474" s="2" t="s">
        <v>1155</v>
      </c>
      <c r="C474" s="1" t="s">
        <v>25</v>
      </c>
      <c r="D474" s="1" t="s">
        <v>503</v>
      </c>
      <c r="E474" s="1" t="s">
        <v>952</v>
      </c>
      <c r="F474" s="1">
        <v>43264</v>
      </c>
      <c r="G474" s="14" t="s">
        <v>255</v>
      </c>
      <c r="H474" t="s">
        <v>1323</v>
      </c>
      <c r="I474" s="2" t="s">
        <v>1324</v>
      </c>
      <c r="J474" s="2">
        <v>0.005208333333333333</v>
      </c>
      <c r="K474" s="1">
        <v>0.005208333333333333</v>
      </c>
      <c r="L474" s="1">
        <v>0.010416666666666666</v>
      </c>
      <c r="M474" s="1">
        <v>0</v>
      </c>
      <c r="N474" s="1" t="s">
        <v>956</v>
      </c>
      <c r="O474" s="1" t="s">
        <v>503</v>
      </c>
      <c r="P474" s="1" t="s">
        <v>977</v>
      </c>
      <c r="Q474" s="1">
        <v>43264</v>
      </c>
      <c r="R474" s="14" t="s">
        <v>503</v>
      </c>
      <c r="S474" s="1" t="s">
        <v>22</v>
      </c>
      <c r="T474" s="1" t="s">
        <v>22</v>
      </c>
      <c r="U474" s="1" t="s">
        <v>22</v>
      </c>
    </row>
    <row r="475" spans="1:21" x14ac:dyDescent="0.25">
      <c r="A475" s="1" t="s">
        <v>1311</v>
      </c>
      <c r="B475" s="2" t="s">
        <v>1012</v>
      </c>
      <c r="C475" s="1" t="s">
        <v>25</v>
      </c>
      <c r="D475" s="1" t="s">
        <v>503</v>
      </c>
      <c r="E475" s="1" t="s">
        <v>37</v>
      </c>
      <c r="F475" s="1">
        <v>43264</v>
      </c>
      <c r="G475" s="14" t="s">
        <v>28</v>
      </c>
      <c r="H475" t="s">
        <v>1325</v>
      </c>
      <c r="I475" s="2" t="s">
        <v>1326</v>
      </c>
      <c r="J475" s="2">
        <v>0.07291666666666667</v>
      </c>
      <c r="K475" s="1">
        <v>0.07291666666666667</v>
      </c>
      <c r="L475" s="1">
        <v>0.14583333333333334</v>
      </c>
      <c r="M475" s="1">
        <v>0</v>
      </c>
      <c r="N475" s="1" t="s">
        <v>1001</v>
      </c>
      <c r="O475" s="1" t="s">
        <v>503</v>
      </c>
      <c r="P475" s="1" t="s">
        <v>977</v>
      </c>
      <c r="Q475" s="1">
        <v>43264</v>
      </c>
      <c r="R475" s="14" t="s">
        <v>503</v>
      </c>
      <c r="S475" s="1" t="s">
        <v>22</v>
      </c>
      <c r="T475" s="1" t="s">
        <v>22</v>
      </c>
      <c r="U475" s="1" t="s">
        <v>22</v>
      </c>
    </row>
    <row r="476" spans="1:21" x14ac:dyDescent="0.25">
      <c r="A476" s="1" t="s">
        <v>1311</v>
      </c>
      <c r="B476" s="2" t="s">
        <v>99</v>
      </c>
      <c r="C476" s="1" t="s">
        <v>25</v>
      </c>
      <c r="D476" s="1" t="s">
        <v>503</v>
      </c>
      <c r="E476" s="1" t="s">
        <v>37</v>
      </c>
      <c r="F476" s="1">
        <v>43265</v>
      </c>
      <c r="G476" s="14" t="s">
        <v>28</v>
      </c>
      <c r="H476" t="s">
        <v>1327</v>
      </c>
      <c r="I476" s="2" t="s">
        <v>1328</v>
      </c>
      <c r="J476" s="2">
        <v>0.0625</v>
      </c>
      <c r="K476" s="1">
        <v>0.0625</v>
      </c>
      <c r="L476" s="1">
        <v>0.125</v>
      </c>
      <c r="M476" s="1">
        <v>0</v>
      </c>
      <c r="N476" s="1" t="s">
        <v>956</v>
      </c>
      <c r="O476" s="1" t="s">
        <v>503</v>
      </c>
      <c r="P476" s="1" t="s">
        <v>977</v>
      </c>
      <c r="Q476" s="1">
        <v>43265</v>
      </c>
      <c r="R476" s="14" t="s">
        <v>503</v>
      </c>
      <c r="S476" s="1" t="s">
        <v>22</v>
      </c>
      <c r="T476" s="1" t="s">
        <v>22</v>
      </c>
      <c r="U476" s="1" t="s">
        <v>22</v>
      </c>
    </row>
    <row r="477" spans="1:21" x14ac:dyDescent="0.25">
      <c r="A477" s="1" t="s">
        <v>1311</v>
      </c>
      <c r="B477" s="2" t="s">
        <v>113</v>
      </c>
      <c r="C477" s="1" t="s">
        <v>25</v>
      </c>
      <c r="D477" s="1" t="s">
        <v>503</v>
      </c>
      <c r="E477" s="1" t="s">
        <v>37</v>
      </c>
      <c r="F477" s="1">
        <v>43265</v>
      </c>
      <c r="G477" s="14" t="s">
        <v>38</v>
      </c>
      <c r="H477" t="s">
        <v>1329</v>
      </c>
      <c r="I477" s="2" t="s">
        <v>1330</v>
      </c>
      <c r="J477" s="2">
        <v>0.020833333333333332</v>
      </c>
      <c r="K477" s="1">
        <v>0.020833333333333332</v>
      </c>
      <c r="L477" s="1">
        <v>0.041666666666666664</v>
      </c>
      <c r="M477" s="1">
        <v>0</v>
      </c>
      <c r="N477" s="1" t="s">
        <v>956</v>
      </c>
      <c r="O477" s="1" t="s">
        <v>503</v>
      </c>
      <c r="P477" s="1" t="s">
        <v>488</v>
      </c>
      <c r="Q477" s="1">
        <v>43265</v>
      </c>
      <c r="R477" s="14" t="s">
        <v>503</v>
      </c>
      <c r="S477" s="1" t="s">
        <v>22</v>
      </c>
      <c r="T477" s="1" t="s">
        <v>22</v>
      </c>
      <c r="U477" s="1" t="s">
        <v>22</v>
      </c>
    </row>
    <row r="478" spans="1:21" x14ac:dyDescent="0.25">
      <c r="A478" s="1" t="s">
        <v>1311</v>
      </c>
      <c r="B478" s="2" t="s">
        <v>113</v>
      </c>
      <c r="C478" s="1" t="s">
        <v>25</v>
      </c>
      <c r="D478" s="1" t="s">
        <v>503</v>
      </c>
      <c r="E478" s="1" t="s">
        <v>952</v>
      </c>
      <c r="F478" s="1">
        <v>43265</v>
      </c>
      <c r="G478" s="14" t="s">
        <v>1073</v>
      </c>
      <c r="H478" t="s">
        <v>1331</v>
      </c>
      <c r="I478" s="2" t="s">
        <v>1332</v>
      </c>
      <c r="J478" s="2">
        <v>0.052083333333333336</v>
      </c>
      <c r="K478" s="1">
        <v>0.052083333333333336</v>
      </c>
      <c r="L478" s="1">
        <v>0.10416666666666667</v>
      </c>
      <c r="M478" s="1">
        <v>0</v>
      </c>
      <c r="N478" s="1" t="s">
        <v>956</v>
      </c>
      <c r="O478" s="1" t="s">
        <v>503</v>
      </c>
      <c r="P478" s="1" t="s">
        <v>488</v>
      </c>
      <c r="Q478" s="1">
        <v>43265</v>
      </c>
      <c r="R478" s="14" t="s">
        <v>503</v>
      </c>
      <c r="S478" s="1" t="s">
        <v>22</v>
      </c>
      <c r="T478" s="1" t="s">
        <v>22</v>
      </c>
      <c r="U478" s="1" t="s">
        <v>22</v>
      </c>
    </row>
    <row r="479" spans="1:21" x14ac:dyDescent="0.25">
      <c r="A479" s="1" t="s">
        <v>1311</v>
      </c>
      <c r="B479" s="2" t="s">
        <v>1041</v>
      </c>
      <c r="C479" s="1" t="s">
        <v>1042</v>
      </c>
      <c r="D479" s="1" t="s">
        <v>503</v>
      </c>
      <c r="E479" s="1" t="s">
        <v>37</v>
      </c>
      <c r="F479" s="1">
        <v>43270</v>
      </c>
      <c r="G479" s="14" t="s">
        <v>953</v>
      </c>
      <c r="H479" t="s">
        <v>1333</v>
      </c>
      <c r="I479" s="2" t="s">
        <v>1334</v>
      </c>
      <c r="J479" s="2">
        <v>0.008680555555555556</v>
      </c>
      <c r="K479" s="1">
        <v>0.008680555555555556</v>
      </c>
      <c r="L479" s="1">
        <v>0.017361111111111112</v>
      </c>
      <c r="M479" s="1">
        <v>0</v>
      </c>
      <c r="N479" s="1" t="s">
        <v>966</v>
      </c>
      <c r="O479" s="1" t="s">
        <v>503</v>
      </c>
      <c r="P479" s="1" t="s">
        <v>484</v>
      </c>
      <c r="Q479" s="1">
        <v>43270</v>
      </c>
      <c r="R479" s="14" t="s">
        <v>503</v>
      </c>
      <c r="S479" s="1" t="s">
        <v>22</v>
      </c>
      <c r="T479" s="1" t="s">
        <v>22</v>
      </c>
      <c r="U479" s="1" t="s">
        <v>22</v>
      </c>
    </row>
    <row r="480" spans="1:21" x14ac:dyDescent="0.25">
      <c r="A480" s="1" t="s">
        <v>1311</v>
      </c>
      <c r="B480" s="2" t="s">
        <v>1169</v>
      </c>
      <c r="C480" s="1" t="s">
        <v>989</v>
      </c>
      <c r="D480" s="1" t="s">
        <v>503</v>
      </c>
      <c r="E480" s="1" t="s">
        <v>37</v>
      </c>
      <c r="F480" s="1">
        <v>43270</v>
      </c>
      <c r="G480" s="14" t="s">
        <v>28</v>
      </c>
      <c r="H480" t="s">
        <v>1335</v>
      </c>
      <c r="I480" s="2" t="s">
        <v>1336</v>
      </c>
      <c r="J480" s="2">
        <v>0.0625</v>
      </c>
      <c r="K480" s="1">
        <v>0.0625</v>
      </c>
      <c r="L480" s="1">
        <v>0.125</v>
      </c>
      <c r="M480" s="1">
        <v>0</v>
      </c>
      <c r="N480" s="1" t="s">
        <v>1001</v>
      </c>
      <c r="O480" s="1" t="s">
        <v>503</v>
      </c>
      <c r="P480" s="1" t="s">
        <v>484</v>
      </c>
      <c r="Q480" s="1">
        <v>43270</v>
      </c>
      <c r="R480" s="14" t="s">
        <v>503</v>
      </c>
      <c r="S480" s="1" t="s">
        <v>22</v>
      </c>
      <c r="T480" s="1" t="s">
        <v>22</v>
      </c>
      <c r="U480" s="1" t="s">
        <v>22</v>
      </c>
    </row>
    <row r="481" spans="1:21" x14ac:dyDescent="0.25">
      <c r="A481" s="1" t="s">
        <v>1311</v>
      </c>
      <c r="B481" s="2" t="s">
        <v>99</v>
      </c>
      <c r="C481" s="1" t="s">
        <v>25</v>
      </c>
      <c r="D481" s="1" t="s">
        <v>503</v>
      </c>
      <c r="E481" s="1" t="s">
        <v>37</v>
      </c>
      <c r="F481" s="1">
        <v>43273</v>
      </c>
      <c r="G481" s="14" t="s">
        <v>28</v>
      </c>
      <c r="H481" t="s">
        <v>1327</v>
      </c>
      <c r="I481" s="2" t="s">
        <v>1337</v>
      </c>
      <c r="J481" s="2">
        <v>0.09375</v>
      </c>
      <c r="K481" s="1">
        <v>0.09375</v>
      </c>
      <c r="L481" s="1">
        <v>0.1875</v>
      </c>
      <c r="M481" s="1">
        <v>0</v>
      </c>
      <c r="N481" s="1" t="s">
        <v>956</v>
      </c>
      <c r="O481" s="1" t="s">
        <v>503</v>
      </c>
      <c r="P481" s="1" t="s">
        <v>977</v>
      </c>
      <c r="Q481" s="1">
        <v>43273</v>
      </c>
      <c r="R481" s="14" t="s">
        <v>503</v>
      </c>
      <c r="S481" s="1" t="s">
        <v>22</v>
      </c>
      <c r="T481" s="1" t="s">
        <v>22</v>
      </c>
      <c r="U481" s="1" t="s">
        <v>22</v>
      </c>
    </row>
    <row r="482" spans="1:21" x14ac:dyDescent="0.25">
      <c r="A482" s="1" t="s">
        <v>1311</v>
      </c>
      <c r="B482" s="2" t="s">
        <v>113</v>
      </c>
      <c r="C482" s="1" t="s">
        <v>25</v>
      </c>
      <c r="D482" s="1" t="s">
        <v>503</v>
      </c>
      <c r="E482" s="1" t="s">
        <v>27</v>
      </c>
      <c r="F482" s="1">
        <v>43279</v>
      </c>
      <c r="G482" s="14" t="s">
        <v>255</v>
      </c>
      <c r="H482" t="s">
        <v>1338</v>
      </c>
      <c r="I482" s="2" t="s">
        <v>1339</v>
      </c>
      <c r="J482" s="2">
        <v>0.052083333333333336</v>
      </c>
      <c r="K482" s="1">
        <v>0.052083333333333336</v>
      </c>
      <c r="L482" s="1">
        <v>0.10416666666666667</v>
      </c>
      <c r="M482" s="1">
        <v>0</v>
      </c>
      <c r="N482" s="1" t="s">
        <v>956</v>
      </c>
      <c r="O482" s="1" t="s">
        <v>503</v>
      </c>
      <c r="P482" s="1" t="s">
        <v>488</v>
      </c>
      <c r="Q482" s="1">
        <v>43279</v>
      </c>
      <c r="R482" s="14" t="s">
        <v>503</v>
      </c>
      <c r="S482" s="1" t="s">
        <v>22</v>
      </c>
      <c r="T482" s="1" t="s">
        <v>22</v>
      </c>
      <c r="U482" s="1" t="s">
        <v>22</v>
      </c>
    </row>
    <row r="483" spans="1:21" x14ac:dyDescent="0.25">
      <c r="A483" s="1" t="s">
        <v>1311</v>
      </c>
      <c r="B483" s="2" t="s">
        <v>1041</v>
      </c>
      <c r="C483" s="1" t="s">
        <v>1042</v>
      </c>
      <c r="D483" s="1" t="s">
        <v>503</v>
      </c>
      <c r="E483" s="1" t="s">
        <v>27</v>
      </c>
      <c r="F483" s="1">
        <v>43279</v>
      </c>
      <c r="G483" s="14" t="s">
        <v>255</v>
      </c>
      <c r="H483" t="s">
        <v>1340</v>
      </c>
      <c r="I483" s="2" t="s">
        <v>1341</v>
      </c>
      <c r="J483" s="2">
        <v>0.008680555555555556</v>
      </c>
      <c r="K483" s="1">
        <v>0.008680555555555556</v>
      </c>
      <c r="L483" s="1">
        <v>0.017361111111111112</v>
      </c>
      <c r="M483" s="1">
        <v>0</v>
      </c>
      <c r="N483" s="1" t="s">
        <v>966</v>
      </c>
      <c r="O483" s="1" t="s">
        <v>503</v>
      </c>
      <c r="P483" s="1" t="s">
        <v>484</v>
      </c>
      <c r="Q483" s="1">
        <v>43279</v>
      </c>
      <c r="R483" s="14" t="s">
        <v>503</v>
      </c>
      <c r="S483" s="1" t="s">
        <v>22</v>
      </c>
      <c r="T483" s="1" t="s">
        <v>22</v>
      </c>
      <c r="U483" s="1" t="s">
        <v>22</v>
      </c>
    </row>
    <row r="484" spans="1:21" x14ac:dyDescent="0.25">
      <c r="A484" s="1" t="s">
        <v>1311</v>
      </c>
      <c r="B484" s="2" t="s">
        <v>1111</v>
      </c>
      <c r="C484" s="1" t="s">
        <v>1112</v>
      </c>
      <c r="D484" s="1" t="s">
        <v>503</v>
      </c>
      <c r="E484" s="1" t="s">
        <v>27</v>
      </c>
      <c r="F484" s="1">
        <v>43280</v>
      </c>
      <c r="G484" s="14" t="s">
        <v>50</v>
      </c>
      <c r="H484" t="s">
        <v>1342</v>
      </c>
      <c r="I484" s="2" t="s">
        <v>1343</v>
      </c>
      <c r="J484" s="2">
        <v>0.020833333333333332</v>
      </c>
      <c r="K484" s="1">
        <v>0.020833333333333332</v>
      </c>
      <c r="L484" s="1">
        <v>0.041666666666666664</v>
      </c>
      <c r="M484" s="1">
        <v>0</v>
      </c>
      <c r="N484" s="1" t="s">
        <v>1314</v>
      </c>
      <c r="O484" s="1" t="s">
        <v>503</v>
      </c>
      <c r="P484" s="1" t="s">
        <v>484</v>
      </c>
      <c r="Q484" s="1">
        <v>43280</v>
      </c>
      <c r="R484" s="14" t="s">
        <v>503</v>
      </c>
      <c r="S484" s="1" t="s">
        <v>22</v>
      </c>
      <c r="T484" s="1" t="s">
        <v>22</v>
      </c>
      <c r="U484" s="1" t="s">
        <v>22</v>
      </c>
    </row>
    <row r="485" spans="1:21" x14ac:dyDescent="0.25">
      <c r="A485" s="1" t="s">
        <v>1344</v>
      </c>
      <c r="B485" s="2" t="s">
        <v>288</v>
      </c>
      <c r="C485" s="1" t="s">
        <v>25</v>
      </c>
      <c r="D485" s="1" t="s">
        <v>503</v>
      </c>
      <c r="E485" s="1" t="s">
        <v>27</v>
      </c>
      <c r="F485" s="1">
        <v>43284</v>
      </c>
      <c r="G485" s="14" t="s">
        <v>255</v>
      </c>
      <c r="H485" t="s">
        <v>1345</v>
      </c>
      <c r="I485" s="2" t="s">
        <v>1346</v>
      </c>
      <c r="J485" s="2">
        <v>0.041666666666666664</v>
      </c>
      <c r="K485" s="1">
        <v>0.041666666666666664</v>
      </c>
      <c r="L485" s="1">
        <v>0.08333333333333333</v>
      </c>
      <c r="M485" s="1">
        <v>0</v>
      </c>
      <c r="N485" s="1" t="s">
        <v>956</v>
      </c>
      <c r="O485" s="1" t="s">
        <v>503</v>
      </c>
      <c r="P485" s="1" t="s">
        <v>488</v>
      </c>
      <c r="Q485" s="1">
        <v>43284</v>
      </c>
      <c r="R485" s="14" t="s">
        <v>503</v>
      </c>
      <c r="S485" s="1" t="s">
        <v>22</v>
      </c>
      <c r="T485" s="1" t="s">
        <v>22</v>
      </c>
      <c r="U485" s="1" t="s">
        <v>22</v>
      </c>
    </row>
    <row r="486" spans="1:21" x14ac:dyDescent="0.25">
      <c r="A486" s="1" t="s">
        <v>1344</v>
      </c>
      <c r="B486" s="2" t="s">
        <v>525</v>
      </c>
      <c r="C486" s="1" t="s">
        <v>25</v>
      </c>
      <c r="D486" s="1" t="s">
        <v>503</v>
      </c>
      <c r="E486" s="1" t="s">
        <v>37</v>
      </c>
      <c r="F486" s="1">
        <v>43284</v>
      </c>
      <c r="G486" s="14" t="s">
        <v>953</v>
      </c>
      <c r="H486" t="s">
        <v>1347</v>
      </c>
      <c r="I486" s="2" t="s">
        <v>1348</v>
      </c>
      <c r="J486" s="2">
        <v>0.03472222222222222</v>
      </c>
      <c r="K486" s="1">
        <v>0.03472222222222222</v>
      </c>
      <c r="L486" s="1">
        <v>0.06944444444444443</v>
      </c>
      <c r="M486" s="1">
        <v>0</v>
      </c>
      <c r="N486" s="1" t="s">
        <v>1314</v>
      </c>
      <c r="O486" s="1" t="s">
        <v>503</v>
      </c>
      <c r="P486" s="1" t="s">
        <v>488</v>
      </c>
      <c r="Q486" s="1">
        <v>43284</v>
      </c>
      <c r="R486" s="14" t="s">
        <v>503</v>
      </c>
      <c r="S486" s="1" t="s">
        <v>22</v>
      </c>
      <c r="T486" s="1" t="s">
        <v>22</v>
      </c>
      <c r="U486" s="1" t="s">
        <v>22</v>
      </c>
    </row>
    <row r="487" spans="1:21" x14ac:dyDescent="0.25">
      <c r="A487" s="1" t="s">
        <v>1344</v>
      </c>
      <c r="B487" s="2" t="s">
        <v>1041</v>
      </c>
      <c r="C487" s="1" t="s">
        <v>1042</v>
      </c>
      <c r="D487" s="1" t="s">
        <v>503</v>
      </c>
      <c r="E487" s="1" t="s">
        <v>952</v>
      </c>
      <c r="F487" s="1">
        <v>43284</v>
      </c>
      <c r="G487" s="14" t="s">
        <v>255</v>
      </c>
      <c r="H487" t="s">
        <v>1349</v>
      </c>
      <c r="I487" s="2" t="s">
        <v>1350</v>
      </c>
      <c r="J487" s="2">
        <v>0.010416666666666666</v>
      </c>
      <c r="K487" s="1">
        <v>0.010416666666666666</v>
      </c>
      <c r="L487" s="1">
        <v>0.020833333333333332</v>
      </c>
      <c r="M487" s="1">
        <v>0</v>
      </c>
      <c r="N487" s="1" t="s">
        <v>966</v>
      </c>
      <c r="O487" s="1" t="s">
        <v>503</v>
      </c>
      <c r="P487" s="1" t="s">
        <v>484</v>
      </c>
      <c r="Q487" s="1">
        <v>43284</v>
      </c>
      <c r="R487" s="14" t="s">
        <v>503</v>
      </c>
      <c r="S487" s="1" t="s">
        <v>22</v>
      </c>
      <c r="T487" s="1" t="s">
        <v>22</v>
      </c>
      <c r="U487" s="1" t="s">
        <v>22</v>
      </c>
    </row>
    <row r="488" spans="1:21" x14ac:dyDescent="0.25">
      <c r="A488" s="1" t="s">
        <v>1344</v>
      </c>
      <c r="B488" s="2" t="s">
        <v>1047</v>
      </c>
      <c r="C488" s="1" t="s">
        <v>989</v>
      </c>
      <c r="D488" s="1" t="s">
        <v>503</v>
      </c>
      <c r="E488" s="1" t="s">
        <v>37</v>
      </c>
      <c r="F488" s="1">
        <v>43284</v>
      </c>
      <c r="G488" s="14" t="s">
        <v>28</v>
      </c>
      <c r="H488" t="s">
        <v>1351</v>
      </c>
      <c r="I488" s="2" t="s">
        <v>1352</v>
      </c>
      <c r="J488" s="2">
        <v>0.2708333333333333</v>
      </c>
      <c r="K488" s="1">
        <v>0.2708333333333333</v>
      </c>
      <c r="L488" s="1">
        <v>0.5416666666666666</v>
      </c>
      <c r="M488" s="1">
        <v>0</v>
      </c>
      <c r="N488" s="1" t="s">
        <v>966</v>
      </c>
      <c r="O488" s="1" t="s">
        <v>503</v>
      </c>
      <c r="P488" s="1" t="s">
        <v>484</v>
      </c>
      <c r="Q488" s="1">
        <v>43284</v>
      </c>
      <c r="R488" s="14" t="s">
        <v>503</v>
      </c>
      <c r="S488" s="1" t="s">
        <v>22</v>
      </c>
      <c r="T488" s="1" t="s">
        <v>22</v>
      </c>
      <c r="U488" s="1" t="s">
        <v>22</v>
      </c>
    </row>
    <row r="489" spans="1:21" x14ac:dyDescent="0.25">
      <c r="A489" s="1" t="s">
        <v>1344</v>
      </c>
      <c r="B489" s="2" t="s">
        <v>228</v>
      </c>
      <c r="C489" s="1" t="s">
        <v>1353</v>
      </c>
      <c r="D489" s="1" t="s">
        <v>503</v>
      </c>
      <c r="E489" s="1" t="s">
        <v>37</v>
      </c>
      <c r="F489" s="1">
        <v>43284</v>
      </c>
      <c r="G489" s="14" t="s">
        <v>953</v>
      </c>
      <c r="H489" t="s">
        <v>1354</v>
      </c>
      <c r="I489" s="2" t="s">
        <v>1355</v>
      </c>
      <c r="J489" s="2">
        <v>0.010416666666666666</v>
      </c>
      <c r="K489" s="1">
        <v>0.010416666666666666</v>
      </c>
      <c r="L489" s="1">
        <v>0.020833333333333332</v>
      </c>
      <c r="M489" s="1">
        <v>0</v>
      </c>
      <c r="N489" s="1" t="s">
        <v>966</v>
      </c>
      <c r="O489" s="1" t="s">
        <v>503</v>
      </c>
      <c r="P489" s="1" t="s">
        <v>488</v>
      </c>
      <c r="Q489" s="1">
        <v>43284</v>
      </c>
      <c r="R489" s="14" t="s">
        <v>503</v>
      </c>
      <c r="S489" s="1" t="s">
        <v>22</v>
      </c>
      <c r="T489" s="1" t="s">
        <v>22</v>
      </c>
      <c r="U489" s="1" t="s">
        <v>22</v>
      </c>
    </row>
    <row r="490" spans="1:21" x14ac:dyDescent="0.25">
      <c r="A490" s="1" t="s">
        <v>1344</v>
      </c>
      <c r="B490" s="2" t="s">
        <v>1212</v>
      </c>
      <c r="C490" s="1" t="s">
        <v>25</v>
      </c>
      <c r="D490" s="1" t="s">
        <v>503</v>
      </c>
      <c r="E490" s="1" t="s">
        <v>27</v>
      </c>
      <c r="F490" s="1">
        <v>43284</v>
      </c>
      <c r="G490" s="14" t="s">
        <v>28</v>
      </c>
      <c r="H490" t="s">
        <v>1356</v>
      </c>
      <c r="I490" s="2" t="s">
        <v>1357</v>
      </c>
      <c r="J490" s="2">
        <v>0.052083333333333336</v>
      </c>
      <c r="K490" s="1">
        <v>0.052083333333333336</v>
      </c>
      <c r="L490" s="1">
        <v>0.10416666666666667</v>
      </c>
      <c r="M490" s="1">
        <v>0</v>
      </c>
      <c r="N490" s="1" t="s">
        <v>966</v>
      </c>
      <c r="O490" s="1" t="s">
        <v>503</v>
      </c>
      <c r="P490" s="1" t="s">
        <v>484</v>
      </c>
      <c r="Q490" s="1">
        <v>43284</v>
      </c>
      <c r="R490" s="14" t="s">
        <v>503</v>
      </c>
      <c r="S490" s="1" t="s">
        <v>22</v>
      </c>
      <c r="T490" s="1" t="s">
        <v>22</v>
      </c>
      <c r="U490" s="1" t="s">
        <v>22</v>
      </c>
    </row>
    <row r="491" spans="1:21" x14ac:dyDescent="0.25">
      <c r="A491" s="1" t="s">
        <v>1344</v>
      </c>
      <c r="B491" s="2" t="s">
        <v>1358</v>
      </c>
      <c r="C491" s="1" t="s">
        <v>1359</v>
      </c>
      <c r="D491" s="1" t="s">
        <v>503</v>
      </c>
      <c r="E491" s="1" t="s">
        <v>27</v>
      </c>
      <c r="F491" s="1">
        <v>43284</v>
      </c>
      <c r="G491" s="14" t="s">
        <v>28</v>
      </c>
      <c r="H491" t="s">
        <v>1360</v>
      </c>
      <c r="I491" s="2" t="s">
        <v>1361</v>
      </c>
      <c r="J491" s="2">
        <v>0.046875</v>
      </c>
      <c r="K491" s="1">
        <v>0.046875</v>
      </c>
      <c r="L491" s="1">
        <v>0.09375</v>
      </c>
      <c r="M491" s="1">
        <v>0</v>
      </c>
      <c r="N491" s="1" t="s">
        <v>956</v>
      </c>
      <c r="O491" s="1" t="s">
        <v>503</v>
      </c>
      <c r="P491" s="1" t="s">
        <v>488</v>
      </c>
      <c r="Q491" s="1">
        <v>43284</v>
      </c>
      <c r="R491" s="14" t="s">
        <v>503</v>
      </c>
      <c r="S491" s="1" t="s">
        <v>22</v>
      </c>
      <c r="T491" s="1" t="s">
        <v>22</v>
      </c>
      <c r="U491" s="1" t="s">
        <v>22</v>
      </c>
    </row>
    <row r="492" spans="1:21" x14ac:dyDescent="0.25">
      <c r="A492" s="1" t="s">
        <v>1344</v>
      </c>
      <c r="B492" s="2" t="s">
        <v>113</v>
      </c>
      <c r="C492" s="1" t="s">
        <v>25</v>
      </c>
      <c r="D492" s="1" t="s">
        <v>503</v>
      </c>
      <c r="E492" s="1" t="s">
        <v>37</v>
      </c>
      <c r="F492" s="1">
        <v>43285</v>
      </c>
      <c r="G492" s="14" t="s">
        <v>28</v>
      </c>
      <c r="H492" t="s">
        <v>1362</v>
      </c>
      <c r="I492" s="2" t="s">
        <v>1363</v>
      </c>
      <c r="J492" s="2">
        <v>0.07291666666666667</v>
      </c>
      <c r="K492" s="1">
        <v>0.07291666666666667</v>
      </c>
      <c r="L492" s="1">
        <v>0.14583333333333334</v>
      </c>
      <c r="M492" s="1">
        <v>0</v>
      </c>
      <c r="N492" s="1" t="s">
        <v>956</v>
      </c>
      <c r="O492" s="1" t="s">
        <v>503</v>
      </c>
      <c r="P492" s="1" t="s">
        <v>488</v>
      </c>
      <c r="Q492" s="1">
        <v>43285</v>
      </c>
      <c r="R492" s="14" t="s">
        <v>503</v>
      </c>
      <c r="S492" s="1" t="s">
        <v>22</v>
      </c>
      <c r="T492" s="1" t="s">
        <v>22</v>
      </c>
      <c r="U492" s="1" t="s">
        <v>22</v>
      </c>
    </row>
    <row r="493" spans="1:21" x14ac:dyDescent="0.25">
      <c r="A493" s="1" t="s">
        <v>1344</v>
      </c>
      <c r="B493" s="2" t="s">
        <v>525</v>
      </c>
      <c r="C493" s="1" t="s">
        <v>25</v>
      </c>
      <c r="D493" s="1" t="s">
        <v>503</v>
      </c>
      <c r="E493" s="1" t="s">
        <v>27</v>
      </c>
      <c r="F493" s="1">
        <v>43285</v>
      </c>
      <c r="G493" s="14" t="s">
        <v>38</v>
      </c>
      <c r="H493" t="s">
        <v>1364</v>
      </c>
      <c r="I493" s="2" t="s">
        <v>1365</v>
      </c>
      <c r="J493" s="2">
        <v>0.041666666666666664</v>
      </c>
      <c r="K493" s="1">
        <v>0.041666666666666664</v>
      </c>
      <c r="L493" s="1">
        <v>0.08333333333333333</v>
      </c>
      <c r="M493" s="1">
        <v>0</v>
      </c>
      <c r="N493" s="1" t="s">
        <v>1001</v>
      </c>
      <c r="O493" s="1" t="s">
        <v>503</v>
      </c>
      <c r="P493" s="1" t="s">
        <v>488</v>
      </c>
      <c r="Q493" s="1">
        <v>43285</v>
      </c>
      <c r="R493" s="14" t="s">
        <v>503</v>
      </c>
      <c r="S493" s="1" t="s">
        <v>22</v>
      </c>
      <c r="T493" s="1" t="s">
        <v>22</v>
      </c>
      <c r="U493" s="1" t="s">
        <v>22</v>
      </c>
    </row>
    <row r="494" spans="1:21" x14ac:dyDescent="0.25">
      <c r="A494" s="1" t="s">
        <v>1344</v>
      </c>
      <c r="B494" s="2" t="s">
        <v>1212</v>
      </c>
      <c r="C494" s="1" t="s">
        <v>25</v>
      </c>
      <c r="D494" s="1" t="s">
        <v>503</v>
      </c>
      <c r="E494" s="1" t="s">
        <v>27</v>
      </c>
      <c r="F494" s="1">
        <v>43286</v>
      </c>
      <c r="G494" s="14" t="s">
        <v>28</v>
      </c>
      <c r="H494" t="s">
        <v>1366</v>
      </c>
      <c r="I494" s="2" t="s">
        <v>1367</v>
      </c>
      <c r="J494" s="2">
        <v>0.052083333333333336</v>
      </c>
      <c r="K494" s="1">
        <v>0.052083333333333336</v>
      </c>
      <c r="L494" s="1">
        <v>0.10416666666666667</v>
      </c>
      <c r="M494" s="1">
        <v>0</v>
      </c>
      <c r="N494" s="1" t="s">
        <v>956</v>
      </c>
      <c r="O494" s="1" t="s">
        <v>503</v>
      </c>
      <c r="P494" s="1" t="s">
        <v>484</v>
      </c>
      <c r="Q494" s="1">
        <v>43286</v>
      </c>
      <c r="R494" s="14" t="s">
        <v>503</v>
      </c>
      <c r="S494" s="1" t="s">
        <v>22</v>
      </c>
      <c r="T494" s="1" t="s">
        <v>22</v>
      </c>
      <c r="U494" s="1" t="s">
        <v>22</v>
      </c>
    </row>
    <row r="495" spans="1:21" x14ac:dyDescent="0.25">
      <c r="A495" s="1" t="s">
        <v>1344</v>
      </c>
      <c r="B495" s="2" t="s">
        <v>1204</v>
      </c>
      <c r="C495" s="1" t="s">
        <v>951</v>
      </c>
      <c r="D495" s="1" t="s">
        <v>503</v>
      </c>
      <c r="E495" s="1" t="s">
        <v>952</v>
      </c>
      <c r="F495" s="1">
        <v>43286</v>
      </c>
      <c r="G495" s="14" t="s">
        <v>1368</v>
      </c>
      <c r="H495" t="s">
        <v>1369</v>
      </c>
      <c r="I495" s="2" t="s">
        <v>1370</v>
      </c>
      <c r="J495" s="2">
        <v>0.18923611111111113</v>
      </c>
      <c r="K495" s="1">
        <v>0.18923611111111113</v>
      </c>
      <c r="L495" s="1">
        <v>0.37847222222222227</v>
      </c>
      <c r="M495" s="1">
        <v>0</v>
      </c>
      <c r="N495" s="1" t="s">
        <v>956</v>
      </c>
      <c r="O495" s="1" t="s">
        <v>503</v>
      </c>
      <c r="P495" s="1" t="s">
        <v>117</v>
      </c>
      <c r="Q495" s="1">
        <v>43292</v>
      </c>
      <c r="R495" s="14" t="s">
        <v>503</v>
      </c>
      <c r="S495" s="1" t="s">
        <v>22</v>
      </c>
      <c r="T495" s="1" t="s">
        <v>22</v>
      </c>
      <c r="U495" s="1" t="s">
        <v>22</v>
      </c>
    </row>
    <row r="496" spans="1:21" x14ac:dyDescent="0.25">
      <c r="A496" s="1" t="s">
        <v>1344</v>
      </c>
      <c r="B496" s="2" t="s">
        <v>1201</v>
      </c>
      <c r="C496" s="1" t="s">
        <v>1112</v>
      </c>
      <c r="D496" s="1" t="s">
        <v>503</v>
      </c>
      <c r="E496" s="1" t="s">
        <v>37</v>
      </c>
      <c r="F496" s="1">
        <v>43292</v>
      </c>
      <c r="G496" s="14" t="s">
        <v>50</v>
      </c>
      <c r="H496" t="s">
        <v>1371</v>
      </c>
      <c r="I496" s="2" t="s">
        <v>1372</v>
      </c>
      <c r="J496" s="2">
        <v>0.041666666666666664</v>
      </c>
      <c r="K496" s="1">
        <v>0.041666666666666664</v>
      </c>
      <c r="L496" s="1">
        <v>0.08333333333333333</v>
      </c>
      <c r="M496" s="1">
        <v>0</v>
      </c>
      <c r="N496" s="1" t="s">
        <v>956</v>
      </c>
      <c r="O496" s="1" t="s">
        <v>503</v>
      </c>
      <c r="P496" s="1" t="s">
        <v>977</v>
      </c>
      <c r="Q496" s="1">
        <v>43292</v>
      </c>
      <c r="R496" s="14" t="s">
        <v>503</v>
      </c>
      <c r="S496" s="1" t="s">
        <v>22</v>
      </c>
      <c r="T496" s="1" t="s">
        <v>22</v>
      </c>
      <c r="U496" s="1" t="s">
        <v>22</v>
      </c>
    </row>
    <row r="497" spans="1:21" x14ac:dyDescent="0.25">
      <c r="A497" s="1" t="s">
        <v>1344</v>
      </c>
      <c r="B497" s="2" t="s">
        <v>1222</v>
      </c>
      <c r="C497" s="1" t="s">
        <v>541</v>
      </c>
      <c r="D497" s="1" t="s">
        <v>503</v>
      </c>
      <c r="E497" s="1" t="s">
        <v>27</v>
      </c>
      <c r="F497" s="1">
        <v>43294</v>
      </c>
      <c r="G497" s="14" t="s">
        <v>255</v>
      </c>
      <c r="H497" t="s">
        <v>1373</v>
      </c>
      <c r="I497" s="2" t="s">
        <v>1374</v>
      </c>
      <c r="J497" s="2">
        <v>0.020833333333333332</v>
      </c>
      <c r="K497" s="1">
        <v>0.020833333333333332</v>
      </c>
      <c r="L497" s="1">
        <v>0.041666666666666664</v>
      </c>
      <c r="M497" s="1">
        <v>0</v>
      </c>
      <c r="N497" s="1" t="s">
        <v>966</v>
      </c>
      <c r="O497" s="1" t="s">
        <v>503</v>
      </c>
      <c r="P497" s="1" t="s">
        <v>488</v>
      </c>
      <c r="Q497" s="1">
        <v>43294</v>
      </c>
      <c r="R497" s="14" t="s">
        <v>503</v>
      </c>
      <c r="S497" s="1" t="s">
        <v>22</v>
      </c>
      <c r="T497" s="1" t="s">
        <v>22</v>
      </c>
      <c r="U497" s="1" t="s">
        <v>22</v>
      </c>
    </row>
    <row r="498" spans="1:21" x14ac:dyDescent="0.25">
      <c r="A498" s="1" t="s">
        <v>1344</v>
      </c>
      <c r="B498" s="2" t="s">
        <v>288</v>
      </c>
      <c r="C498" s="1" t="s">
        <v>25</v>
      </c>
      <c r="D498" s="1" t="s">
        <v>503</v>
      </c>
      <c r="E498" s="1" t="s">
        <v>952</v>
      </c>
      <c r="F498" s="1">
        <v>43294</v>
      </c>
      <c r="G498" s="14" t="s">
        <v>255</v>
      </c>
      <c r="H498" t="s">
        <v>1375</v>
      </c>
      <c r="I498" s="2" t="s">
        <v>1376</v>
      </c>
      <c r="J498" s="2">
        <v>0.026041666666666668</v>
      </c>
      <c r="K498" s="1">
        <v>0.026041666666666668</v>
      </c>
      <c r="L498" s="1">
        <v>0.052083333333333336</v>
      </c>
      <c r="M498" s="1">
        <v>0</v>
      </c>
      <c r="N498" s="1" t="s">
        <v>956</v>
      </c>
      <c r="O498" s="1" t="s">
        <v>503</v>
      </c>
      <c r="P498" s="1" t="s">
        <v>977</v>
      </c>
      <c r="Q498" s="1">
        <v>43294</v>
      </c>
      <c r="R498" s="14" t="s">
        <v>503</v>
      </c>
      <c r="S498" s="1" t="s">
        <v>22</v>
      </c>
      <c r="T498" s="1" t="s">
        <v>22</v>
      </c>
      <c r="U498" s="1" t="s">
        <v>22</v>
      </c>
    </row>
    <row r="499" spans="1:21" x14ac:dyDescent="0.25">
      <c r="A499" s="1" t="s">
        <v>1344</v>
      </c>
      <c r="B499" s="2" t="s">
        <v>1012</v>
      </c>
      <c r="C499" s="1" t="s">
        <v>25</v>
      </c>
      <c r="D499" s="1" t="s">
        <v>503</v>
      </c>
      <c r="E499" s="1" t="s">
        <v>952</v>
      </c>
      <c r="F499" s="1">
        <v>43294</v>
      </c>
      <c r="G499" s="14" t="s">
        <v>255</v>
      </c>
      <c r="H499" t="s">
        <v>1375</v>
      </c>
      <c r="I499" s="2" t="s">
        <v>1376</v>
      </c>
      <c r="J499" s="2">
        <v>0.026041666666666668</v>
      </c>
      <c r="K499" s="1">
        <v>0.026041666666666668</v>
      </c>
      <c r="L499" s="1">
        <v>0.052083333333333336</v>
      </c>
      <c r="M499" s="1">
        <v>0</v>
      </c>
      <c r="N499" s="1" t="s">
        <v>956</v>
      </c>
      <c r="O499" s="1" t="s">
        <v>503</v>
      </c>
      <c r="P499" s="1" t="s">
        <v>977</v>
      </c>
      <c r="Q499" s="1">
        <v>43294</v>
      </c>
      <c r="R499" s="14" t="s">
        <v>503</v>
      </c>
      <c r="S499" s="1" t="s">
        <v>22</v>
      </c>
      <c r="T499" s="1" t="s">
        <v>22</v>
      </c>
      <c r="U499" s="1" t="s">
        <v>22</v>
      </c>
    </row>
    <row r="500" spans="1:21" x14ac:dyDescent="0.25">
      <c r="A500" s="1" t="s">
        <v>1344</v>
      </c>
      <c r="B500" s="2" t="s">
        <v>1212</v>
      </c>
      <c r="C500" s="1" t="s">
        <v>25</v>
      </c>
      <c r="D500" s="1" t="s">
        <v>503</v>
      </c>
      <c r="E500" s="1" t="s">
        <v>952</v>
      </c>
      <c r="F500" s="1">
        <v>43294</v>
      </c>
      <c r="G500" s="14" t="s">
        <v>255</v>
      </c>
      <c r="H500" t="s">
        <v>1375</v>
      </c>
      <c r="I500" s="2" t="s">
        <v>1376</v>
      </c>
      <c r="J500" s="2">
        <v>0.026041666666666668</v>
      </c>
      <c r="K500" s="1">
        <v>0.026041666666666668</v>
      </c>
      <c r="L500" s="1">
        <v>0.052083333333333336</v>
      </c>
      <c r="M500" s="1">
        <v>0</v>
      </c>
      <c r="N500" s="1" t="s">
        <v>956</v>
      </c>
      <c r="O500" s="1" t="s">
        <v>503</v>
      </c>
      <c r="P500" s="1" t="s">
        <v>977</v>
      </c>
      <c r="Q500" s="1">
        <v>43294</v>
      </c>
      <c r="R500" s="14" t="s">
        <v>503</v>
      </c>
      <c r="S500" s="1" t="s">
        <v>22</v>
      </c>
      <c r="T500" s="1" t="s">
        <v>22</v>
      </c>
      <c r="U500" s="1" t="s">
        <v>22</v>
      </c>
    </row>
    <row r="501" spans="1:21" x14ac:dyDescent="0.25">
      <c r="A501" s="1" t="s">
        <v>1344</v>
      </c>
      <c r="B501" s="2" t="s">
        <v>950</v>
      </c>
      <c r="C501" s="1" t="s">
        <v>951</v>
      </c>
      <c r="D501" s="1" t="s">
        <v>503</v>
      </c>
      <c r="E501" s="1" t="s">
        <v>952</v>
      </c>
      <c r="F501" s="1">
        <v>43294</v>
      </c>
      <c r="G501" s="14" t="s">
        <v>255</v>
      </c>
      <c r="H501" t="s">
        <v>1375</v>
      </c>
      <c r="I501" s="2" t="s">
        <v>1376</v>
      </c>
      <c r="J501" s="2">
        <v>0.026041666666666668</v>
      </c>
      <c r="K501" s="1">
        <v>0.026041666666666668</v>
      </c>
      <c r="L501" s="1">
        <v>0.052083333333333336</v>
      </c>
      <c r="M501" s="1">
        <v>0</v>
      </c>
      <c r="N501" s="1" t="s">
        <v>956</v>
      </c>
      <c r="O501" s="1" t="s">
        <v>503</v>
      </c>
      <c r="P501" s="1" t="s">
        <v>977</v>
      </c>
      <c r="Q501" s="1">
        <v>43294</v>
      </c>
      <c r="R501" s="14" t="s">
        <v>503</v>
      </c>
      <c r="S501" s="1" t="s">
        <v>22</v>
      </c>
      <c r="T501" s="1" t="s">
        <v>22</v>
      </c>
      <c r="U501" s="1" t="s">
        <v>22</v>
      </c>
    </row>
    <row r="502" spans="1:21" x14ac:dyDescent="0.25">
      <c r="A502" s="1" t="s">
        <v>1344</v>
      </c>
      <c r="B502" s="2" t="s">
        <v>228</v>
      </c>
      <c r="C502" s="1" t="s">
        <v>1353</v>
      </c>
      <c r="D502" s="1" t="s">
        <v>503</v>
      </c>
      <c r="E502" s="1" t="s">
        <v>27</v>
      </c>
      <c r="F502" s="1">
        <v>43295</v>
      </c>
      <c r="G502" s="14" t="s">
        <v>28</v>
      </c>
      <c r="H502" t="s">
        <v>1377</v>
      </c>
      <c r="I502" s="2" t="s">
        <v>1378</v>
      </c>
      <c r="J502" s="2">
        <v>0.15625</v>
      </c>
      <c r="K502" s="1">
        <v>0.15625</v>
      </c>
      <c r="L502" s="1">
        <v>0.3125</v>
      </c>
      <c r="M502" s="1">
        <v>0</v>
      </c>
      <c r="N502" s="1" t="s">
        <v>966</v>
      </c>
      <c r="O502" s="1" t="s">
        <v>503</v>
      </c>
      <c r="P502" s="1" t="s">
        <v>488</v>
      </c>
      <c r="Q502" s="1">
        <v>43295</v>
      </c>
      <c r="R502" s="14" t="s">
        <v>503</v>
      </c>
      <c r="S502" s="1" t="s">
        <v>22</v>
      </c>
      <c r="T502" s="1" t="s">
        <v>22</v>
      </c>
      <c r="U502" s="1" t="s">
        <v>22</v>
      </c>
    </row>
    <row r="503" spans="1:21" x14ac:dyDescent="0.25">
      <c r="A503" s="1" t="s">
        <v>1344</v>
      </c>
      <c r="B503" s="2" t="s">
        <v>1204</v>
      </c>
      <c r="C503" s="1" t="s">
        <v>951</v>
      </c>
      <c r="D503" s="1" t="s">
        <v>503</v>
      </c>
      <c r="E503" s="1" t="s">
        <v>952</v>
      </c>
      <c r="F503" s="1">
        <v>43295</v>
      </c>
      <c r="G503" s="14" t="s">
        <v>953</v>
      </c>
      <c r="H503" t="s">
        <v>1379</v>
      </c>
      <c r="I503" s="2" t="s">
        <v>1380</v>
      </c>
      <c r="J503" s="2">
        <v>0.03125</v>
      </c>
      <c r="K503" s="1">
        <v>0.03125</v>
      </c>
      <c r="L503" s="1">
        <v>0.0625</v>
      </c>
      <c r="M503" s="1">
        <v>0</v>
      </c>
      <c r="N503" s="1" t="s">
        <v>956</v>
      </c>
      <c r="O503" s="1" t="s">
        <v>503</v>
      </c>
      <c r="P503" s="1" t="s">
        <v>117</v>
      </c>
      <c r="Q503" s="1">
        <v>43295</v>
      </c>
      <c r="R503" s="14" t="s">
        <v>503</v>
      </c>
      <c r="S503" s="1" t="s">
        <v>22</v>
      </c>
      <c r="T503" s="1" t="s">
        <v>22</v>
      </c>
      <c r="U503" s="1" t="s">
        <v>22</v>
      </c>
    </row>
    <row r="504" spans="1:21" x14ac:dyDescent="0.25">
      <c r="A504" s="1" t="s">
        <v>1344</v>
      </c>
      <c r="B504" s="2" t="s">
        <v>1155</v>
      </c>
      <c r="C504" s="1" t="s">
        <v>25</v>
      </c>
      <c r="D504" s="1" t="s">
        <v>503</v>
      </c>
      <c r="E504" s="1" t="s">
        <v>952</v>
      </c>
      <c r="F504" s="1">
        <v>43306</v>
      </c>
      <c r="G504" s="14" t="s">
        <v>255</v>
      </c>
      <c r="H504" t="s">
        <v>1381</v>
      </c>
      <c r="I504" s="2" t="s">
        <v>1382</v>
      </c>
      <c r="J504" s="2">
        <v>0.08333333333333333</v>
      </c>
      <c r="K504" s="1">
        <v>0.08333333333333333</v>
      </c>
      <c r="L504" s="1">
        <v>0.16666666666666666</v>
      </c>
      <c r="M504" s="1">
        <v>0</v>
      </c>
      <c r="N504" s="1" t="s">
        <v>956</v>
      </c>
      <c r="O504" s="1" t="s">
        <v>503</v>
      </c>
      <c r="P504" s="1" t="s">
        <v>977</v>
      </c>
      <c r="Q504" s="1">
        <v>43306</v>
      </c>
      <c r="R504" s="14" t="s">
        <v>503</v>
      </c>
      <c r="S504" s="1" t="s">
        <v>22</v>
      </c>
      <c r="T504" s="1" t="s">
        <v>22</v>
      </c>
      <c r="U504" s="1" t="s">
        <v>22</v>
      </c>
    </row>
    <row r="505" spans="1:21" x14ac:dyDescent="0.25">
      <c r="A505" s="1" t="s">
        <v>1344</v>
      </c>
      <c r="B505" s="2" t="s">
        <v>1041</v>
      </c>
      <c r="C505" s="1" t="s">
        <v>1042</v>
      </c>
      <c r="D505" s="1" t="s">
        <v>503</v>
      </c>
      <c r="E505" s="1" t="s">
        <v>27</v>
      </c>
      <c r="F505" s="1">
        <v>43307</v>
      </c>
      <c r="G505" s="14" t="s">
        <v>953</v>
      </c>
      <c r="H505" t="s">
        <v>1383</v>
      </c>
      <c r="I505" s="2" t="s">
        <v>1384</v>
      </c>
      <c r="J505" s="2">
        <v>0.020833333333333332</v>
      </c>
      <c r="K505" s="1">
        <v>0.020833333333333332</v>
      </c>
      <c r="L505" s="1">
        <v>0.041666666666666664</v>
      </c>
      <c r="M505" s="1">
        <v>0</v>
      </c>
      <c r="N505" s="1" t="s">
        <v>966</v>
      </c>
      <c r="O505" s="1" t="s">
        <v>503</v>
      </c>
      <c r="P505" s="1" t="s">
        <v>484</v>
      </c>
      <c r="Q505" s="1">
        <v>43307</v>
      </c>
      <c r="R505" s="14" t="s">
        <v>503</v>
      </c>
      <c r="S505" s="1" t="s">
        <v>22</v>
      </c>
      <c r="T505" s="1" t="s">
        <v>22</v>
      </c>
      <c r="U505" s="1" t="s">
        <v>22</v>
      </c>
    </row>
    <row r="506" spans="1:21" x14ac:dyDescent="0.25">
      <c r="A506" s="1" t="s">
        <v>1344</v>
      </c>
      <c r="B506" s="2" t="s">
        <v>199</v>
      </c>
      <c r="C506" s="1" t="s">
        <v>541</v>
      </c>
      <c r="D506" s="1" t="s">
        <v>503</v>
      </c>
      <c r="E506" s="1" t="s">
        <v>27</v>
      </c>
      <c r="F506" s="1">
        <v>43307</v>
      </c>
      <c r="G506" s="14" t="s">
        <v>670</v>
      </c>
      <c r="H506" t="s">
        <v>1385</v>
      </c>
      <c r="I506" s="2" t="s">
        <v>1386</v>
      </c>
      <c r="J506" s="2">
        <v>0.03125</v>
      </c>
      <c r="K506" s="1">
        <v>0.03125</v>
      </c>
      <c r="L506" s="1">
        <v>0.0625</v>
      </c>
      <c r="M506" s="1">
        <v>0</v>
      </c>
      <c r="N506" s="1" t="s">
        <v>956</v>
      </c>
      <c r="O506" s="1" t="s">
        <v>503</v>
      </c>
      <c r="P506" s="1" t="s">
        <v>488</v>
      </c>
      <c r="Q506" s="1">
        <v>43307</v>
      </c>
      <c r="R506" s="14" t="s">
        <v>503</v>
      </c>
      <c r="S506" s="1" t="s">
        <v>22</v>
      </c>
      <c r="T506" s="1" t="s">
        <v>22</v>
      </c>
      <c r="U506" s="1" t="s">
        <v>22</v>
      </c>
    </row>
    <row r="507" spans="1:21" x14ac:dyDescent="0.25">
      <c r="A507" s="1" t="s">
        <v>1344</v>
      </c>
      <c r="B507" s="2" t="s">
        <v>962</v>
      </c>
      <c r="C507" s="1" t="s">
        <v>963</v>
      </c>
      <c r="D507" s="1" t="s">
        <v>503</v>
      </c>
      <c r="E507" s="1" t="s">
        <v>37</v>
      </c>
      <c r="F507" s="1">
        <v>43309</v>
      </c>
      <c r="G507" s="14" t="s">
        <v>953</v>
      </c>
      <c r="H507" t="s">
        <v>1387</v>
      </c>
      <c r="I507" s="2" t="s">
        <v>1388</v>
      </c>
      <c r="J507" s="2">
        <v>0.010416666666666666</v>
      </c>
      <c r="K507" s="1">
        <v>0.010416666666666666</v>
      </c>
      <c r="L507" s="1">
        <v>0.020833333333333332</v>
      </c>
      <c r="M507" s="1">
        <v>0</v>
      </c>
      <c r="N507" s="1" t="s">
        <v>1314</v>
      </c>
      <c r="O507" s="1" t="s">
        <v>503</v>
      </c>
      <c r="P507" s="1" t="s">
        <v>484</v>
      </c>
      <c r="Q507" s="1">
        <v>43309</v>
      </c>
      <c r="R507" s="14" t="s">
        <v>503</v>
      </c>
      <c r="S507" s="1" t="s">
        <v>22</v>
      </c>
      <c r="T507" s="1" t="s">
        <v>22</v>
      </c>
      <c r="U507" s="1" t="s">
        <v>22</v>
      </c>
    </row>
    <row r="508" spans="1:21" x14ac:dyDescent="0.25">
      <c r="A508" s="1" t="s">
        <v>1344</v>
      </c>
      <c r="B508" s="2" t="s">
        <v>1111</v>
      </c>
      <c r="C508" s="1" t="s">
        <v>1112</v>
      </c>
      <c r="D508" s="1" t="s">
        <v>503</v>
      </c>
      <c r="E508" s="1" t="s">
        <v>37</v>
      </c>
      <c r="F508" s="1">
        <v>43312</v>
      </c>
      <c r="G508" s="14" t="s">
        <v>28</v>
      </c>
      <c r="H508" t="s">
        <v>1389</v>
      </c>
      <c r="I508" s="2" t="s">
        <v>1390</v>
      </c>
      <c r="J508" s="2">
        <v>0.08333333333333333</v>
      </c>
      <c r="K508" s="1">
        <v>0.08333333333333333</v>
      </c>
      <c r="L508" s="1">
        <v>0.16666666666666666</v>
      </c>
      <c r="M508" s="1">
        <v>0</v>
      </c>
      <c r="N508" s="1" t="s">
        <v>1001</v>
      </c>
      <c r="O508" s="1" t="s">
        <v>503</v>
      </c>
      <c r="P508" s="1" t="s">
        <v>977</v>
      </c>
      <c r="Q508" s="1">
        <v>43312</v>
      </c>
      <c r="R508" s="14" t="s">
        <v>503</v>
      </c>
      <c r="S508" s="1" t="s">
        <v>22</v>
      </c>
      <c r="T508" s="1" t="s">
        <v>22</v>
      </c>
      <c r="U508" s="1" t="s">
        <v>22</v>
      </c>
    </row>
    <row r="509" spans="1:21" x14ac:dyDescent="0.25">
      <c r="A509" s="1" t="s">
        <v>1344</v>
      </c>
      <c r="B509" s="2" t="s">
        <v>1391</v>
      </c>
      <c r="C509" s="1" t="s">
        <v>1112</v>
      </c>
      <c r="D509" s="1" t="s">
        <v>503</v>
      </c>
      <c r="E509" s="1" t="s">
        <v>37</v>
      </c>
      <c r="F509" s="1">
        <v>43312</v>
      </c>
      <c r="G509" s="14" t="s">
        <v>28</v>
      </c>
      <c r="H509" t="s">
        <v>1392</v>
      </c>
      <c r="I509" s="2" t="s">
        <v>1393</v>
      </c>
      <c r="J509" s="2">
        <v>0.03125</v>
      </c>
      <c r="K509" s="1">
        <v>0.03125</v>
      </c>
      <c r="L509" s="1">
        <v>0.0625</v>
      </c>
      <c r="M509" s="1">
        <v>0</v>
      </c>
      <c r="N509" s="1" t="s">
        <v>1001</v>
      </c>
      <c r="O509" s="1" t="s">
        <v>503</v>
      </c>
      <c r="P509" s="1" t="s">
        <v>977</v>
      </c>
      <c r="Q509" s="1">
        <v>43312</v>
      </c>
      <c r="R509" s="14" t="s">
        <v>503</v>
      </c>
      <c r="S509" s="1" t="s">
        <v>22</v>
      </c>
      <c r="T509" s="1" t="s">
        <v>22</v>
      </c>
      <c r="U509" s="1" t="s">
        <v>22</v>
      </c>
    </row>
    <row r="510" spans="1:21" x14ac:dyDescent="0.25">
      <c r="A510" s="1" t="s">
        <v>1394</v>
      </c>
      <c r="B510" s="2" t="s">
        <v>1047</v>
      </c>
      <c r="C510" s="1" t="s">
        <v>989</v>
      </c>
      <c r="D510" s="1" t="s">
        <v>503</v>
      </c>
      <c r="E510" s="1" t="s">
        <v>37</v>
      </c>
      <c r="F510" s="1">
        <v>43313</v>
      </c>
      <c r="G510" s="14" t="s">
        <v>28</v>
      </c>
      <c r="H510" t="s">
        <v>1395</v>
      </c>
      <c r="I510" s="2" t="s">
        <v>1396</v>
      </c>
      <c r="J510" s="2">
        <v>0.015625</v>
      </c>
      <c r="K510" s="1">
        <v>0.015625</v>
      </c>
      <c r="L510" s="1">
        <v>0.03125</v>
      </c>
      <c r="M510" s="1">
        <v>0</v>
      </c>
      <c r="N510" s="1" t="s">
        <v>966</v>
      </c>
      <c r="O510" s="1" t="s">
        <v>503</v>
      </c>
      <c r="P510" s="1" t="s">
        <v>484</v>
      </c>
      <c r="Q510" s="1">
        <v>43313</v>
      </c>
      <c r="R510" s="14" t="s">
        <v>503</v>
      </c>
      <c r="S510" s="1" t="s">
        <v>22</v>
      </c>
      <c r="T510" s="1" t="s">
        <v>22</v>
      </c>
      <c r="U510" s="1" t="s">
        <v>22</v>
      </c>
    </row>
    <row r="511" spans="1:21" x14ac:dyDescent="0.25">
      <c r="A511" s="1" t="s">
        <v>1394</v>
      </c>
      <c r="B511" s="2" t="s">
        <v>1041</v>
      </c>
      <c r="C511" s="1" t="s">
        <v>1042</v>
      </c>
      <c r="D511" s="1" t="s">
        <v>503</v>
      </c>
      <c r="E511" s="1" t="s">
        <v>27</v>
      </c>
      <c r="F511" s="1">
        <v>43314</v>
      </c>
      <c r="G511" s="14" t="s">
        <v>255</v>
      </c>
      <c r="H511" t="s">
        <v>1397</v>
      </c>
      <c r="I511" s="2" t="s">
        <v>1398</v>
      </c>
      <c r="J511" s="2">
        <v>0.07291666666666667</v>
      </c>
      <c r="K511" s="1">
        <v>0.07291666666666667</v>
      </c>
      <c r="L511" s="1">
        <v>0.14583333333333334</v>
      </c>
      <c r="M511" s="1">
        <v>0</v>
      </c>
      <c r="N511" s="1" t="s">
        <v>966</v>
      </c>
      <c r="O511" s="1" t="s">
        <v>503</v>
      </c>
      <c r="P511" s="1" t="s">
        <v>484</v>
      </c>
      <c r="Q511" s="1">
        <v>43314</v>
      </c>
      <c r="R511" s="14" t="s">
        <v>503</v>
      </c>
      <c r="S511" s="1" t="s">
        <v>22</v>
      </c>
      <c r="T511" s="1" t="s">
        <v>22</v>
      </c>
      <c r="U511" s="1" t="s">
        <v>22</v>
      </c>
    </row>
    <row r="512" spans="1:21" x14ac:dyDescent="0.25">
      <c r="A512" s="1" t="s">
        <v>1394</v>
      </c>
      <c r="B512" s="2" t="s">
        <v>113</v>
      </c>
      <c r="C512" s="1" t="s">
        <v>25</v>
      </c>
      <c r="D512" s="1" t="s">
        <v>503</v>
      </c>
      <c r="E512" s="1" t="s">
        <v>27</v>
      </c>
      <c r="F512" s="1">
        <v>43315</v>
      </c>
      <c r="G512" s="14" t="s">
        <v>50</v>
      </c>
      <c r="H512" t="s">
        <v>1399</v>
      </c>
      <c r="I512" s="2" t="s">
        <v>1400</v>
      </c>
      <c r="J512" s="2">
        <v>0.020833333333333332</v>
      </c>
      <c r="K512" s="1">
        <v>0.020833333333333332</v>
      </c>
      <c r="L512" s="1">
        <v>0.041666666666666664</v>
      </c>
      <c r="M512" s="1">
        <v>0</v>
      </c>
      <c r="N512" s="1" t="s">
        <v>956</v>
      </c>
      <c r="O512" s="1" t="s">
        <v>503</v>
      </c>
      <c r="P512" s="1" t="s">
        <v>977</v>
      </c>
      <c r="Q512" s="1">
        <v>43315</v>
      </c>
      <c r="R512" s="14" t="s">
        <v>503</v>
      </c>
      <c r="S512" s="1" t="s">
        <v>22</v>
      </c>
      <c r="T512" s="1" t="s">
        <v>22</v>
      </c>
      <c r="U512" s="1" t="s">
        <v>22</v>
      </c>
    </row>
    <row r="513" spans="1:21" x14ac:dyDescent="0.25">
      <c r="A513" s="1" t="s">
        <v>1394</v>
      </c>
      <c r="B513" s="2" t="s">
        <v>1047</v>
      </c>
      <c r="C513" s="1" t="s">
        <v>989</v>
      </c>
      <c r="D513" s="1" t="s">
        <v>503</v>
      </c>
      <c r="E513" s="1" t="s">
        <v>37</v>
      </c>
      <c r="F513" s="1">
        <v>43315</v>
      </c>
      <c r="G513" s="14" t="s">
        <v>28</v>
      </c>
      <c r="H513" t="s">
        <v>1401</v>
      </c>
      <c r="I513" s="2" t="s">
        <v>1402</v>
      </c>
      <c r="J513" s="2">
        <v>0.2309027777777778</v>
      </c>
      <c r="K513" s="1">
        <v>0.2309027777777778</v>
      </c>
      <c r="L513" s="1">
        <v>0.4618055555555556</v>
      </c>
      <c r="M513" s="1">
        <v>0</v>
      </c>
      <c r="N513" s="1" t="s">
        <v>966</v>
      </c>
      <c r="O513" s="1" t="s">
        <v>503</v>
      </c>
      <c r="P513" s="1" t="s">
        <v>484</v>
      </c>
      <c r="Q513" s="1">
        <v>43315</v>
      </c>
      <c r="R513" s="14" t="s">
        <v>503</v>
      </c>
      <c r="S513" s="1" t="s">
        <v>22</v>
      </c>
      <c r="T513" s="1" t="s">
        <v>22</v>
      </c>
      <c r="U513" s="1" t="s">
        <v>22</v>
      </c>
    </row>
    <row r="514" spans="1:21" x14ac:dyDescent="0.25">
      <c r="A514" s="1" t="s">
        <v>1394</v>
      </c>
      <c r="B514" s="2" t="s">
        <v>1009</v>
      </c>
      <c r="C514" s="1" t="s">
        <v>951</v>
      </c>
      <c r="D514" s="1" t="s">
        <v>503</v>
      </c>
      <c r="E514" s="1" t="s">
        <v>952</v>
      </c>
      <c r="F514" s="1">
        <v>43318</v>
      </c>
      <c r="G514" s="14" t="s">
        <v>28</v>
      </c>
      <c r="H514" t="s">
        <v>1403</v>
      </c>
      <c r="I514" s="2" t="s">
        <v>1404</v>
      </c>
      <c r="J514" s="2">
        <v>0.020833333333333332</v>
      </c>
      <c r="K514" s="1">
        <v>0.020833333333333332</v>
      </c>
      <c r="L514" s="1">
        <v>0.041666666666666664</v>
      </c>
      <c r="M514" s="1">
        <v>0</v>
      </c>
      <c r="N514" s="1" t="s">
        <v>956</v>
      </c>
      <c r="O514" s="1" t="s">
        <v>503</v>
      </c>
      <c r="P514" s="1" t="s">
        <v>1405</v>
      </c>
      <c r="Q514" s="1">
        <v>43318</v>
      </c>
      <c r="R514" s="14" t="s">
        <v>503</v>
      </c>
      <c r="S514" s="1" t="s">
        <v>22</v>
      </c>
      <c r="T514" s="1" t="s">
        <v>22</v>
      </c>
      <c r="U514" s="1" t="s">
        <v>22</v>
      </c>
    </row>
    <row r="515" spans="1:21" x14ac:dyDescent="0.25">
      <c r="A515" s="1" t="s">
        <v>1394</v>
      </c>
      <c r="B515" s="2" t="s">
        <v>99</v>
      </c>
      <c r="C515" s="1" t="s">
        <v>25</v>
      </c>
      <c r="D515" s="1" t="s">
        <v>503</v>
      </c>
      <c r="E515" s="1" t="s">
        <v>37</v>
      </c>
      <c r="F515" s="1">
        <v>43319</v>
      </c>
      <c r="G515" s="14" t="s">
        <v>28</v>
      </c>
      <c r="H515" t="s">
        <v>1406</v>
      </c>
      <c r="I515" s="2" t="s">
        <v>1407</v>
      </c>
      <c r="J515" s="2">
        <v>0.0625</v>
      </c>
      <c r="K515" s="1">
        <v>0.0625</v>
      </c>
      <c r="L515" s="1">
        <v>0.125</v>
      </c>
      <c r="M515" s="1">
        <v>0</v>
      </c>
      <c r="N515" s="1" t="s">
        <v>956</v>
      </c>
      <c r="O515" s="1" t="s">
        <v>503</v>
      </c>
      <c r="P515" s="1" t="s">
        <v>977</v>
      </c>
      <c r="Q515" s="1">
        <v>43319</v>
      </c>
      <c r="R515" s="14" t="s">
        <v>503</v>
      </c>
      <c r="S515" s="1" t="s">
        <v>22</v>
      </c>
      <c r="T515" s="1" t="s">
        <v>22</v>
      </c>
      <c r="U515" s="1" t="s">
        <v>22</v>
      </c>
    </row>
    <row r="516" spans="1:21" x14ac:dyDescent="0.25">
      <c r="A516" s="1" t="s">
        <v>1394</v>
      </c>
      <c r="B516" s="2" t="s">
        <v>985</v>
      </c>
      <c r="C516" s="1" t="s">
        <v>25</v>
      </c>
      <c r="D516" s="1" t="s">
        <v>503</v>
      </c>
      <c r="E516" s="1" t="s">
        <v>37</v>
      </c>
      <c r="F516" s="1">
        <v>43320</v>
      </c>
      <c r="G516" s="14" t="s">
        <v>28</v>
      </c>
      <c r="H516" t="s">
        <v>1408</v>
      </c>
      <c r="I516" s="2" t="s">
        <v>1409</v>
      </c>
      <c r="J516" s="2">
        <v>0.052083333333333336</v>
      </c>
      <c r="K516" s="1">
        <v>0.052083333333333336</v>
      </c>
      <c r="L516" s="1">
        <v>0.10416666666666667</v>
      </c>
      <c r="M516" s="1">
        <v>0</v>
      </c>
      <c r="N516" s="1" t="s">
        <v>966</v>
      </c>
      <c r="O516" s="1" t="s">
        <v>503</v>
      </c>
      <c r="P516" s="1" t="s">
        <v>977</v>
      </c>
      <c r="Q516" s="1">
        <v>43320</v>
      </c>
      <c r="R516" s="14" t="s">
        <v>503</v>
      </c>
      <c r="S516" s="1" t="s">
        <v>22</v>
      </c>
      <c r="T516" s="1" t="s">
        <v>22</v>
      </c>
      <c r="U516" s="1" t="s">
        <v>22</v>
      </c>
    </row>
    <row r="517" spans="1:21" x14ac:dyDescent="0.25">
      <c r="A517" s="1" t="s">
        <v>1394</v>
      </c>
      <c r="B517" s="2" t="s">
        <v>1111</v>
      </c>
      <c r="C517" s="1" t="s">
        <v>1112</v>
      </c>
      <c r="D517" s="1" t="s">
        <v>503</v>
      </c>
      <c r="E517" s="1" t="s">
        <v>27</v>
      </c>
      <c r="F517" s="1">
        <v>43333</v>
      </c>
      <c r="G517" s="14" t="s">
        <v>28</v>
      </c>
      <c r="H517" t="s">
        <v>1389</v>
      </c>
      <c r="I517" s="2" t="s">
        <v>1410</v>
      </c>
      <c r="J517" s="2">
        <v>0.08333333333333333</v>
      </c>
      <c r="K517" s="1">
        <v>0.08333333333333333</v>
      </c>
      <c r="L517" s="1">
        <v>0.16666666666666666</v>
      </c>
      <c r="M517" s="1">
        <v>0</v>
      </c>
      <c r="N517" s="1" t="s">
        <v>1001</v>
      </c>
      <c r="O517" s="1" t="s">
        <v>503</v>
      </c>
      <c r="P517" s="1" t="s">
        <v>977</v>
      </c>
      <c r="Q517" s="1">
        <v>43333</v>
      </c>
      <c r="R517" s="14" t="s">
        <v>503</v>
      </c>
      <c r="S517" s="1" t="s">
        <v>22</v>
      </c>
      <c r="T517" s="1" t="s">
        <v>22</v>
      </c>
      <c r="U517" s="1" t="s">
        <v>22</v>
      </c>
    </row>
    <row r="518" spans="1:21" x14ac:dyDescent="0.25">
      <c r="A518" s="1" t="s">
        <v>1394</v>
      </c>
      <c r="B518" s="2" t="s">
        <v>1093</v>
      </c>
      <c r="C518" s="1" t="s">
        <v>25</v>
      </c>
      <c r="D518" s="1" t="s">
        <v>503</v>
      </c>
      <c r="E518" s="1" t="s">
        <v>37</v>
      </c>
      <c r="F518" s="1">
        <v>43334</v>
      </c>
      <c r="G518" s="14" t="s">
        <v>28</v>
      </c>
      <c r="H518" t="s">
        <v>1411</v>
      </c>
      <c r="I518" s="2" t="s">
        <v>1412</v>
      </c>
      <c r="J518" s="2">
        <v>0.015625</v>
      </c>
      <c r="K518" s="1">
        <v>0.015625</v>
      </c>
      <c r="L518" s="1">
        <v>0.03125</v>
      </c>
      <c r="M518" s="1">
        <v>0</v>
      </c>
      <c r="N518" s="1" t="s">
        <v>966</v>
      </c>
      <c r="O518" s="1" t="s">
        <v>503</v>
      </c>
      <c r="P518" s="1" t="s">
        <v>977</v>
      </c>
      <c r="Q518" s="1">
        <v>43334</v>
      </c>
      <c r="R518" s="14" t="s">
        <v>503</v>
      </c>
      <c r="S518" s="1" t="s">
        <v>22</v>
      </c>
      <c r="T518" s="1" t="s">
        <v>22</v>
      </c>
      <c r="U518" s="1" t="s">
        <v>22</v>
      </c>
    </row>
    <row r="519" spans="1:21" x14ac:dyDescent="0.25">
      <c r="A519" s="1" t="s">
        <v>1394</v>
      </c>
      <c r="B519" s="2" t="s">
        <v>118</v>
      </c>
      <c r="C519" s="1" t="s">
        <v>25</v>
      </c>
      <c r="D519" s="1" t="s">
        <v>503</v>
      </c>
      <c r="E519" s="1" t="s">
        <v>37</v>
      </c>
      <c r="F519" s="1">
        <v>43334</v>
      </c>
      <c r="G519" s="14" t="s">
        <v>953</v>
      </c>
      <c r="H519" t="s">
        <v>1413</v>
      </c>
      <c r="I519" s="2" t="s">
        <v>1414</v>
      </c>
      <c r="J519" s="2">
        <v>0.012152777777777778</v>
      </c>
      <c r="K519" s="1">
        <v>0.012152777777777778</v>
      </c>
      <c r="L519" s="1">
        <v>0.024305555555555556</v>
      </c>
      <c r="M519" s="1">
        <v>0</v>
      </c>
      <c r="N519" s="1" t="s">
        <v>956</v>
      </c>
      <c r="O519" s="1" t="s">
        <v>503</v>
      </c>
      <c r="P519" s="1" t="s">
        <v>977</v>
      </c>
      <c r="Q519" s="1">
        <v>43334</v>
      </c>
      <c r="R519" s="14" t="s">
        <v>503</v>
      </c>
      <c r="S519" s="1" t="s">
        <v>22</v>
      </c>
      <c r="T519" s="1" t="s">
        <v>22</v>
      </c>
      <c r="U519" s="1" t="s">
        <v>22</v>
      </c>
    </row>
    <row r="520" spans="1:21" x14ac:dyDescent="0.25">
      <c r="A520" s="1" t="s">
        <v>1394</v>
      </c>
      <c r="B520" s="2" t="s">
        <v>113</v>
      </c>
      <c r="C520" s="1" t="s">
        <v>25</v>
      </c>
      <c r="D520" s="1" t="s">
        <v>503</v>
      </c>
      <c r="E520" s="1" t="s">
        <v>37</v>
      </c>
      <c r="F520" s="1">
        <v>43334</v>
      </c>
      <c r="G520" s="14" t="s">
        <v>28</v>
      </c>
      <c r="H520" t="s">
        <v>1415</v>
      </c>
      <c r="I520" s="2" t="s">
        <v>1416</v>
      </c>
      <c r="J520" s="2">
        <v>0.020833333333333332</v>
      </c>
      <c r="K520" s="1">
        <v>0.020833333333333332</v>
      </c>
      <c r="L520" s="1">
        <v>0.041666666666666664</v>
      </c>
      <c r="M520" s="1">
        <v>0</v>
      </c>
      <c r="N520" s="1" t="s">
        <v>956</v>
      </c>
      <c r="O520" s="1" t="s">
        <v>503</v>
      </c>
      <c r="P520" s="1" t="s">
        <v>977</v>
      </c>
      <c r="Q520" s="1">
        <v>43334</v>
      </c>
      <c r="R520" s="14" t="s">
        <v>503</v>
      </c>
      <c r="S520" s="1" t="s">
        <v>22</v>
      </c>
      <c r="T520" s="1" t="s">
        <v>22</v>
      </c>
      <c r="U520" s="1" t="s">
        <v>22</v>
      </c>
    </row>
    <row r="521" spans="1:21" x14ac:dyDescent="0.25">
      <c r="A521" s="1" t="s">
        <v>1394</v>
      </c>
      <c r="B521" s="2" t="s">
        <v>99</v>
      </c>
      <c r="C521" s="1" t="s">
        <v>25</v>
      </c>
      <c r="D521" s="1" t="s">
        <v>503</v>
      </c>
      <c r="E521" s="1" t="s">
        <v>37</v>
      </c>
      <c r="F521" s="1">
        <v>43342</v>
      </c>
      <c r="G521" s="14" t="s">
        <v>28</v>
      </c>
      <c r="H521" t="s">
        <v>1417</v>
      </c>
      <c r="I521" s="2" t="s">
        <v>1418</v>
      </c>
      <c r="J521" s="2">
        <v>0.052083333333333336</v>
      </c>
      <c r="K521" s="1">
        <v>0.052083333333333336</v>
      </c>
      <c r="L521" s="1">
        <v>0.10416666666666667</v>
      </c>
      <c r="M521" s="1">
        <v>0</v>
      </c>
      <c r="N521" s="1" t="s">
        <v>956</v>
      </c>
      <c r="O521" s="1" t="s">
        <v>503</v>
      </c>
      <c r="P521" s="1" t="s">
        <v>977</v>
      </c>
      <c r="Q521" s="1">
        <v>43342</v>
      </c>
      <c r="R521" s="14" t="s">
        <v>503</v>
      </c>
      <c r="S521" s="1" t="s">
        <v>22</v>
      </c>
      <c r="T521" s="1" t="s">
        <v>22</v>
      </c>
      <c r="U521" s="1" t="s">
        <v>22</v>
      </c>
    </row>
    <row r="522" spans="1:21" x14ac:dyDescent="0.25">
      <c r="A522" s="1" t="s">
        <v>1419</v>
      </c>
      <c r="B522" s="2" t="s">
        <v>489</v>
      </c>
      <c r="C522" s="1" t="s">
        <v>1258</v>
      </c>
      <c r="D522" s="1" t="s">
        <v>503</v>
      </c>
      <c r="E522" s="1" t="s">
        <v>27</v>
      </c>
      <c r="F522" s="1">
        <v>43360</v>
      </c>
      <c r="G522" s="14" t="s">
        <v>28</v>
      </c>
      <c r="H522" t="s">
        <v>1420</v>
      </c>
      <c r="I522" s="2" t="s">
        <v>1420</v>
      </c>
      <c r="J522" s="2">
        <v>0.027083333333333334</v>
      </c>
      <c r="K522" s="1">
        <v>0.027083333333333334</v>
      </c>
      <c r="L522" s="1">
        <v>0.05416666666666667</v>
      </c>
      <c r="M522" s="1">
        <v>0</v>
      </c>
      <c r="N522" s="1" t="s">
        <v>956</v>
      </c>
      <c r="O522" s="1" t="s">
        <v>503</v>
      </c>
      <c r="P522" s="1" t="s">
        <v>977</v>
      </c>
      <c r="Q522" s="1">
        <v>43360</v>
      </c>
      <c r="R522" s="14" t="s">
        <v>503</v>
      </c>
      <c r="S522" s="1" t="s">
        <v>22</v>
      </c>
      <c r="T522" s="1" t="s">
        <v>22</v>
      </c>
      <c r="U522" s="1" t="s">
        <v>22</v>
      </c>
    </row>
    <row r="523" spans="1:21" x14ac:dyDescent="0.25">
      <c r="A523" s="1" t="s">
        <v>1419</v>
      </c>
      <c r="B523" s="2" t="s">
        <v>286</v>
      </c>
      <c r="C523" s="1" t="s">
        <v>974</v>
      </c>
      <c r="D523" s="1" t="s">
        <v>503</v>
      </c>
      <c r="E523" s="1" t="s">
        <v>37</v>
      </c>
      <c r="F523" s="1">
        <v>43361</v>
      </c>
      <c r="G523" s="14" t="s">
        <v>255</v>
      </c>
      <c r="H523" t="s">
        <v>1421</v>
      </c>
      <c r="I523" s="2" t="s">
        <v>1422</v>
      </c>
      <c r="J523" s="2">
        <v>0.041666666666666664</v>
      </c>
      <c r="K523" s="1">
        <v>0.041666666666666664</v>
      </c>
      <c r="L523" s="1">
        <v>0.08333333333333333</v>
      </c>
      <c r="M523" s="1">
        <v>0</v>
      </c>
      <c r="N523" s="1" t="s">
        <v>956</v>
      </c>
      <c r="O523" s="1" t="s">
        <v>503</v>
      </c>
      <c r="P523" s="1" t="s">
        <v>977</v>
      </c>
      <c r="Q523" s="1">
        <v>43361</v>
      </c>
      <c r="R523" s="14" t="s">
        <v>503</v>
      </c>
      <c r="S523" s="1" t="s">
        <v>22</v>
      </c>
      <c r="T523" s="1" t="s">
        <v>22</v>
      </c>
      <c r="U523" s="1" t="s">
        <v>22</v>
      </c>
    </row>
    <row r="524" spans="1:21" x14ac:dyDescent="0.25">
      <c r="A524" s="1" t="s">
        <v>1419</v>
      </c>
      <c r="B524" s="2" t="s">
        <v>1111</v>
      </c>
      <c r="C524" s="1" t="s">
        <v>1112</v>
      </c>
      <c r="D524" s="1" t="s">
        <v>503</v>
      </c>
      <c r="E524" s="1" t="s">
        <v>37</v>
      </c>
      <c r="F524" s="1">
        <v>43365</v>
      </c>
      <c r="G524" s="14" t="s">
        <v>28</v>
      </c>
      <c r="H524" t="s">
        <v>1423</v>
      </c>
      <c r="I524" s="2" t="s">
        <v>1114</v>
      </c>
      <c r="J524" s="2">
        <v>0.07291666666666667</v>
      </c>
      <c r="K524" s="1">
        <v>0.07291666666666667</v>
      </c>
      <c r="L524" s="1">
        <v>0.14583333333333334</v>
      </c>
      <c r="M524" s="1">
        <v>0</v>
      </c>
      <c r="N524" s="1" t="s">
        <v>574</v>
      </c>
      <c r="O524" s="1" t="s">
        <v>503</v>
      </c>
      <c r="P524" s="1" t="s">
        <v>977</v>
      </c>
      <c r="Q524" s="1">
        <v>43365</v>
      </c>
      <c r="R524" s="14" t="s">
        <v>503</v>
      </c>
      <c r="S524" s="1" t="s">
        <v>22</v>
      </c>
      <c r="T524" s="1" t="s">
        <v>22</v>
      </c>
      <c r="U524" s="1" t="s">
        <v>22</v>
      </c>
    </row>
    <row r="525" spans="1:21" x14ac:dyDescent="0.25">
      <c r="A525" s="1" t="s">
        <v>1419</v>
      </c>
      <c r="B525" s="2" t="s">
        <v>1012</v>
      </c>
      <c r="C525" s="1" t="s">
        <v>25</v>
      </c>
      <c r="D525" s="1" t="s">
        <v>503</v>
      </c>
      <c r="E525" s="1" t="s">
        <v>27</v>
      </c>
      <c r="F525" s="1">
        <v>43365</v>
      </c>
      <c r="G525" s="14" t="s">
        <v>28</v>
      </c>
      <c r="H525" t="s">
        <v>1424</v>
      </c>
      <c r="I525" s="2" t="s">
        <v>1069</v>
      </c>
      <c r="J525" s="2">
        <v>0.07291666666666667</v>
      </c>
      <c r="K525" s="1">
        <v>0.07291666666666667</v>
      </c>
      <c r="L525" s="1">
        <v>0.14583333333333334</v>
      </c>
      <c r="M525" s="1">
        <v>0</v>
      </c>
      <c r="N525" s="1" t="s">
        <v>574</v>
      </c>
      <c r="O525" s="1" t="s">
        <v>503</v>
      </c>
      <c r="P525" s="1" t="s">
        <v>977</v>
      </c>
      <c r="Q525" s="1">
        <v>43365</v>
      </c>
      <c r="R525" s="14" t="s">
        <v>503</v>
      </c>
      <c r="S525" s="1" t="s">
        <v>22</v>
      </c>
      <c r="T525" s="1" t="s">
        <v>22</v>
      </c>
      <c r="U525" s="1" t="s">
        <v>22</v>
      </c>
    </row>
    <row r="526" spans="1:21" x14ac:dyDescent="0.25">
      <c r="A526" s="1" t="s">
        <v>1419</v>
      </c>
      <c r="B526" s="2" t="s">
        <v>1012</v>
      </c>
      <c r="C526" s="1" t="s">
        <v>25</v>
      </c>
      <c r="D526" s="1" t="s">
        <v>503</v>
      </c>
      <c r="E526" s="1" t="s">
        <v>37</v>
      </c>
      <c r="F526" s="1">
        <v>43369</v>
      </c>
      <c r="G526" s="14" t="s">
        <v>28</v>
      </c>
      <c r="H526" t="s">
        <v>1425</v>
      </c>
      <c r="I526" s="2" t="s">
        <v>1426</v>
      </c>
      <c r="J526" s="2">
        <v>0.03125</v>
      </c>
      <c r="K526" s="1">
        <v>0.03125</v>
      </c>
      <c r="L526" s="1">
        <v>0.0625</v>
      </c>
      <c r="M526" s="1">
        <v>0</v>
      </c>
      <c r="N526" s="1" t="s">
        <v>574</v>
      </c>
      <c r="O526" s="1" t="s">
        <v>503</v>
      </c>
      <c r="P526" s="1" t="s">
        <v>977</v>
      </c>
      <c r="Q526" s="1">
        <v>43369</v>
      </c>
      <c r="R526" s="14" t="s">
        <v>503</v>
      </c>
      <c r="S526" s="1" t="s">
        <v>22</v>
      </c>
      <c r="T526" s="1" t="s">
        <v>22</v>
      </c>
      <c r="U526" s="1" t="s">
        <v>22</v>
      </c>
    </row>
    <row r="527" spans="1:21" x14ac:dyDescent="0.25">
      <c r="A527" s="1" t="s">
        <v>1427</v>
      </c>
      <c r="B527" s="2" t="s">
        <v>525</v>
      </c>
      <c r="C527" s="1" t="s">
        <v>25</v>
      </c>
      <c r="D527" s="1" t="s">
        <v>503</v>
      </c>
      <c r="E527" s="1" t="s">
        <v>27</v>
      </c>
      <c r="F527" s="1">
        <v>43381</v>
      </c>
      <c r="G527" s="14" t="s">
        <v>28</v>
      </c>
      <c r="H527" t="s">
        <v>1428</v>
      </c>
      <c r="I527" s="2" t="s">
        <v>1429</v>
      </c>
      <c r="J527" s="2">
        <v>0.0625</v>
      </c>
      <c r="K527" s="1">
        <v>0.0625</v>
      </c>
      <c r="L527" s="1">
        <v>0.125</v>
      </c>
      <c r="M527" s="1">
        <v>0</v>
      </c>
      <c r="N527" s="1" t="s">
        <v>1430</v>
      </c>
      <c r="O527" s="1" t="s">
        <v>503</v>
      </c>
      <c r="P527" s="1" t="s">
        <v>977</v>
      </c>
      <c r="Q527" s="1">
        <v>43381</v>
      </c>
      <c r="R527" s="14" t="s">
        <v>503</v>
      </c>
      <c r="S527" s="1" t="s">
        <v>22</v>
      </c>
      <c r="T527" s="1" t="s">
        <v>22</v>
      </c>
      <c r="U527" s="1" t="s">
        <v>22</v>
      </c>
    </row>
    <row r="528" spans="1:21" x14ac:dyDescent="0.25">
      <c r="A528" s="1" t="s">
        <v>1427</v>
      </c>
      <c r="B528" s="2" t="s">
        <v>1212</v>
      </c>
      <c r="C528" s="1" t="s">
        <v>25</v>
      </c>
      <c r="D528" s="1" t="s">
        <v>503</v>
      </c>
      <c r="E528" s="1" t="s">
        <v>27</v>
      </c>
      <c r="F528" s="1">
        <v>43384</v>
      </c>
      <c r="G528" s="14" t="s">
        <v>255</v>
      </c>
      <c r="H528" t="s">
        <v>1431</v>
      </c>
      <c r="I528" s="2" t="s">
        <v>1432</v>
      </c>
      <c r="J528" s="2">
        <v>0.052083333333333336</v>
      </c>
      <c r="K528" s="1">
        <v>0.052083333333333336</v>
      </c>
      <c r="L528" s="1">
        <v>0.10416666666666667</v>
      </c>
      <c r="M528" s="1">
        <v>0</v>
      </c>
      <c r="N528" s="1" t="s">
        <v>966</v>
      </c>
      <c r="O528" s="1" t="s">
        <v>503</v>
      </c>
      <c r="P528" s="1" t="s">
        <v>977</v>
      </c>
      <c r="Q528" s="1">
        <v>43384</v>
      </c>
      <c r="R528" s="14" t="s">
        <v>503</v>
      </c>
      <c r="S528" s="1" t="s">
        <v>22</v>
      </c>
      <c r="T528" s="1" t="s">
        <v>22</v>
      </c>
      <c r="U528" s="1" t="s">
        <v>22</v>
      </c>
    </row>
    <row r="529" spans="1:21" x14ac:dyDescent="0.25">
      <c r="A529" s="1" t="s">
        <v>1427</v>
      </c>
      <c r="B529" s="2" t="s">
        <v>1059</v>
      </c>
      <c r="C529" s="1" t="s">
        <v>1433</v>
      </c>
      <c r="D529" s="1" t="s">
        <v>503</v>
      </c>
      <c r="E529" s="1" t="s">
        <v>37</v>
      </c>
      <c r="F529" s="1">
        <v>43390</v>
      </c>
      <c r="G529" s="14" t="s">
        <v>28</v>
      </c>
      <c r="H529" t="s">
        <v>1434</v>
      </c>
      <c r="I529" s="2" t="s">
        <v>1435</v>
      </c>
      <c r="J529" s="2">
        <v>0.25</v>
      </c>
      <c r="K529" s="1">
        <v>0.25</v>
      </c>
      <c r="L529" s="1">
        <v>0.5</v>
      </c>
      <c r="M529" s="1">
        <v>0</v>
      </c>
      <c r="N529" s="1" t="s">
        <v>956</v>
      </c>
      <c r="O529" s="1" t="s">
        <v>503</v>
      </c>
      <c r="P529" s="1" t="s">
        <v>977</v>
      </c>
      <c r="Q529" s="1">
        <v>43390</v>
      </c>
      <c r="R529" s="14" t="s">
        <v>503</v>
      </c>
      <c r="S529" s="1" t="s">
        <v>22</v>
      </c>
      <c r="T529" s="1" t="s">
        <v>22</v>
      </c>
      <c r="U529" s="1" t="s">
        <v>22</v>
      </c>
    </row>
    <row r="530" spans="1:21" x14ac:dyDescent="0.25">
      <c r="A530" s="1" t="s">
        <v>1427</v>
      </c>
      <c r="B530" s="2" t="s">
        <v>796</v>
      </c>
      <c r="C530" s="1" t="s">
        <v>285</v>
      </c>
      <c r="D530" s="1" t="s">
        <v>503</v>
      </c>
      <c r="E530" s="1" t="s">
        <v>37</v>
      </c>
      <c r="F530" s="1">
        <v>43390</v>
      </c>
      <c r="G530" s="14" t="s">
        <v>28</v>
      </c>
      <c r="H530" t="s">
        <v>1436</v>
      </c>
      <c r="I530" s="2" t="s">
        <v>1437</v>
      </c>
      <c r="J530" s="2">
        <v>0.09895833333333333</v>
      </c>
      <c r="K530" s="1">
        <v>0.09895833333333333</v>
      </c>
      <c r="L530" s="1">
        <v>0.19791666666666666</v>
      </c>
      <c r="M530" s="1">
        <v>0</v>
      </c>
      <c r="N530" s="1" t="s">
        <v>574</v>
      </c>
      <c r="O530" s="1" t="s">
        <v>503</v>
      </c>
      <c r="P530" s="1" t="s">
        <v>977</v>
      </c>
      <c r="Q530" s="1">
        <v>43390</v>
      </c>
      <c r="R530" s="14" t="s">
        <v>503</v>
      </c>
      <c r="S530" s="1" t="s">
        <v>22</v>
      </c>
      <c r="T530" s="1" t="s">
        <v>22</v>
      </c>
      <c r="U530" s="1" t="s">
        <v>22</v>
      </c>
    </row>
    <row r="531" spans="1:21" x14ac:dyDescent="0.25">
      <c r="A531" s="1" t="s">
        <v>1427</v>
      </c>
      <c r="B531" s="2" t="s">
        <v>99</v>
      </c>
      <c r="C531" s="1" t="s">
        <v>25</v>
      </c>
      <c r="D531" s="1" t="s">
        <v>503</v>
      </c>
      <c r="E531" s="1" t="s">
        <v>27</v>
      </c>
      <c r="F531" s="1">
        <v>43390</v>
      </c>
      <c r="G531" s="14" t="s">
        <v>28</v>
      </c>
      <c r="H531" t="s">
        <v>1438</v>
      </c>
      <c r="I531" s="2" t="s">
        <v>1439</v>
      </c>
      <c r="J531" s="2">
        <v>0.11458333333333333</v>
      </c>
      <c r="K531" s="1">
        <v>0.11458333333333333</v>
      </c>
      <c r="L531" s="1">
        <v>0.22916666666666666</v>
      </c>
      <c r="M531" s="1">
        <v>0</v>
      </c>
      <c r="N531" s="1" t="s">
        <v>956</v>
      </c>
      <c r="O531" s="1" t="s">
        <v>503</v>
      </c>
      <c r="P531" s="1" t="s">
        <v>488</v>
      </c>
      <c r="Q531" s="1">
        <v>43390</v>
      </c>
      <c r="R531" s="14" t="s">
        <v>503</v>
      </c>
      <c r="S531" s="1" t="s">
        <v>22</v>
      </c>
      <c r="T531" s="1" t="s">
        <v>22</v>
      </c>
      <c r="U531" s="1" t="s">
        <v>22</v>
      </c>
    </row>
    <row r="532" spans="1:21" x14ac:dyDescent="0.25">
      <c r="A532" s="1" t="s">
        <v>1427</v>
      </c>
      <c r="B532" s="2" t="s">
        <v>1047</v>
      </c>
      <c r="C532" s="1" t="s">
        <v>989</v>
      </c>
      <c r="D532" s="1" t="s">
        <v>503</v>
      </c>
      <c r="E532" s="1" t="s">
        <v>37</v>
      </c>
      <c r="F532" s="1">
        <v>43391</v>
      </c>
      <c r="G532" s="14" t="s">
        <v>255</v>
      </c>
      <c r="H532" t="s">
        <v>1440</v>
      </c>
      <c r="I532" s="2" t="s">
        <v>1441</v>
      </c>
      <c r="J532" s="2">
        <v>0.0625</v>
      </c>
      <c r="K532" s="1">
        <v>0.0625</v>
      </c>
      <c r="L532" s="1">
        <v>0.125</v>
      </c>
      <c r="M532" s="1">
        <v>0</v>
      </c>
      <c r="N532" s="1" t="s">
        <v>347</v>
      </c>
      <c r="O532" s="1" t="s">
        <v>503</v>
      </c>
      <c r="P532" s="1" t="s">
        <v>117</v>
      </c>
      <c r="Q532" s="1">
        <v>43391</v>
      </c>
      <c r="R532" s="14" t="s">
        <v>503</v>
      </c>
      <c r="S532" s="1" t="s">
        <v>22</v>
      </c>
      <c r="T532" s="1" t="s">
        <v>22</v>
      </c>
      <c r="U532" s="1" t="s">
        <v>22</v>
      </c>
    </row>
    <row r="533" spans="1:21" x14ac:dyDescent="0.25">
      <c r="A533" s="1" t="s">
        <v>1427</v>
      </c>
      <c r="B533" s="2" t="s">
        <v>1442</v>
      </c>
      <c r="C533" s="1" t="s">
        <v>186</v>
      </c>
      <c r="D533" s="1" t="s">
        <v>503</v>
      </c>
      <c r="E533" s="1" t="s">
        <v>27</v>
      </c>
      <c r="F533" s="1">
        <v>43393</v>
      </c>
      <c r="G533" s="14" t="s">
        <v>255</v>
      </c>
      <c r="H533" t="s">
        <v>1443</v>
      </c>
      <c r="I533" s="2" t="s">
        <v>1444</v>
      </c>
      <c r="J533" s="2">
        <v>0.020833333333333332</v>
      </c>
      <c r="K533" s="1">
        <v>0.020833333333333332</v>
      </c>
      <c r="L533" s="1">
        <v>0.041666666666666664</v>
      </c>
      <c r="M533" s="1">
        <v>0</v>
      </c>
      <c r="N533" s="1" t="s">
        <v>347</v>
      </c>
      <c r="O533" s="1" t="s">
        <v>503</v>
      </c>
      <c r="P533" s="1" t="s">
        <v>488</v>
      </c>
      <c r="Q533" s="1">
        <v>43393</v>
      </c>
      <c r="R533" s="14" t="s">
        <v>503</v>
      </c>
      <c r="S533" s="1" t="s">
        <v>22</v>
      </c>
      <c r="T533" s="1" t="s">
        <v>22</v>
      </c>
      <c r="U533" s="1" t="s">
        <v>22</v>
      </c>
    </row>
    <row r="534" spans="1:21" x14ac:dyDescent="0.25">
      <c r="A534" s="1" t="s">
        <v>1427</v>
      </c>
      <c r="B534" s="2" t="s">
        <v>1087</v>
      </c>
      <c r="C534" s="1" t="s">
        <v>186</v>
      </c>
      <c r="D534" s="1" t="s">
        <v>503</v>
      </c>
      <c r="E534" s="1" t="s">
        <v>27</v>
      </c>
      <c r="F534" s="1">
        <v>43393</v>
      </c>
      <c r="G534" s="14" t="s">
        <v>255</v>
      </c>
      <c r="H534" t="s">
        <v>1445</v>
      </c>
      <c r="I534" s="2" t="s">
        <v>1446</v>
      </c>
      <c r="J534" s="2">
        <v>0.03125</v>
      </c>
      <c r="K534" s="1">
        <v>0.03125</v>
      </c>
      <c r="L534" s="1">
        <v>0.0625</v>
      </c>
      <c r="M534" s="1">
        <v>0</v>
      </c>
      <c r="N534" s="1" t="s">
        <v>966</v>
      </c>
      <c r="O534" s="1" t="s">
        <v>503</v>
      </c>
      <c r="P534" s="1" t="s">
        <v>488</v>
      </c>
      <c r="Q534" s="1">
        <v>43393</v>
      </c>
      <c r="R534" s="14" t="s">
        <v>503</v>
      </c>
      <c r="S534" s="1" t="s">
        <v>22</v>
      </c>
      <c r="T534" s="1" t="s">
        <v>22</v>
      </c>
      <c r="U534" s="1" t="s">
        <v>22</v>
      </c>
    </row>
    <row r="535" spans="1:21" x14ac:dyDescent="0.25">
      <c r="A535" s="1" t="s">
        <v>1447</v>
      </c>
      <c r="B535" s="2" t="s">
        <v>1448</v>
      </c>
      <c r="C535" s="1" t="s">
        <v>1236</v>
      </c>
      <c r="D535" s="1" t="s">
        <v>503</v>
      </c>
      <c r="E535" s="1" t="s">
        <v>27</v>
      </c>
      <c r="F535" s="1">
        <v>43413</v>
      </c>
      <c r="G535" s="14" t="s">
        <v>28</v>
      </c>
      <c r="H535" t="s">
        <v>1449</v>
      </c>
      <c r="I535" s="2" t="s">
        <v>1450</v>
      </c>
      <c r="J535" s="2">
        <v>0.010416666666666666</v>
      </c>
      <c r="K535" s="1">
        <v>0.010416666666666666</v>
      </c>
      <c r="L535" s="1">
        <v>0.020833333333333332</v>
      </c>
      <c r="M535" s="1">
        <v>0</v>
      </c>
      <c r="N535" s="1" t="s">
        <v>966</v>
      </c>
      <c r="O535" s="1" t="s">
        <v>503</v>
      </c>
      <c r="P535" s="1" t="s">
        <v>484</v>
      </c>
      <c r="Q535" s="1">
        <v>43413</v>
      </c>
      <c r="R535" s="14" t="s">
        <v>503</v>
      </c>
      <c r="S535" s="1" t="s">
        <v>22</v>
      </c>
      <c r="T535" s="1" t="s">
        <v>22</v>
      </c>
      <c r="U535" s="1" t="s">
        <v>22</v>
      </c>
    </row>
    <row r="536" spans="1:21" x14ac:dyDescent="0.25">
      <c r="A536" s="1" t="s">
        <v>1447</v>
      </c>
      <c r="B536" s="2" t="s">
        <v>1451</v>
      </c>
      <c r="C536" s="1" t="s">
        <v>25</v>
      </c>
      <c r="D536" s="1" t="s">
        <v>503</v>
      </c>
      <c r="E536" s="1" t="s">
        <v>27</v>
      </c>
      <c r="F536" s="1">
        <v>43413</v>
      </c>
      <c r="G536" s="14" t="s">
        <v>255</v>
      </c>
      <c r="H536" t="s">
        <v>1452</v>
      </c>
      <c r="I536" s="2" t="s">
        <v>1453</v>
      </c>
      <c r="J536" s="2">
        <v>0.052083333333333336</v>
      </c>
      <c r="K536" s="1">
        <v>0.052083333333333336</v>
      </c>
      <c r="L536" s="1">
        <v>0.10416666666666667</v>
      </c>
      <c r="M536" s="1">
        <v>0</v>
      </c>
      <c r="N536" s="1" t="s">
        <v>966</v>
      </c>
      <c r="O536" s="1" t="s">
        <v>503</v>
      </c>
      <c r="P536" s="1" t="s">
        <v>488</v>
      </c>
      <c r="Q536" s="1">
        <v>43413</v>
      </c>
      <c r="R536" s="14" t="s">
        <v>503</v>
      </c>
      <c r="S536" s="1" t="s">
        <v>22</v>
      </c>
      <c r="T536" s="1" t="s">
        <v>22</v>
      </c>
      <c r="U536" s="1" t="s">
        <v>22</v>
      </c>
    </row>
    <row r="537" spans="1:21" x14ac:dyDescent="0.25">
      <c r="A537" s="1" t="s">
        <v>1447</v>
      </c>
      <c r="B537" s="2" t="s">
        <v>99</v>
      </c>
      <c r="C537" s="1" t="s">
        <v>25</v>
      </c>
      <c r="D537" s="1" t="s">
        <v>503</v>
      </c>
      <c r="E537" s="1" t="s">
        <v>27</v>
      </c>
      <c r="F537" s="1">
        <v>43419</v>
      </c>
      <c r="G537" s="14" t="s">
        <v>28</v>
      </c>
      <c r="H537" t="s">
        <v>1454</v>
      </c>
      <c r="I537" s="2" t="s">
        <v>1455</v>
      </c>
      <c r="J537" s="2">
        <v>0.041666666666666664</v>
      </c>
      <c r="K537" s="1">
        <v>0.041666666666666664</v>
      </c>
      <c r="L537" s="1">
        <v>0.08333333333333333</v>
      </c>
      <c r="M537" s="1">
        <v>0</v>
      </c>
      <c r="N537" s="1" t="s">
        <v>574</v>
      </c>
      <c r="O537" s="1" t="s">
        <v>503</v>
      </c>
      <c r="P537" s="1" t="s">
        <v>977</v>
      </c>
      <c r="Q537" s="1">
        <v>43419</v>
      </c>
      <c r="R537" s="14" t="s">
        <v>503</v>
      </c>
      <c r="S537" s="1" t="s">
        <v>22</v>
      </c>
      <c r="T537" s="1" t="s">
        <v>22</v>
      </c>
      <c r="U537" s="1" t="s">
        <v>22</v>
      </c>
    </row>
    <row r="538" spans="1:21" x14ac:dyDescent="0.25">
      <c r="A538" s="1" t="s">
        <v>1447</v>
      </c>
      <c r="B538" s="2" t="s">
        <v>99</v>
      </c>
      <c r="C538" s="1" t="s">
        <v>25</v>
      </c>
      <c r="D538" s="1" t="s">
        <v>503</v>
      </c>
      <c r="E538" s="1" t="s">
        <v>27</v>
      </c>
      <c r="F538" s="1">
        <v>43426</v>
      </c>
      <c r="G538" s="14" t="s">
        <v>28</v>
      </c>
      <c r="H538" t="s">
        <v>1456</v>
      </c>
      <c r="I538" s="2" t="s">
        <v>1457</v>
      </c>
      <c r="J538" s="2">
        <v>0.010416666666666666</v>
      </c>
      <c r="K538" s="1">
        <v>0.010416666666666666</v>
      </c>
      <c r="L538" s="1">
        <v>0.020833333333333332</v>
      </c>
      <c r="M538" s="1">
        <v>0</v>
      </c>
      <c r="N538" s="1" t="s">
        <v>1314</v>
      </c>
      <c r="O538" s="1" t="s">
        <v>503</v>
      </c>
      <c r="P538" s="1" t="s">
        <v>977</v>
      </c>
      <c r="Q538" s="1">
        <v>43426</v>
      </c>
      <c r="R538" s="14" t="s">
        <v>503</v>
      </c>
      <c r="S538" s="1" t="s">
        <v>22</v>
      </c>
      <c r="T538" s="1" t="s">
        <v>22</v>
      </c>
      <c r="U538" s="1" t="s">
        <v>22</v>
      </c>
    </row>
    <row r="539" spans="1:21" x14ac:dyDescent="0.25">
      <c r="A539" s="1" t="s">
        <v>1447</v>
      </c>
      <c r="B539" s="2" t="s">
        <v>1087</v>
      </c>
      <c r="C539" s="1" t="s">
        <v>186</v>
      </c>
      <c r="D539" s="1" t="s">
        <v>503</v>
      </c>
      <c r="E539" s="1" t="s">
        <v>27</v>
      </c>
      <c r="F539" s="1">
        <v>43426</v>
      </c>
      <c r="G539" s="14" t="s">
        <v>255</v>
      </c>
      <c r="H539" t="s">
        <v>1458</v>
      </c>
      <c r="I539" s="2" t="s">
        <v>1459</v>
      </c>
      <c r="J539" s="2">
        <v>0.020833333333333332</v>
      </c>
      <c r="K539" s="1">
        <v>0.020833333333333332</v>
      </c>
      <c r="L539" s="1">
        <v>0.041666666666666664</v>
      </c>
      <c r="M539" s="1">
        <v>0</v>
      </c>
      <c r="N539" s="1" t="s">
        <v>1314</v>
      </c>
      <c r="O539" s="1" t="s">
        <v>503</v>
      </c>
      <c r="P539" s="1" t="s">
        <v>488</v>
      </c>
      <c r="Q539" s="1">
        <v>43426</v>
      </c>
      <c r="R539" s="14" t="s">
        <v>503</v>
      </c>
      <c r="S539" s="1" t="s">
        <v>22</v>
      </c>
      <c r="T539" s="1" t="s">
        <v>22</v>
      </c>
      <c r="U539" s="1" t="s">
        <v>22</v>
      </c>
    </row>
    <row r="540" spans="1:21" x14ac:dyDescent="0.25">
      <c r="A540" s="1" t="s">
        <v>1447</v>
      </c>
      <c r="B540" s="2" t="s">
        <v>1087</v>
      </c>
      <c r="C540" s="1" t="s">
        <v>186</v>
      </c>
      <c r="D540" s="1" t="s">
        <v>503</v>
      </c>
      <c r="E540" s="1" t="s">
        <v>27</v>
      </c>
      <c r="F540" s="1">
        <v>43431</v>
      </c>
      <c r="G540" s="14" t="s">
        <v>28</v>
      </c>
      <c r="H540" t="s">
        <v>1460</v>
      </c>
      <c r="I540" s="2" t="s">
        <v>1461</v>
      </c>
      <c r="J540" s="2">
        <v>0.08333333333333333</v>
      </c>
      <c r="K540" s="1">
        <v>0.041666666666666664</v>
      </c>
      <c r="L540" s="1">
        <v>0.125</v>
      </c>
      <c r="M540" s="1">
        <v>0</v>
      </c>
      <c r="N540" s="1" t="s">
        <v>574</v>
      </c>
      <c r="O540" s="1" t="s">
        <v>503</v>
      </c>
      <c r="P540" s="1" t="s">
        <v>488</v>
      </c>
      <c r="Q540" s="1">
        <v>43432</v>
      </c>
      <c r="R540" s="14" t="s">
        <v>503</v>
      </c>
      <c r="S540" s="1" t="s">
        <v>22</v>
      </c>
      <c r="T540" s="1" t="s">
        <v>22</v>
      </c>
      <c r="U540" s="1" t="s">
        <v>22</v>
      </c>
    </row>
    <row r="541" spans="1:21" x14ac:dyDescent="0.25">
      <c r="A541" s="1" t="s">
        <v>1462</v>
      </c>
      <c r="B541" s="2" t="s">
        <v>1222</v>
      </c>
      <c r="C541" s="1" t="s">
        <v>541</v>
      </c>
      <c r="D541" s="1" t="s">
        <v>503</v>
      </c>
      <c r="E541" s="1" t="s">
        <v>37</v>
      </c>
      <c r="F541" s="1">
        <v>43439</v>
      </c>
      <c r="G541" s="14" t="s">
        <v>28</v>
      </c>
      <c r="H541" t="s">
        <v>1463</v>
      </c>
      <c r="I541" s="2" t="s">
        <v>1464</v>
      </c>
      <c r="J541" s="2">
        <v>0.03125</v>
      </c>
      <c r="K541" s="1">
        <v>0.03125</v>
      </c>
      <c r="L541" s="1">
        <v>0.0625</v>
      </c>
      <c r="M541" s="1">
        <v>0</v>
      </c>
      <c r="N541" s="1" t="s">
        <v>1430</v>
      </c>
      <c r="O541" s="1" t="s">
        <v>503</v>
      </c>
      <c r="P541" s="1" t="s">
        <v>488</v>
      </c>
      <c r="Q541" s="1">
        <v>43439</v>
      </c>
      <c r="R541" s="14" t="s">
        <v>503</v>
      </c>
      <c r="S541" s="1" t="s">
        <v>22</v>
      </c>
      <c r="T541" s="1" t="s">
        <v>22</v>
      </c>
      <c r="U541" s="1" t="s">
        <v>22</v>
      </c>
    </row>
    <row r="542" spans="1:21" x14ac:dyDescent="0.25">
      <c r="A542" s="1" t="s">
        <v>1462</v>
      </c>
      <c r="B542" s="2" t="s">
        <v>545</v>
      </c>
      <c r="C542" s="1" t="s">
        <v>963</v>
      </c>
      <c r="D542" s="1" t="s">
        <v>503</v>
      </c>
      <c r="E542" s="1" t="s">
        <v>37</v>
      </c>
      <c r="F542" s="1">
        <v>43444</v>
      </c>
      <c r="G542" s="14" t="s">
        <v>28</v>
      </c>
      <c r="H542" t="s">
        <v>1465</v>
      </c>
      <c r="I542" s="2" t="s">
        <v>1466</v>
      </c>
      <c r="J542" s="2">
        <v>0.010416666666666666</v>
      </c>
      <c r="K542" s="1">
        <v>0.010416666666666666</v>
      </c>
      <c r="L542" s="1">
        <v>0.020833333333333332</v>
      </c>
      <c r="M542" s="1">
        <v>0</v>
      </c>
      <c r="N542" s="1" t="s">
        <v>1314</v>
      </c>
      <c r="O542" s="1" t="s">
        <v>503</v>
      </c>
      <c r="P542" s="1" t="s">
        <v>484</v>
      </c>
      <c r="Q542" s="1">
        <v>43444</v>
      </c>
      <c r="R542" s="14" t="s">
        <v>503</v>
      </c>
      <c r="S542" s="1" t="s">
        <v>22</v>
      </c>
      <c r="T542" s="1" t="s">
        <v>22</v>
      </c>
      <c r="U542" s="1" t="s">
        <v>22</v>
      </c>
    </row>
    <row r="543" spans="1:21" x14ac:dyDescent="0.25">
      <c r="A543" s="1" t="s">
        <v>1462</v>
      </c>
      <c r="B543" s="2" t="s">
        <v>122</v>
      </c>
      <c r="C543" s="1" t="s">
        <v>123</v>
      </c>
      <c r="D543" s="1" t="s">
        <v>503</v>
      </c>
      <c r="E543" s="1" t="s">
        <v>27</v>
      </c>
      <c r="F543" s="1">
        <v>43444</v>
      </c>
      <c r="G543" s="14" t="s">
        <v>28</v>
      </c>
      <c r="H543" t="s">
        <v>1467</v>
      </c>
      <c r="I543" s="2" t="s">
        <v>1468</v>
      </c>
      <c r="J543" s="2">
        <v>0.020833333333333332</v>
      </c>
      <c r="K543" s="1">
        <v>0.020833333333333332</v>
      </c>
      <c r="L543" s="1">
        <v>0.041666666666666664</v>
      </c>
      <c r="M543" s="1">
        <v>0</v>
      </c>
      <c r="N543" s="1" t="s">
        <v>956</v>
      </c>
      <c r="O543" s="1" t="s">
        <v>503</v>
      </c>
      <c r="P543" s="1" t="s">
        <v>977</v>
      </c>
      <c r="Q543" s="1">
        <v>43444</v>
      </c>
      <c r="R543" s="14" t="s">
        <v>503</v>
      </c>
      <c r="S543" s="1" t="s">
        <v>22</v>
      </c>
      <c r="T543" s="1" t="s">
        <v>22</v>
      </c>
      <c r="U543" s="1" t="s">
        <v>22</v>
      </c>
    </row>
    <row r="544" spans="1:21" x14ac:dyDescent="0.25">
      <c r="A544" s="1" t="s">
        <v>1462</v>
      </c>
      <c r="B544" s="2" t="s">
        <v>288</v>
      </c>
      <c r="C544" s="1" t="s">
        <v>25</v>
      </c>
      <c r="D544" s="1" t="s">
        <v>503</v>
      </c>
      <c r="E544" s="1" t="s">
        <v>37</v>
      </c>
      <c r="F544" s="1">
        <v>43447</v>
      </c>
      <c r="G544" s="14" t="s">
        <v>50</v>
      </c>
      <c r="H544" t="s">
        <v>1469</v>
      </c>
      <c r="I544" s="2" t="s">
        <v>1470</v>
      </c>
      <c r="J544" s="2">
        <v>0.020833333333333332</v>
      </c>
      <c r="K544" s="1">
        <v>0.020833333333333332</v>
      </c>
      <c r="L544" s="1">
        <v>0.041666666666666664</v>
      </c>
      <c r="M544" s="1">
        <v>0</v>
      </c>
      <c r="N544" s="1" t="s">
        <v>574</v>
      </c>
      <c r="O544" s="1" t="s">
        <v>503</v>
      </c>
      <c r="P544" s="1" t="s">
        <v>977</v>
      </c>
      <c r="Q544" s="1">
        <v>43447</v>
      </c>
      <c r="R544" s="14" t="s">
        <v>503</v>
      </c>
      <c r="S544" s="1" t="s">
        <v>22</v>
      </c>
      <c r="T544" s="1" t="s">
        <v>22</v>
      </c>
      <c r="U544" s="1" t="s">
        <v>22</v>
      </c>
    </row>
    <row r="545" spans="1:21" x14ac:dyDescent="0.25">
      <c r="A545" s="1" t="s">
        <v>1462</v>
      </c>
      <c r="B545" s="2" t="s">
        <v>199</v>
      </c>
      <c r="C545" s="1" t="s">
        <v>541</v>
      </c>
      <c r="D545" s="1" t="s">
        <v>503</v>
      </c>
      <c r="E545" s="1" t="s">
        <v>37</v>
      </c>
      <c r="F545" s="1">
        <v>43448</v>
      </c>
      <c r="G545" s="14" t="s">
        <v>28</v>
      </c>
      <c r="H545" t="s">
        <v>1471</v>
      </c>
      <c r="I545" s="2" t="s">
        <v>1472</v>
      </c>
      <c r="J545" s="2">
        <v>0.041666666666666664</v>
      </c>
      <c r="K545" s="1">
        <v>0.041666666666666664</v>
      </c>
      <c r="L545" s="1">
        <v>0.08333333333333333</v>
      </c>
      <c r="M545" s="1">
        <v>0</v>
      </c>
      <c r="N545" s="1" t="s">
        <v>574</v>
      </c>
      <c r="O545" s="1" t="s">
        <v>503</v>
      </c>
      <c r="P545" s="1" t="s">
        <v>977</v>
      </c>
      <c r="Q545" s="1">
        <v>43448</v>
      </c>
      <c r="R545" s="14" t="s">
        <v>503</v>
      </c>
      <c r="S545" s="1" t="s">
        <v>22</v>
      </c>
      <c r="T545" s="1" t="s">
        <v>22</v>
      </c>
      <c r="U545" s="1" t="s">
        <v>22</v>
      </c>
    </row>
    <row r="546" spans="1:21" x14ac:dyDescent="0.25">
      <c r="A546" s="1" t="s">
        <v>1462</v>
      </c>
      <c r="B546" s="2" t="s">
        <v>1473</v>
      </c>
      <c r="C546" s="1" t="s">
        <v>25</v>
      </c>
      <c r="D546" s="1" t="s">
        <v>503</v>
      </c>
      <c r="E546" s="1" t="s">
        <v>37</v>
      </c>
      <c r="F546" s="1">
        <v>43446</v>
      </c>
      <c r="G546" s="14" t="s">
        <v>28</v>
      </c>
      <c r="H546" t="s">
        <v>1474</v>
      </c>
      <c r="I546" s="2" t="s">
        <v>1475</v>
      </c>
      <c r="J546" s="2">
        <v>0.0625</v>
      </c>
      <c r="K546" s="1">
        <v>0.0625</v>
      </c>
      <c r="L546" s="1">
        <v>0.125</v>
      </c>
      <c r="M546" s="1">
        <v>0</v>
      </c>
      <c r="N546" s="1" t="s">
        <v>956</v>
      </c>
      <c r="O546" s="1" t="s">
        <v>503</v>
      </c>
      <c r="P546" s="1" t="s">
        <v>977</v>
      </c>
      <c r="Q546" s="1">
        <v>43452</v>
      </c>
      <c r="R546" s="14" t="s">
        <v>503</v>
      </c>
      <c r="S546" s="1" t="s">
        <v>22</v>
      </c>
      <c r="T546" s="1" t="s">
        <v>22</v>
      </c>
      <c r="U546" s="1" t="s">
        <v>22</v>
      </c>
    </row>
    <row r="547" spans="1:21" x14ac:dyDescent="0.25">
      <c r="A547" s="1" t="s">
        <v>1462</v>
      </c>
      <c r="B547" s="2" t="s">
        <v>1473</v>
      </c>
      <c r="C547" s="1" t="s">
        <v>25</v>
      </c>
      <c r="D547" s="1" t="s">
        <v>503</v>
      </c>
      <c r="E547" s="1" t="s">
        <v>952</v>
      </c>
      <c r="F547" s="1">
        <v>43452</v>
      </c>
      <c r="G547" s="14" t="s">
        <v>50</v>
      </c>
      <c r="H547" t="s">
        <v>1476</v>
      </c>
      <c r="I547" s="2" t="s">
        <v>1477</v>
      </c>
      <c r="J547" s="2">
        <v>0.006944444444444444</v>
      </c>
      <c r="K547" s="1">
        <v>0.006944444444444444</v>
      </c>
      <c r="L547" s="1">
        <v>0.013888888888888888</v>
      </c>
      <c r="M547" s="1">
        <v>0</v>
      </c>
      <c r="N547" s="1" t="s">
        <v>956</v>
      </c>
      <c r="O547" s="1" t="s">
        <v>503</v>
      </c>
      <c r="P547" s="1" t="s">
        <v>977</v>
      </c>
      <c r="Q547" s="1">
        <v>43452</v>
      </c>
      <c r="R547" s="14" t="s">
        <v>503</v>
      </c>
      <c r="S547" s="1" t="s">
        <v>22</v>
      </c>
      <c r="T547" s="1" t="s">
        <v>22</v>
      </c>
      <c r="U547" s="1" t="s">
        <v>22</v>
      </c>
    </row>
    <row r="548" spans="1:21" x14ac:dyDescent="0.25">
      <c r="A548" s="1" t="s">
        <v>1462</v>
      </c>
      <c r="B548" s="2" t="s">
        <v>616</v>
      </c>
      <c r="C548" s="1" t="s">
        <v>1042</v>
      </c>
      <c r="D548" s="1" t="s">
        <v>503</v>
      </c>
      <c r="E548" s="1" t="s">
        <v>952</v>
      </c>
      <c r="F548" s="1">
        <v>43452</v>
      </c>
      <c r="G548" s="14" t="s">
        <v>953</v>
      </c>
      <c r="H548" t="s">
        <v>1478</v>
      </c>
      <c r="I548" s="2" t="s">
        <v>1479</v>
      </c>
      <c r="J548" s="2">
        <v>0.010416666666666666</v>
      </c>
      <c r="K548" s="1">
        <v>0.010416666666666666</v>
      </c>
      <c r="L548" s="1">
        <v>0.020833333333333332</v>
      </c>
      <c r="M548" s="1">
        <v>0</v>
      </c>
      <c r="N548" s="1" t="s">
        <v>956</v>
      </c>
      <c r="O548" s="1" t="s">
        <v>503</v>
      </c>
      <c r="P548" s="1" t="s">
        <v>484</v>
      </c>
      <c r="Q548" s="1">
        <v>43452</v>
      </c>
      <c r="R548" s="14" t="s">
        <v>503</v>
      </c>
      <c r="S548" s="1" t="s">
        <v>22</v>
      </c>
      <c r="T548" s="1" t="s">
        <v>22</v>
      </c>
      <c r="U548" s="1" t="s">
        <v>22</v>
      </c>
    </row>
    <row r="549" spans="1:21" x14ac:dyDescent="0.25">
      <c r="A549" s="1" t="s">
        <v>1462</v>
      </c>
      <c r="B549" s="2" t="s">
        <v>1047</v>
      </c>
      <c r="C549" s="1" t="s">
        <v>989</v>
      </c>
      <c r="D549" s="1" t="s">
        <v>503</v>
      </c>
      <c r="E549" s="1" t="s">
        <v>37</v>
      </c>
      <c r="F549" s="1">
        <v>43455</v>
      </c>
      <c r="G549" s="14" t="s">
        <v>28</v>
      </c>
      <c r="H549" t="s">
        <v>1480</v>
      </c>
      <c r="I549" s="2" t="s">
        <v>1481</v>
      </c>
      <c r="J549" s="2">
        <v>0.052083333333333336</v>
      </c>
      <c r="K549" s="1">
        <v>0.052083333333333336</v>
      </c>
      <c r="L549" s="1">
        <v>0.10416666666666667</v>
      </c>
      <c r="M549" s="1">
        <v>0</v>
      </c>
      <c r="N549" s="1" t="s">
        <v>574</v>
      </c>
      <c r="O549" s="1" t="s">
        <v>503</v>
      </c>
      <c r="P549" s="1" t="s">
        <v>484</v>
      </c>
      <c r="Q549" s="1">
        <v>43455</v>
      </c>
      <c r="R549" s="14" t="s">
        <v>503</v>
      </c>
      <c r="S549" s="1" t="s">
        <v>22</v>
      </c>
      <c r="T549" s="1" t="s">
        <v>22</v>
      </c>
      <c r="U549" s="1" t="s">
        <v>22</v>
      </c>
    </row>
    <row r="550" spans="1:21" x14ac:dyDescent="0.25">
      <c r="A550" s="1" t="s">
        <v>1462</v>
      </c>
      <c r="B550" s="2" t="s">
        <v>525</v>
      </c>
      <c r="C550" s="1" t="s">
        <v>25</v>
      </c>
      <c r="D550" s="1" t="s">
        <v>503</v>
      </c>
      <c r="E550" s="1" t="s">
        <v>37</v>
      </c>
      <c r="F550" s="1">
        <v>43455</v>
      </c>
      <c r="G550" s="14" t="s">
        <v>28</v>
      </c>
      <c r="H550" t="s">
        <v>1482</v>
      </c>
      <c r="I550" s="2" t="s">
        <v>1483</v>
      </c>
      <c r="J550" s="2">
        <v>0.07291666666666667</v>
      </c>
      <c r="K550" s="1">
        <v>0.07291666666666667</v>
      </c>
      <c r="L550" s="1">
        <v>0.14583333333333334</v>
      </c>
      <c r="M550" s="1">
        <v>0</v>
      </c>
      <c r="N550" s="1" t="s">
        <v>574</v>
      </c>
      <c r="O550" s="1" t="s">
        <v>503</v>
      </c>
      <c r="P550" s="1" t="s">
        <v>977</v>
      </c>
      <c r="Q550" s="1">
        <v>43455</v>
      </c>
      <c r="R550" s="14" t="s">
        <v>503</v>
      </c>
      <c r="S550" s="1" t="s">
        <v>22</v>
      </c>
      <c r="T550" s="1" t="s">
        <v>22</v>
      </c>
      <c r="U550" s="1" t="s">
        <v>22</v>
      </c>
    </row>
    <row r="551" spans="1:21" x14ac:dyDescent="0.25">
      <c r="A551" s="1" t="s">
        <v>1462</v>
      </c>
      <c r="B551" s="2" t="s">
        <v>1047</v>
      </c>
      <c r="C551" s="1" t="s">
        <v>989</v>
      </c>
      <c r="D551" s="1" t="s">
        <v>503</v>
      </c>
      <c r="E551" s="1" t="s">
        <v>37</v>
      </c>
      <c r="F551" s="1">
        <v>43458</v>
      </c>
      <c r="G551" s="14" t="s">
        <v>28</v>
      </c>
      <c r="H551" t="s">
        <v>1484</v>
      </c>
      <c r="I551" s="2" t="s">
        <v>1485</v>
      </c>
      <c r="J551" s="2">
        <v>0.020833333333333332</v>
      </c>
      <c r="K551" s="1">
        <v>0.020833333333333332</v>
      </c>
      <c r="L551" s="1">
        <v>0.041666666666666664</v>
      </c>
      <c r="M551" s="1">
        <v>0</v>
      </c>
      <c r="N551" s="1" t="s">
        <v>956</v>
      </c>
      <c r="O551" s="1" t="s">
        <v>503</v>
      </c>
      <c r="P551" s="1" t="s">
        <v>484</v>
      </c>
      <c r="Q551" s="1">
        <v>43458</v>
      </c>
      <c r="R551" s="14" t="s">
        <v>503</v>
      </c>
      <c r="S551" s="1" t="s">
        <v>22</v>
      </c>
      <c r="T551" s="1" t="s">
        <v>22</v>
      </c>
      <c r="U551" s="1" t="s">
        <v>22</v>
      </c>
    </row>
    <row r="552" spans="1:21" x14ac:dyDescent="0.25">
      <c r="A552" s="1" t="s">
        <v>1462</v>
      </c>
      <c r="B552" s="2" t="s">
        <v>99</v>
      </c>
      <c r="C552" s="1" t="s">
        <v>25</v>
      </c>
      <c r="D552" s="1" t="s">
        <v>503</v>
      </c>
      <c r="E552" s="1" t="s">
        <v>27</v>
      </c>
      <c r="F552" s="1">
        <v>43462</v>
      </c>
      <c r="G552" s="14" t="s">
        <v>255</v>
      </c>
      <c r="H552" t="s">
        <v>1486</v>
      </c>
      <c r="I552" s="2" t="s">
        <v>1487</v>
      </c>
      <c r="J552" s="2">
        <v>0.013888888888888888</v>
      </c>
      <c r="K552" s="1">
        <v>0.013888888888888888</v>
      </c>
      <c r="L552" s="1">
        <v>0.027777777777777776</v>
      </c>
      <c r="M552" s="1">
        <v>0</v>
      </c>
      <c r="N552" s="1" t="s">
        <v>956</v>
      </c>
      <c r="O552" s="1" t="s">
        <v>503</v>
      </c>
      <c r="P552" s="1" t="s">
        <v>977</v>
      </c>
      <c r="Q552" s="1">
        <v>43462</v>
      </c>
      <c r="R552" s="14" t="s">
        <v>503</v>
      </c>
      <c r="S552" s="1" t="s">
        <v>22</v>
      </c>
      <c r="T552" s="1" t="s">
        <v>22</v>
      </c>
      <c r="U552" s="1" t="s">
        <v>22</v>
      </c>
    </row>
    <row r="553" spans="1:21" x14ac:dyDescent="0.25">
      <c r="A553" s="1" t="s">
        <v>1462</v>
      </c>
      <c r="B553" s="2" t="s">
        <v>796</v>
      </c>
      <c r="C553" s="1" t="s">
        <v>285</v>
      </c>
      <c r="D553" s="1" t="s">
        <v>503</v>
      </c>
      <c r="E553" s="1" t="s">
        <v>27</v>
      </c>
      <c r="F553" s="1">
        <v>43462</v>
      </c>
      <c r="G553" s="14" t="s">
        <v>50</v>
      </c>
      <c r="H553" t="s">
        <v>1488</v>
      </c>
      <c r="I553" s="2" t="s">
        <v>1489</v>
      </c>
      <c r="J553" s="2">
        <v>0.036458333333333336</v>
      </c>
      <c r="K553" s="1">
        <v>0.036458333333333336</v>
      </c>
      <c r="L553" s="1">
        <v>0.07291666666666667</v>
      </c>
      <c r="M553" s="1">
        <v>0</v>
      </c>
      <c r="N553" s="1" t="s">
        <v>1430</v>
      </c>
      <c r="O553" s="1" t="s">
        <v>503</v>
      </c>
      <c r="P553" s="1" t="s">
        <v>977</v>
      </c>
      <c r="Q553" s="1">
        <v>43462</v>
      </c>
      <c r="R553" s="14" t="s">
        <v>503</v>
      </c>
      <c r="S553" s="1" t="s">
        <v>22</v>
      </c>
      <c r="T553" s="1" t="s">
        <v>22</v>
      </c>
      <c r="U553" s="1" t="s">
        <v>22</v>
      </c>
    </row>
    <row r="554" spans="1:21" x14ac:dyDescent="0.25">
      <c r="A554" s="1" t="s">
        <v>1462</v>
      </c>
      <c r="B554" s="2" t="s">
        <v>1093</v>
      </c>
      <c r="C554" s="1" t="s">
        <v>25</v>
      </c>
      <c r="D554" s="1" t="s">
        <v>503</v>
      </c>
      <c r="E554" s="1" t="s">
        <v>37</v>
      </c>
      <c r="F554" s="1">
        <v>43462</v>
      </c>
      <c r="G554" s="14" t="s">
        <v>28</v>
      </c>
      <c r="H554" t="s">
        <v>1490</v>
      </c>
      <c r="I554" s="2" t="s">
        <v>1491</v>
      </c>
      <c r="J554" s="2">
        <v>0.013888888888888888</v>
      </c>
      <c r="K554" s="1">
        <v>0.013888888888888888</v>
      </c>
      <c r="L554" s="1">
        <v>0.027777777777777776</v>
      </c>
      <c r="M554" s="1">
        <v>0</v>
      </c>
      <c r="N554" s="1" t="s">
        <v>1314</v>
      </c>
      <c r="O554" s="1" t="s">
        <v>503</v>
      </c>
      <c r="P554" s="1" t="s">
        <v>977</v>
      </c>
      <c r="Q554" s="1">
        <v>43462</v>
      </c>
      <c r="R554" s="14" t="s">
        <v>503</v>
      </c>
      <c r="S554" s="1" t="s">
        <v>22</v>
      </c>
      <c r="T554" s="1" t="s">
        <v>22</v>
      </c>
      <c r="U554" s="1" t="s">
        <v>22</v>
      </c>
    </row>
    <row r="555" spans="1:21" x14ac:dyDescent="0.25">
      <c r="A555" s="1" t="s">
        <v>1492</v>
      </c>
      <c r="B555" s="2" t="s">
        <v>199</v>
      </c>
      <c r="C555" s="1" t="s">
        <v>541</v>
      </c>
      <c r="D555" s="1" t="s">
        <v>503</v>
      </c>
      <c r="E555" s="1" t="s">
        <v>37</v>
      </c>
      <c r="F555" s="1">
        <v>43474</v>
      </c>
      <c r="G555" s="14" t="s">
        <v>28</v>
      </c>
      <c r="H555" t="s">
        <v>1493</v>
      </c>
      <c r="I555" s="2" t="s">
        <v>1494</v>
      </c>
      <c r="J555" s="2">
        <v>0.024305555555555556</v>
      </c>
      <c r="K555" s="1">
        <v>0.024305555555555556</v>
      </c>
      <c r="L555" s="1">
        <v>0.04861111111111111</v>
      </c>
      <c r="M555" s="1">
        <v>0</v>
      </c>
      <c r="N555" s="1" t="s">
        <v>956</v>
      </c>
      <c r="O555" s="1" t="s">
        <v>503</v>
      </c>
      <c r="P555" s="1" t="s">
        <v>488</v>
      </c>
      <c r="Q555" s="1">
        <v>43474</v>
      </c>
      <c r="R555" s="14" t="s">
        <v>503</v>
      </c>
      <c r="S555" s="1" t="s">
        <v>22</v>
      </c>
      <c r="T555" s="1" t="s">
        <v>22</v>
      </c>
      <c r="U555" s="1" t="s">
        <v>22</v>
      </c>
    </row>
    <row r="556" spans="1:21" x14ac:dyDescent="0.25">
      <c r="A556" s="1" t="s">
        <v>1492</v>
      </c>
      <c r="B556" s="2" t="s">
        <v>1212</v>
      </c>
      <c r="C556" s="1" t="s">
        <v>25</v>
      </c>
      <c r="D556" s="1" t="s">
        <v>503</v>
      </c>
      <c r="E556" s="1" t="s">
        <v>27</v>
      </c>
      <c r="F556" s="1">
        <v>43474</v>
      </c>
      <c r="G556" s="14" t="s">
        <v>50</v>
      </c>
      <c r="H556" t="s">
        <v>1495</v>
      </c>
      <c r="I556" s="2" t="s">
        <v>1496</v>
      </c>
      <c r="J556" s="2">
        <v>0.052083333333333336</v>
      </c>
      <c r="K556" s="1">
        <v>0.052083333333333336</v>
      </c>
      <c r="L556" s="1">
        <v>0.10416666666666667</v>
      </c>
      <c r="M556" s="1">
        <v>0</v>
      </c>
      <c r="N556" s="1" t="s">
        <v>574</v>
      </c>
      <c r="O556" s="1" t="s">
        <v>503</v>
      </c>
      <c r="P556" s="1" t="s">
        <v>977</v>
      </c>
      <c r="Q556" s="1">
        <v>43474</v>
      </c>
      <c r="R556" s="14" t="s">
        <v>503</v>
      </c>
      <c r="S556" s="1" t="s">
        <v>22</v>
      </c>
      <c r="T556" s="1" t="s">
        <v>22</v>
      </c>
      <c r="U556" s="1" t="s">
        <v>22</v>
      </c>
    </row>
    <row r="557" spans="1:21" x14ac:dyDescent="0.25">
      <c r="A557" s="1" t="s">
        <v>1492</v>
      </c>
      <c r="B557" s="2" t="s">
        <v>1442</v>
      </c>
      <c r="C557" s="1" t="s">
        <v>186</v>
      </c>
      <c r="D557" s="1" t="s">
        <v>503</v>
      </c>
      <c r="E557" s="1" t="s">
        <v>27</v>
      </c>
      <c r="F557" s="1">
        <v>43475</v>
      </c>
      <c r="G557" s="14" t="s">
        <v>28</v>
      </c>
      <c r="H557" t="s">
        <v>1497</v>
      </c>
      <c r="I557" s="2" t="s">
        <v>1498</v>
      </c>
      <c r="J557" s="2">
        <v>0.008680555555555556</v>
      </c>
      <c r="K557" s="1">
        <v>0.008680555555555556</v>
      </c>
      <c r="L557" s="1">
        <v>0.017361111111111112</v>
      </c>
      <c r="M557" s="1">
        <v>0</v>
      </c>
      <c r="N557" s="1" t="s">
        <v>1314</v>
      </c>
      <c r="O557" s="1" t="s">
        <v>503</v>
      </c>
      <c r="P557" s="1" t="s">
        <v>488</v>
      </c>
      <c r="Q557" s="1">
        <v>43475</v>
      </c>
      <c r="R557" s="14" t="s">
        <v>503</v>
      </c>
      <c r="S557" s="1" t="s">
        <v>22</v>
      </c>
      <c r="T557" s="1" t="s">
        <v>22</v>
      </c>
      <c r="U557" s="1" t="s">
        <v>22</v>
      </c>
    </row>
    <row r="558" spans="1:21" x14ac:dyDescent="0.25">
      <c r="A558" s="1" t="s">
        <v>1492</v>
      </c>
      <c r="B558" s="2" t="s">
        <v>525</v>
      </c>
      <c r="C558" s="1" t="s">
        <v>25</v>
      </c>
      <c r="D558" s="1" t="s">
        <v>503</v>
      </c>
      <c r="E558" s="1" t="s">
        <v>952</v>
      </c>
      <c r="F558" s="1">
        <v>43476</v>
      </c>
      <c r="G558" s="14" t="s">
        <v>28</v>
      </c>
      <c r="H558" t="s">
        <v>1499</v>
      </c>
      <c r="I558" s="2" t="s">
        <v>1500</v>
      </c>
      <c r="J558" s="2">
        <v>0.06874999999999999</v>
      </c>
      <c r="K558" s="1">
        <v>0.06874999999999999</v>
      </c>
      <c r="L558" s="1">
        <v>0.13749999999999998</v>
      </c>
      <c r="M558" s="1">
        <v>0</v>
      </c>
      <c r="N558" s="1" t="s">
        <v>956</v>
      </c>
      <c r="O558" s="1" t="s">
        <v>503</v>
      </c>
      <c r="P558" s="1" t="s">
        <v>977</v>
      </c>
      <c r="Q558" s="1">
        <v>43476</v>
      </c>
      <c r="R558" s="14" t="s">
        <v>503</v>
      </c>
      <c r="S558" s="1" t="s">
        <v>22</v>
      </c>
      <c r="T558" s="1" t="s">
        <v>22</v>
      </c>
      <c r="U558" s="1" t="s">
        <v>22</v>
      </c>
    </row>
    <row r="559" spans="1:21" x14ac:dyDescent="0.25">
      <c r="A559" s="1" t="s">
        <v>1492</v>
      </c>
      <c r="B559" s="2" t="s">
        <v>1451</v>
      </c>
      <c r="C559" s="1" t="s">
        <v>25</v>
      </c>
      <c r="D559" s="1" t="s">
        <v>503</v>
      </c>
      <c r="E559" s="1" t="s">
        <v>37</v>
      </c>
      <c r="F559" s="1">
        <v>43482</v>
      </c>
      <c r="G559" s="14" t="s">
        <v>255</v>
      </c>
      <c r="H559" t="s">
        <v>1501</v>
      </c>
      <c r="I559" s="2" t="s">
        <v>1502</v>
      </c>
      <c r="J559" s="2">
        <v>0.03298611111111111</v>
      </c>
      <c r="K559" s="1">
        <v>0.03298611111111111</v>
      </c>
      <c r="L559" s="1">
        <v>0.06597222222222222</v>
      </c>
      <c r="M559" s="1">
        <v>0</v>
      </c>
      <c r="N559" s="1" t="s">
        <v>956</v>
      </c>
      <c r="O559" s="1" t="s">
        <v>503</v>
      </c>
      <c r="P559" s="1" t="s">
        <v>488</v>
      </c>
      <c r="Q559" s="1">
        <v>43482</v>
      </c>
      <c r="R559" s="14" t="s">
        <v>503</v>
      </c>
      <c r="S559" s="1" t="s">
        <v>22</v>
      </c>
      <c r="T559" s="1" t="s">
        <v>22</v>
      </c>
      <c r="U559" s="1" t="s">
        <v>22</v>
      </c>
    </row>
    <row r="560" spans="1:21" x14ac:dyDescent="0.25">
      <c r="A560" s="1" t="s">
        <v>1492</v>
      </c>
      <c r="B560" s="2" t="s">
        <v>1047</v>
      </c>
      <c r="C560" s="1" t="s">
        <v>989</v>
      </c>
      <c r="D560" s="1" t="s">
        <v>503</v>
      </c>
      <c r="E560" s="1" t="s">
        <v>37</v>
      </c>
      <c r="F560" s="1">
        <v>43482</v>
      </c>
      <c r="G560" s="14" t="s">
        <v>1368</v>
      </c>
      <c r="H560" t="s">
        <v>1503</v>
      </c>
      <c r="I560" s="2" t="s">
        <v>1504</v>
      </c>
      <c r="J560" s="2">
        <v>0.3125</v>
      </c>
      <c r="K560" s="1">
        <v>0.3125</v>
      </c>
      <c r="L560" s="1">
        <v>0.625</v>
      </c>
      <c r="M560" s="1">
        <v>0</v>
      </c>
      <c r="N560" s="1" t="s">
        <v>956</v>
      </c>
      <c r="O560" s="1" t="s">
        <v>503</v>
      </c>
      <c r="P560" s="1" t="s">
        <v>484</v>
      </c>
      <c r="Q560" s="1">
        <v>43483</v>
      </c>
      <c r="R560" s="14" t="s">
        <v>503</v>
      </c>
      <c r="S560" s="1" t="s">
        <v>22</v>
      </c>
      <c r="T560" s="1" t="s">
        <v>22</v>
      </c>
      <c r="U560" s="1" t="s">
        <v>22</v>
      </c>
    </row>
    <row r="561" spans="1:21" x14ac:dyDescent="0.25">
      <c r="A561" s="1" t="s">
        <v>1492</v>
      </c>
      <c r="B561" s="2" t="s">
        <v>1451</v>
      </c>
      <c r="C561" s="1" t="s">
        <v>25</v>
      </c>
      <c r="D561" s="1" t="s">
        <v>503</v>
      </c>
      <c r="E561" s="1" t="s">
        <v>37</v>
      </c>
      <c r="F561" s="1">
        <v>43483</v>
      </c>
      <c r="G561" s="14" t="s">
        <v>28</v>
      </c>
      <c r="H561" t="s">
        <v>1505</v>
      </c>
      <c r="I561" s="2" t="s">
        <v>1506</v>
      </c>
      <c r="J561" s="2">
        <v>0.25277777777777777</v>
      </c>
      <c r="K561" s="1">
        <v>0.25277777777777777</v>
      </c>
      <c r="L561" s="1">
        <v>0.5055555555555555</v>
      </c>
      <c r="M561" s="1">
        <v>0</v>
      </c>
      <c r="N561" s="1" t="s">
        <v>1430</v>
      </c>
      <c r="O561" s="1" t="s">
        <v>503</v>
      </c>
      <c r="P561" s="1" t="s">
        <v>488</v>
      </c>
      <c r="Q561" s="1">
        <v>43483</v>
      </c>
      <c r="R561" s="14" t="s">
        <v>503</v>
      </c>
      <c r="S561" s="1" t="s">
        <v>22</v>
      </c>
      <c r="T561" s="1" t="s">
        <v>22</v>
      </c>
      <c r="U561" s="1" t="s">
        <v>22</v>
      </c>
    </row>
    <row r="562" spans="1:21" x14ac:dyDescent="0.25">
      <c r="A562" s="1" t="s">
        <v>1492</v>
      </c>
      <c r="B562" s="2" t="s">
        <v>35</v>
      </c>
      <c r="C562" s="1" t="s">
        <v>25</v>
      </c>
      <c r="D562" s="1" t="s">
        <v>503</v>
      </c>
      <c r="E562" s="1" t="s">
        <v>37</v>
      </c>
      <c r="F562" s="1">
        <v>43483</v>
      </c>
      <c r="G562" s="14" t="s">
        <v>28</v>
      </c>
      <c r="H562" t="s">
        <v>1507</v>
      </c>
      <c r="I562" s="2" t="s">
        <v>1508</v>
      </c>
      <c r="J562" s="2">
        <v>0.021180555555555553</v>
      </c>
      <c r="K562" s="1">
        <v>0.021180555555555553</v>
      </c>
      <c r="L562" s="1">
        <v>0.042361111111111106</v>
      </c>
      <c r="M562" s="1">
        <v>0</v>
      </c>
      <c r="N562" s="1" t="s">
        <v>1430</v>
      </c>
      <c r="O562" s="1" t="s">
        <v>503</v>
      </c>
      <c r="P562" s="1" t="s">
        <v>488</v>
      </c>
      <c r="Q562" s="1">
        <v>43483</v>
      </c>
      <c r="R562" s="14" t="s">
        <v>503</v>
      </c>
      <c r="S562" s="1" t="s">
        <v>22</v>
      </c>
      <c r="T562" s="1" t="s">
        <v>22</v>
      </c>
      <c r="U562" s="1" t="s">
        <v>22</v>
      </c>
    </row>
    <row r="563" spans="1:21" x14ac:dyDescent="0.25">
      <c r="A563" s="1" t="s">
        <v>1492</v>
      </c>
      <c r="B563" s="2" t="s">
        <v>1212</v>
      </c>
      <c r="C563" s="1" t="s">
        <v>25</v>
      </c>
      <c r="D563" s="1" t="s">
        <v>503</v>
      </c>
      <c r="E563" s="1" t="s">
        <v>27</v>
      </c>
      <c r="F563" s="1">
        <v>43486</v>
      </c>
      <c r="G563" s="14" t="s">
        <v>28</v>
      </c>
      <c r="H563" t="s">
        <v>1509</v>
      </c>
      <c r="I563" s="2" t="s">
        <v>1510</v>
      </c>
      <c r="J563" s="2">
        <v>0.041666666666666664</v>
      </c>
      <c r="K563" s="1">
        <v>0.041666666666666664</v>
      </c>
      <c r="L563" s="1">
        <v>0.08333333333333333</v>
      </c>
      <c r="M563" s="1">
        <v>0</v>
      </c>
      <c r="N563" s="1" t="s">
        <v>956</v>
      </c>
      <c r="O563" s="1" t="s">
        <v>503</v>
      </c>
      <c r="P563" s="1" t="s">
        <v>488</v>
      </c>
      <c r="Q563" s="1">
        <v>43488</v>
      </c>
      <c r="R563" s="14" t="s">
        <v>503</v>
      </c>
      <c r="S563" s="1" t="s">
        <v>22</v>
      </c>
      <c r="T563" s="1" t="s">
        <v>22</v>
      </c>
      <c r="U563" s="1" t="s">
        <v>22</v>
      </c>
    </row>
    <row r="564" spans="1:21" x14ac:dyDescent="0.25">
      <c r="A564" s="1" t="s">
        <v>1492</v>
      </c>
      <c r="B564" s="2" t="s">
        <v>796</v>
      </c>
      <c r="C564" s="1" t="s">
        <v>285</v>
      </c>
      <c r="D564" s="1" t="s">
        <v>503</v>
      </c>
      <c r="E564" s="1" t="s">
        <v>27</v>
      </c>
      <c r="F564" s="1">
        <v>43489</v>
      </c>
      <c r="G564" s="14" t="s">
        <v>50</v>
      </c>
      <c r="H564" t="s">
        <v>1511</v>
      </c>
      <c r="I564" s="2" t="s">
        <v>1512</v>
      </c>
      <c r="J564" s="2">
        <v>0.020833333333333332</v>
      </c>
      <c r="K564" s="1">
        <v>0.020833333333333332</v>
      </c>
      <c r="L564" s="1">
        <v>0.041666666666666664</v>
      </c>
      <c r="M564" s="1">
        <v>0</v>
      </c>
      <c r="N564" s="1" t="s">
        <v>956</v>
      </c>
      <c r="O564" s="1" t="s">
        <v>503</v>
      </c>
      <c r="P564" s="1" t="s">
        <v>484</v>
      </c>
      <c r="Q564" s="1">
        <v>43489</v>
      </c>
      <c r="R564" s="14" t="s">
        <v>503</v>
      </c>
      <c r="S564" s="1" t="s">
        <v>22</v>
      </c>
      <c r="T564" s="1" t="s">
        <v>22</v>
      </c>
      <c r="U564" s="1" t="s">
        <v>22</v>
      </c>
    </row>
    <row r="565" spans="1:21" x14ac:dyDescent="0.25">
      <c r="A565" s="1" t="s">
        <v>1492</v>
      </c>
      <c r="B565" s="2" t="s">
        <v>525</v>
      </c>
      <c r="C565" s="1" t="s">
        <v>25</v>
      </c>
      <c r="D565" s="1" t="s">
        <v>503</v>
      </c>
      <c r="E565" s="1" t="s">
        <v>37</v>
      </c>
      <c r="F565" s="1">
        <v>43489</v>
      </c>
      <c r="G565" s="14" t="s">
        <v>28</v>
      </c>
      <c r="H565" t="s">
        <v>1513</v>
      </c>
      <c r="I565" s="2" t="s">
        <v>1514</v>
      </c>
      <c r="J565" s="2">
        <v>0.020833333333333332</v>
      </c>
      <c r="K565" s="1">
        <v>0.020833333333333332</v>
      </c>
      <c r="L565" s="1">
        <v>0.041666666666666664</v>
      </c>
      <c r="M565" s="1">
        <v>0</v>
      </c>
      <c r="N565" s="1" t="s">
        <v>956</v>
      </c>
      <c r="O565" s="1" t="s">
        <v>503</v>
      </c>
      <c r="P565" s="1" t="s">
        <v>977</v>
      </c>
      <c r="Q565" s="1">
        <v>43489</v>
      </c>
      <c r="R565" s="14" t="s">
        <v>503</v>
      </c>
      <c r="S565" s="1" t="s">
        <v>22</v>
      </c>
      <c r="T565" s="1" t="s">
        <v>22</v>
      </c>
      <c r="U565" s="1" t="s">
        <v>22</v>
      </c>
    </row>
    <row r="566" spans="1:21" x14ac:dyDescent="0.25">
      <c r="A566" s="1" t="s">
        <v>1492</v>
      </c>
      <c r="B566" s="2" t="s">
        <v>122</v>
      </c>
      <c r="C566" s="1" t="s">
        <v>123</v>
      </c>
      <c r="D566" s="1" t="s">
        <v>503</v>
      </c>
      <c r="E566" s="1" t="s">
        <v>27</v>
      </c>
      <c r="F566" s="1">
        <v>43489</v>
      </c>
      <c r="G566" s="14" t="s">
        <v>28</v>
      </c>
      <c r="H566" t="s">
        <v>1325</v>
      </c>
      <c r="I566" s="2" t="s">
        <v>1515</v>
      </c>
      <c r="J566" s="2">
        <v>0.015625</v>
      </c>
      <c r="K566" s="1">
        <v>0.015625</v>
      </c>
      <c r="L566" s="1">
        <v>0.03125</v>
      </c>
      <c r="M566" s="1">
        <v>0</v>
      </c>
      <c r="N566" s="1" t="s">
        <v>956</v>
      </c>
      <c r="O566" s="1" t="s">
        <v>503</v>
      </c>
      <c r="P566" s="1" t="s">
        <v>977</v>
      </c>
      <c r="Q566" s="1">
        <v>43489</v>
      </c>
      <c r="R566" s="14" t="s">
        <v>503</v>
      </c>
      <c r="S566" s="1" t="s">
        <v>22</v>
      </c>
      <c r="T566" s="1" t="s">
        <v>22</v>
      </c>
      <c r="U566" s="1" t="s">
        <v>22</v>
      </c>
    </row>
    <row r="567" spans="1:21" x14ac:dyDescent="0.25">
      <c r="A567" s="1" t="s">
        <v>1492</v>
      </c>
      <c r="B567" s="2" t="s">
        <v>1093</v>
      </c>
      <c r="C567" s="1" t="s">
        <v>25</v>
      </c>
      <c r="D567" s="1" t="s">
        <v>503</v>
      </c>
      <c r="E567" s="1" t="s">
        <v>37</v>
      </c>
      <c r="F567" s="1">
        <v>43491</v>
      </c>
      <c r="G567" s="14" t="s">
        <v>953</v>
      </c>
      <c r="H567" t="s">
        <v>1516</v>
      </c>
      <c r="I567" s="2" t="s">
        <v>1517</v>
      </c>
      <c r="J567" s="2">
        <v>0.001736111111111111</v>
      </c>
      <c r="K567" s="1">
        <v>0.001736111111111111</v>
      </c>
      <c r="L567" s="1">
        <v>0.003472222222222222</v>
      </c>
      <c r="M567" s="1">
        <v>0</v>
      </c>
      <c r="N567" s="1" t="s">
        <v>347</v>
      </c>
      <c r="O567" s="1" t="s">
        <v>503</v>
      </c>
      <c r="P567" s="1" t="s">
        <v>977</v>
      </c>
      <c r="Q567" s="1">
        <v>43491</v>
      </c>
      <c r="R567" s="14" t="s">
        <v>503</v>
      </c>
      <c r="S567" s="1" t="s">
        <v>22</v>
      </c>
      <c r="T567" s="1" t="s">
        <v>22</v>
      </c>
      <c r="U567" s="1" t="s">
        <v>22</v>
      </c>
    </row>
    <row r="568" spans="1:21" x14ac:dyDescent="0.25">
      <c r="A568" s="1" t="s">
        <v>1492</v>
      </c>
      <c r="B568" s="2" t="s">
        <v>525</v>
      </c>
      <c r="C568" s="1" t="s">
        <v>25</v>
      </c>
      <c r="D568" s="1" t="s">
        <v>503</v>
      </c>
      <c r="E568" s="1" t="s">
        <v>37</v>
      </c>
      <c r="F568" s="1">
        <v>43495</v>
      </c>
      <c r="G568" s="14" t="s">
        <v>953</v>
      </c>
      <c r="H568" t="s">
        <v>1518</v>
      </c>
      <c r="I568" s="2" t="s">
        <v>1519</v>
      </c>
      <c r="J568" s="2">
        <v>0.006944444444444444</v>
      </c>
      <c r="K568" s="1">
        <v>0.006944444444444444</v>
      </c>
      <c r="L568" s="1">
        <v>0.013888888888888888</v>
      </c>
      <c r="M568" s="1">
        <v>0</v>
      </c>
      <c r="N568" s="1" t="s">
        <v>1314</v>
      </c>
      <c r="O568" s="1" t="s">
        <v>503</v>
      </c>
      <c r="P568" s="1" t="s">
        <v>977</v>
      </c>
      <c r="Q568" s="1">
        <v>43495</v>
      </c>
      <c r="R568" s="14" t="s">
        <v>503</v>
      </c>
      <c r="S568" s="1" t="s">
        <v>22</v>
      </c>
      <c r="T568" s="1" t="s">
        <v>22</v>
      </c>
      <c r="U568" s="1" t="s">
        <v>22</v>
      </c>
    </row>
    <row r="569" spans="1:21" x14ac:dyDescent="0.25">
      <c r="A569" s="1" t="s">
        <v>1492</v>
      </c>
      <c r="B569" s="2" t="s">
        <v>1047</v>
      </c>
      <c r="C569" s="1" t="s">
        <v>989</v>
      </c>
      <c r="D569" s="1" t="s">
        <v>503</v>
      </c>
      <c r="E569" s="1" t="s">
        <v>37</v>
      </c>
      <c r="F569" s="1">
        <v>43495</v>
      </c>
      <c r="G569" s="14" t="s">
        <v>28</v>
      </c>
      <c r="H569" t="s">
        <v>1520</v>
      </c>
      <c r="I569" s="2" t="s">
        <v>1521</v>
      </c>
      <c r="J569" s="2">
        <v>0.020833333333333332</v>
      </c>
      <c r="K569" s="1">
        <v>0.020833333333333332</v>
      </c>
      <c r="L569" s="1">
        <v>0.041666666666666664</v>
      </c>
      <c r="M569" s="1">
        <v>0</v>
      </c>
      <c r="N569" s="1" t="s">
        <v>956</v>
      </c>
      <c r="O569" s="1" t="s">
        <v>503</v>
      </c>
      <c r="P569" s="1" t="s">
        <v>484</v>
      </c>
      <c r="Q569" s="1">
        <v>43495</v>
      </c>
      <c r="R569" s="14" t="s">
        <v>503</v>
      </c>
      <c r="S569" s="1" t="s">
        <v>22</v>
      </c>
      <c r="T569" s="1" t="s">
        <v>22</v>
      </c>
      <c r="U569" s="1" t="s">
        <v>22</v>
      </c>
    </row>
    <row r="570" spans="1:21" x14ac:dyDescent="0.25">
      <c r="A570" s="1" t="s">
        <v>1492</v>
      </c>
      <c r="B570" s="2" t="s">
        <v>796</v>
      </c>
      <c r="C570" s="1" t="s">
        <v>285</v>
      </c>
      <c r="D570" s="1" t="s">
        <v>503</v>
      </c>
      <c r="E570" s="1" t="s">
        <v>37</v>
      </c>
      <c r="F570" s="1">
        <v>43496</v>
      </c>
      <c r="G570" s="14" t="s">
        <v>953</v>
      </c>
      <c r="H570" t="s">
        <v>1522</v>
      </c>
      <c r="I570" s="2" t="s">
        <v>1523</v>
      </c>
      <c r="J570" s="2">
        <v>0.015625</v>
      </c>
      <c r="K570" s="1">
        <v>0.015625</v>
      </c>
      <c r="L570" s="1">
        <v>0.03125</v>
      </c>
      <c r="M570" s="1">
        <v>0</v>
      </c>
      <c r="N570" s="1" t="s">
        <v>1314</v>
      </c>
      <c r="O570" s="1" t="s">
        <v>503</v>
      </c>
      <c r="P570" s="1" t="s">
        <v>977</v>
      </c>
      <c r="Q570" s="1">
        <v>43496</v>
      </c>
      <c r="R570" s="14" t="s">
        <v>503</v>
      </c>
      <c r="S570" s="1" t="s">
        <v>22</v>
      </c>
      <c r="T570" s="1" t="s">
        <v>22</v>
      </c>
      <c r="U570" s="1" t="s">
        <v>22</v>
      </c>
    </row>
    <row r="571" spans="1:21" x14ac:dyDescent="0.25">
      <c r="A571" s="1" t="s">
        <v>1492</v>
      </c>
      <c r="B571" s="2" t="s">
        <v>1473</v>
      </c>
      <c r="C571" s="1" t="s">
        <v>25</v>
      </c>
      <c r="D571" s="1" t="s">
        <v>503</v>
      </c>
      <c r="E571" s="1" t="s">
        <v>37</v>
      </c>
      <c r="F571" s="1">
        <v>43496</v>
      </c>
      <c r="G571" s="14" t="s">
        <v>255</v>
      </c>
      <c r="H571" t="s">
        <v>1524</v>
      </c>
      <c r="I571" s="2" t="s">
        <v>1525</v>
      </c>
      <c r="J571" s="2">
        <v>0.03125</v>
      </c>
      <c r="K571" s="1">
        <v>0.03125</v>
      </c>
      <c r="L571" s="1">
        <v>0.0625</v>
      </c>
      <c r="M571" s="1">
        <v>0</v>
      </c>
      <c r="N571" s="1" t="s">
        <v>1314</v>
      </c>
      <c r="O571" s="1" t="s">
        <v>503</v>
      </c>
      <c r="P571" s="1" t="s">
        <v>977</v>
      </c>
      <c r="Q571" s="1">
        <v>43496</v>
      </c>
      <c r="R571" s="14" t="s">
        <v>503</v>
      </c>
      <c r="S571" s="1" t="s">
        <v>22</v>
      </c>
      <c r="T571" s="1" t="s">
        <v>22</v>
      </c>
      <c r="U571" s="1" t="s">
        <v>22</v>
      </c>
    </row>
    <row r="572" spans="1:21" x14ac:dyDescent="0.25">
      <c r="A572" s="1" t="s">
        <v>1526</v>
      </c>
      <c r="B572" s="2" t="s">
        <v>1047</v>
      </c>
      <c r="C572" s="1" t="s">
        <v>989</v>
      </c>
      <c r="D572" s="1" t="s">
        <v>503</v>
      </c>
      <c r="E572" s="1" t="s">
        <v>37</v>
      </c>
      <c r="F572" s="1">
        <v>43502</v>
      </c>
      <c r="G572" s="14" t="s">
        <v>28</v>
      </c>
      <c r="H572" t="s">
        <v>1527</v>
      </c>
      <c r="I572" s="2" t="s">
        <v>1528</v>
      </c>
      <c r="J572" s="2">
        <v>0.005208333333333333</v>
      </c>
      <c r="K572" s="1">
        <v>0.005208333333333333</v>
      </c>
      <c r="L572" s="1">
        <v>0.010416666666666666</v>
      </c>
      <c r="M572" s="1">
        <v>0</v>
      </c>
      <c r="N572" s="1" t="s">
        <v>1529</v>
      </c>
      <c r="O572" s="1" t="s">
        <v>503</v>
      </c>
      <c r="P572" s="1" t="s">
        <v>484</v>
      </c>
      <c r="Q572" s="1">
        <v>43503</v>
      </c>
      <c r="R572" s="14" t="s">
        <v>503</v>
      </c>
      <c r="S572" s="1" t="s">
        <v>22</v>
      </c>
      <c r="T572" s="1" t="s">
        <v>22</v>
      </c>
      <c r="U572" s="1" t="s">
        <v>22</v>
      </c>
    </row>
    <row r="573" spans="1:21" x14ac:dyDescent="0.25">
      <c r="A573" s="1" t="s">
        <v>1526</v>
      </c>
      <c r="B573" s="2" t="s">
        <v>122</v>
      </c>
      <c r="C573" s="1" t="s">
        <v>123</v>
      </c>
      <c r="D573" s="1" t="s">
        <v>503</v>
      </c>
      <c r="E573" s="1" t="s">
        <v>27</v>
      </c>
      <c r="F573" s="1">
        <v>43504</v>
      </c>
      <c r="G573" s="14" t="s">
        <v>28</v>
      </c>
      <c r="H573" t="s">
        <v>1530</v>
      </c>
      <c r="I573" s="2" t="s">
        <v>1531</v>
      </c>
      <c r="J573" s="2">
        <v>0.020833333333333332</v>
      </c>
      <c r="K573" s="1">
        <v>0.020833333333333332</v>
      </c>
      <c r="L573" s="1">
        <v>0.041666666666666664</v>
      </c>
      <c r="M573" s="1">
        <v>0</v>
      </c>
      <c r="N573" s="1" t="s">
        <v>574</v>
      </c>
      <c r="O573" s="1" t="s">
        <v>503</v>
      </c>
      <c r="P573" s="1" t="s">
        <v>977</v>
      </c>
      <c r="Q573" s="1">
        <v>43504</v>
      </c>
      <c r="R573" s="14" t="s">
        <v>503</v>
      </c>
      <c r="S573" s="1" t="s">
        <v>22</v>
      </c>
      <c r="T573" s="1" t="s">
        <v>22</v>
      </c>
      <c r="U573" s="1" t="s">
        <v>22</v>
      </c>
    </row>
    <row r="574" spans="1:21" x14ac:dyDescent="0.25">
      <c r="A574" s="1" t="s">
        <v>1526</v>
      </c>
      <c r="B574" s="2" t="s">
        <v>1532</v>
      </c>
      <c r="C574" s="1" t="s">
        <v>1533</v>
      </c>
      <c r="D574" s="1" t="s">
        <v>503</v>
      </c>
      <c r="E574" s="1" t="s">
        <v>37</v>
      </c>
      <c r="F574" s="1">
        <v>43504</v>
      </c>
      <c r="G574" s="14" t="s">
        <v>28</v>
      </c>
      <c r="H574" t="s">
        <v>1513</v>
      </c>
      <c r="I574" s="2" t="s">
        <v>1534</v>
      </c>
      <c r="J574" s="2">
        <v>0.010416666666666666</v>
      </c>
      <c r="K574" s="1">
        <v>0.010416666666666666</v>
      </c>
      <c r="L574" s="1">
        <v>0.020833333333333332</v>
      </c>
      <c r="M574" s="1">
        <v>0</v>
      </c>
      <c r="N574" s="1" t="s">
        <v>347</v>
      </c>
      <c r="O574" s="1" t="s">
        <v>503</v>
      </c>
      <c r="P574" s="1" t="s">
        <v>977</v>
      </c>
      <c r="Q574" s="1">
        <v>43504</v>
      </c>
      <c r="R574" s="14" t="s">
        <v>503</v>
      </c>
      <c r="S574" s="1" t="s">
        <v>22</v>
      </c>
      <c r="T574" s="1" t="s">
        <v>22</v>
      </c>
      <c r="U574" s="1" t="s">
        <v>22</v>
      </c>
    </row>
    <row r="575" spans="1:21" x14ac:dyDescent="0.25">
      <c r="A575" s="1" t="s">
        <v>1526</v>
      </c>
      <c r="B575" s="2" t="s">
        <v>1012</v>
      </c>
      <c r="C575" s="1" t="s">
        <v>25</v>
      </c>
      <c r="D575" s="1" t="s">
        <v>503</v>
      </c>
      <c r="E575" s="1" t="s">
        <v>27</v>
      </c>
      <c r="F575" s="1">
        <v>43504</v>
      </c>
      <c r="G575" s="14" t="s">
        <v>28</v>
      </c>
      <c r="H575" t="s">
        <v>1513</v>
      </c>
      <c r="I575" s="2" t="s">
        <v>1534</v>
      </c>
      <c r="J575" s="2">
        <v>0.010416666666666666</v>
      </c>
      <c r="K575" s="1">
        <v>0.010416666666666666</v>
      </c>
      <c r="L575" s="1">
        <v>0.020833333333333332</v>
      </c>
      <c r="M575" s="1">
        <v>0</v>
      </c>
      <c r="N575" s="1" t="s">
        <v>956</v>
      </c>
      <c r="O575" s="1" t="s">
        <v>503</v>
      </c>
      <c r="P575" s="1" t="s">
        <v>977</v>
      </c>
      <c r="Q575" s="1">
        <v>43504</v>
      </c>
      <c r="R575" s="14" t="s">
        <v>503</v>
      </c>
      <c r="S575" s="1" t="s">
        <v>22</v>
      </c>
      <c r="T575" s="1" t="s">
        <v>22</v>
      </c>
      <c r="U575" s="1" t="s">
        <v>22</v>
      </c>
    </row>
    <row r="576" spans="1:21" x14ac:dyDescent="0.25">
      <c r="A576" s="1" t="s">
        <v>1526</v>
      </c>
      <c r="B576" s="2" t="s">
        <v>1358</v>
      </c>
      <c r="C576" s="1" t="s">
        <v>1359</v>
      </c>
      <c r="D576" s="1" t="s">
        <v>503</v>
      </c>
      <c r="E576" s="1" t="s">
        <v>27</v>
      </c>
      <c r="F576" s="1">
        <v>43504</v>
      </c>
      <c r="G576" s="14" t="s">
        <v>28</v>
      </c>
      <c r="H576" t="s">
        <v>1513</v>
      </c>
      <c r="I576" s="2" t="s">
        <v>1534</v>
      </c>
      <c r="J576" s="2">
        <v>0.010416666666666666</v>
      </c>
      <c r="K576" s="1">
        <v>0.010416666666666666</v>
      </c>
      <c r="L576" s="1">
        <v>0.020833333333333332</v>
      </c>
      <c r="M576" s="1">
        <v>0</v>
      </c>
      <c r="N576" s="1" t="s">
        <v>956</v>
      </c>
      <c r="O576" s="1" t="s">
        <v>503</v>
      </c>
      <c r="P576" s="1" t="s">
        <v>977</v>
      </c>
      <c r="Q576" s="1">
        <v>43504</v>
      </c>
      <c r="R576" s="14" t="s">
        <v>503</v>
      </c>
      <c r="S576" s="1" t="s">
        <v>22</v>
      </c>
      <c r="T576" s="1" t="s">
        <v>22</v>
      </c>
      <c r="U576" s="1" t="s">
        <v>22</v>
      </c>
    </row>
    <row r="577" spans="1:21" x14ac:dyDescent="0.25">
      <c r="A577" s="1" t="s">
        <v>1526</v>
      </c>
      <c r="B577" s="2" t="s">
        <v>99</v>
      </c>
      <c r="C577" s="1" t="s">
        <v>25</v>
      </c>
      <c r="D577" s="1" t="s">
        <v>503</v>
      </c>
      <c r="E577" s="1" t="s">
        <v>37</v>
      </c>
      <c r="F577" s="1">
        <v>43504</v>
      </c>
      <c r="G577" s="14" t="s">
        <v>28</v>
      </c>
      <c r="H577" t="s">
        <v>1513</v>
      </c>
      <c r="I577" s="2" t="s">
        <v>1534</v>
      </c>
      <c r="J577" s="2">
        <v>0.010416666666666666</v>
      </c>
      <c r="K577" s="1">
        <v>0.010416666666666666</v>
      </c>
      <c r="L577" s="1">
        <v>0.020833333333333332</v>
      </c>
      <c r="M577" s="1">
        <v>0</v>
      </c>
      <c r="N577" s="1" t="s">
        <v>956</v>
      </c>
      <c r="O577" s="1" t="s">
        <v>503</v>
      </c>
      <c r="P577" s="1" t="s">
        <v>977</v>
      </c>
      <c r="Q577" s="1">
        <v>43504</v>
      </c>
      <c r="R577" s="14" t="s">
        <v>503</v>
      </c>
      <c r="S577" s="1" t="s">
        <v>22</v>
      </c>
      <c r="T577" s="1" t="s">
        <v>22</v>
      </c>
      <c r="U577" s="1" t="s">
        <v>22</v>
      </c>
    </row>
    <row r="578" spans="1:21" x14ac:dyDescent="0.25">
      <c r="A578" s="1" t="s">
        <v>1526</v>
      </c>
      <c r="B578" s="2" t="s">
        <v>1012</v>
      </c>
      <c r="C578" s="1" t="s">
        <v>25</v>
      </c>
      <c r="D578" s="1" t="s">
        <v>503</v>
      </c>
      <c r="E578" s="1" t="s">
        <v>37</v>
      </c>
      <c r="F578" s="1">
        <v>43514</v>
      </c>
      <c r="G578" s="14" t="s">
        <v>28</v>
      </c>
      <c r="H578" t="s">
        <v>1513</v>
      </c>
      <c r="I578" s="2" t="s">
        <v>1535</v>
      </c>
      <c r="J578" s="2">
        <v>0.020833333333333332</v>
      </c>
      <c r="K578" s="1">
        <v>0.020833333333333332</v>
      </c>
      <c r="L578" s="1">
        <v>0.041666666666666664</v>
      </c>
      <c r="M578" s="1">
        <v>0</v>
      </c>
      <c r="N578" s="1" t="s">
        <v>1314</v>
      </c>
      <c r="O578" s="1" t="s">
        <v>503</v>
      </c>
      <c r="P578" s="1" t="s">
        <v>977</v>
      </c>
      <c r="Q578" s="1">
        <v>43514</v>
      </c>
      <c r="R578" s="14" t="s">
        <v>503</v>
      </c>
      <c r="S578" s="1" t="s">
        <v>22</v>
      </c>
      <c r="T578" s="1" t="s">
        <v>22</v>
      </c>
      <c r="U578" s="1" t="s">
        <v>22</v>
      </c>
    </row>
    <row r="579" spans="1:21" x14ac:dyDescent="0.25">
      <c r="A579" s="1" t="s">
        <v>1526</v>
      </c>
      <c r="B579" s="2" t="s">
        <v>118</v>
      </c>
      <c r="C579" s="1" t="s">
        <v>25</v>
      </c>
      <c r="D579" s="1" t="s">
        <v>503</v>
      </c>
      <c r="E579" s="1" t="s">
        <v>37</v>
      </c>
      <c r="F579" s="1">
        <v>43521</v>
      </c>
      <c r="G579" s="14" t="s">
        <v>953</v>
      </c>
      <c r="H579" t="s">
        <v>1536</v>
      </c>
      <c r="I579" s="2" t="s">
        <v>1537</v>
      </c>
      <c r="J579" s="2">
        <v>0.008680555555555556</v>
      </c>
      <c r="K579" s="1">
        <v>0.008680555555555556</v>
      </c>
      <c r="L579" s="1">
        <v>0.017361111111111112</v>
      </c>
      <c r="M579" s="1">
        <v>0</v>
      </c>
      <c r="N579" s="1" t="s">
        <v>1314</v>
      </c>
      <c r="O579" s="1" t="s">
        <v>503</v>
      </c>
      <c r="P579" s="1" t="s">
        <v>977</v>
      </c>
      <c r="Q579" s="1">
        <v>43521</v>
      </c>
      <c r="R579" s="14" t="s">
        <v>503</v>
      </c>
      <c r="S579" s="1" t="s">
        <v>22</v>
      </c>
      <c r="T579" s="1" t="s">
        <v>22</v>
      </c>
      <c r="U579" s="1" t="s">
        <v>22</v>
      </c>
    </row>
    <row r="580" spans="1:21" x14ac:dyDescent="0.25">
      <c r="A580" s="1" t="s">
        <v>1526</v>
      </c>
      <c r="B580" s="2" t="s">
        <v>1473</v>
      </c>
      <c r="C580" s="1" t="s">
        <v>25</v>
      </c>
      <c r="D580" s="1" t="s">
        <v>503</v>
      </c>
      <c r="E580" s="1" t="s">
        <v>37</v>
      </c>
      <c r="F580" s="1">
        <v>43522</v>
      </c>
      <c r="G580" s="14" t="s">
        <v>38</v>
      </c>
      <c r="H580" t="s">
        <v>1538</v>
      </c>
      <c r="I580" s="2" t="s">
        <v>1539</v>
      </c>
      <c r="J580" s="2">
        <v>0.08333333333333333</v>
      </c>
      <c r="K580" s="1">
        <v>0.08333333333333333</v>
      </c>
      <c r="L580" s="1">
        <v>0.16666666666666666</v>
      </c>
      <c r="M580" s="1">
        <v>0</v>
      </c>
      <c r="N580" s="1" t="s">
        <v>574</v>
      </c>
      <c r="O580" s="1" t="s">
        <v>503</v>
      </c>
      <c r="P580" s="1" t="s">
        <v>977</v>
      </c>
      <c r="Q580" s="1">
        <v>43523</v>
      </c>
      <c r="R580" s="14" t="s">
        <v>503</v>
      </c>
      <c r="S580" s="1" t="s">
        <v>22</v>
      </c>
      <c r="T580" s="1" t="s">
        <v>22</v>
      </c>
      <c r="U580" s="1" t="s">
        <v>22</v>
      </c>
    </row>
    <row r="581" spans="1:21" x14ac:dyDescent="0.25">
      <c r="A581" s="1" t="s">
        <v>1526</v>
      </c>
      <c r="B581" s="2" t="s">
        <v>35</v>
      </c>
      <c r="C581" s="1" t="s">
        <v>25</v>
      </c>
      <c r="D581" s="1" t="s">
        <v>503</v>
      </c>
      <c r="E581" s="1" t="s">
        <v>37</v>
      </c>
      <c r="F581" s="1">
        <v>43522</v>
      </c>
      <c r="G581" s="14" t="s">
        <v>28</v>
      </c>
      <c r="H581" t="s">
        <v>1540</v>
      </c>
      <c r="I581" s="2" t="s">
        <v>1541</v>
      </c>
      <c r="J581" s="2">
        <v>0.041666666666666664</v>
      </c>
      <c r="K581" s="1">
        <v>0.041666666666666664</v>
      </c>
      <c r="L581" s="1">
        <v>0.08333333333333333</v>
      </c>
      <c r="M581" s="1">
        <v>0</v>
      </c>
      <c r="N581" s="1" t="s">
        <v>956</v>
      </c>
      <c r="O581" s="1" t="s">
        <v>503</v>
      </c>
      <c r="P581" s="1" t="s">
        <v>488</v>
      </c>
      <c r="Q581" s="1">
        <v>43522</v>
      </c>
      <c r="R581" s="14" t="s">
        <v>503</v>
      </c>
      <c r="S581" s="1" t="s">
        <v>22</v>
      </c>
      <c r="T581" s="1" t="s">
        <v>22</v>
      </c>
      <c r="U581" s="1" t="s">
        <v>22</v>
      </c>
    </row>
    <row r="582" spans="1:21" x14ac:dyDescent="0.25">
      <c r="A582" s="1" t="s">
        <v>1526</v>
      </c>
      <c r="B582" s="2" t="s">
        <v>1169</v>
      </c>
      <c r="C582" s="1" t="s">
        <v>989</v>
      </c>
      <c r="D582" s="1" t="s">
        <v>503</v>
      </c>
      <c r="E582" s="1" t="s">
        <v>27</v>
      </c>
      <c r="F582" s="1">
        <v>43522</v>
      </c>
      <c r="G582" s="14" t="s">
        <v>28</v>
      </c>
      <c r="H582" t="s">
        <v>1542</v>
      </c>
      <c r="I582" s="2" t="s">
        <v>1543</v>
      </c>
      <c r="J582" s="2">
        <v>0.08333333333333333</v>
      </c>
      <c r="K582" s="1">
        <v>0.08333333333333333</v>
      </c>
      <c r="L582" s="1">
        <v>0.16666666666666666</v>
      </c>
      <c r="M582" s="1">
        <v>0</v>
      </c>
      <c r="N582" s="1" t="s">
        <v>1430</v>
      </c>
      <c r="O582" s="1" t="s">
        <v>503</v>
      </c>
      <c r="P582" s="1" t="s">
        <v>484</v>
      </c>
      <c r="Q582" s="1">
        <v>43522</v>
      </c>
      <c r="R582" s="14" t="s">
        <v>503</v>
      </c>
      <c r="S582" s="1" t="s">
        <v>22</v>
      </c>
      <c r="T582" s="1" t="s">
        <v>22</v>
      </c>
      <c r="U582" s="1" t="s">
        <v>22</v>
      </c>
    </row>
    <row r="583" spans="1:21" x14ac:dyDescent="0.25">
      <c r="A583" s="1" t="s">
        <v>1544</v>
      </c>
      <c r="B583" s="2" t="s">
        <v>99</v>
      </c>
      <c r="C583" s="1" t="s">
        <v>25</v>
      </c>
      <c r="D583" s="1" t="s">
        <v>503</v>
      </c>
      <c r="E583" s="1" t="s">
        <v>27</v>
      </c>
      <c r="F583" s="1">
        <v>43536</v>
      </c>
      <c r="G583" s="14" t="s">
        <v>28</v>
      </c>
      <c r="H583" t="s">
        <v>1545</v>
      </c>
      <c r="I583" s="2" t="s">
        <v>1546</v>
      </c>
      <c r="J583" s="2">
        <v>0.08333333333333333</v>
      </c>
      <c r="K583" s="1">
        <v>0.08333333333333333</v>
      </c>
      <c r="L583" s="1">
        <v>0.16666666666666666</v>
      </c>
      <c r="M583" s="1">
        <v>0</v>
      </c>
      <c r="N583" s="1" t="s">
        <v>574</v>
      </c>
      <c r="O583" s="1" t="s">
        <v>503</v>
      </c>
      <c r="P583" s="1" t="s">
        <v>977</v>
      </c>
      <c r="Q583" s="1">
        <v>43536</v>
      </c>
      <c r="R583" s="14" t="s">
        <v>503</v>
      </c>
      <c r="S583" s="1" t="s">
        <v>22</v>
      </c>
      <c r="T583" s="1" t="s">
        <v>22</v>
      </c>
      <c r="U583" s="1" t="s">
        <v>22</v>
      </c>
    </row>
    <row r="584" spans="1:21" x14ac:dyDescent="0.25">
      <c r="A584" s="1" t="s">
        <v>1544</v>
      </c>
      <c r="B584" s="2" t="s">
        <v>1235</v>
      </c>
      <c r="C584" s="1" t="s">
        <v>1236</v>
      </c>
      <c r="D584" s="1" t="s">
        <v>503</v>
      </c>
      <c r="E584" s="1" t="s">
        <v>37</v>
      </c>
      <c r="F584" s="1">
        <v>43539</v>
      </c>
      <c r="G584" s="14" t="s">
        <v>28</v>
      </c>
      <c r="H584" t="s">
        <v>1547</v>
      </c>
      <c r="I584" s="2" t="s">
        <v>1548</v>
      </c>
      <c r="J584" s="2">
        <v>0.057291666666666664</v>
      </c>
      <c r="K584" s="1">
        <v>0.057291666666666664</v>
      </c>
      <c r="L584" s="1">
        <v>0.11458333333333333</v>
      </c>
      <c r="M584" s="1">
        <v>0</v>
      </c>
      <c r="N584" s="1" t="s">
        <v>1314</v>
      </c>
      <c r="O584" s="1" t="s">
        <v>503</v>
      </c>
      <c r="P584" s="1" t="s">
        <v>484</v>
      </c>
      <c r="Q584" s="1">
        <v>43539</v>
      </c>
      <c r="R584" s="14" t="s">
        <v>503</v>
      </c>
      <c r="S584" s="1" t="s">
        <v>22</v>
      </c>
      <c r="T584" s="1" t="s">
        <v>22</v>
      </c>
      <c r="U584" s="1" t="s">
        <v>22</v>
      </c>
    </row>
    <row r="585" spans="1:21" x14ac:dyDescent="0.25">
      <c r="A585" s="1" t="s">
        <v>1544</v>
      </c>
      <c r="B585" s="2" t="s">
        <v>1169</v>
      </c>
      <c r="C585" s="1" t="s">
        <v>989</v>
      </c>
      <c r="D585" s="1" t="s">
        <v>503</v>
      </c>
      <c r="E585" s="1" t="s">
        <v>27</v>
      </c>
      <c r="F585" s="1">
        <v>43544</v>
      </c>
      <c r="G585" s="14" t="s">
        <v>28</v>
      </c>
      <c r="H585" t="s">
        <v>1542</v>
      </c>
      <c r="I585" s="2" t="s">
        <v>1549</v>
      </c>
      <c r="J585" s="2">
        <v>0.20833333333333334</v>
      </c>
      <c r="K585" s="1">
        <v>0.20833333333333334</v>
      </c>
      <c r="L585" s="1">
        <v>0.4166666666666667</v>
      </c>
      <c r="M585" s="1">
        <v>0</v>
      </c>
      <c r="N585" s="1" t="s">
        <v>574</v>
      </c>
      <c r="O585" s="1" t="s">
        <v>503</v>
      </c>
      <c r="P585" s="1" t="s">
        <v>484</v>
      </c>
      <c r="Q585" s="1">
        <v>43545</v>
      </c>
      <c r="R585" s="14">
        <v>5</v>
      </c>
      <c r="S585" s="1" t="s">
        <v>22</v>
      </c>
      <c r="T585" s="1" t="s">
        <v>22</v>
      </c>
      <c r="U585" s="1" t="s">
        <v>22</v>
      </c>
    </row>
    <row r="586" spans="1:21" x14ac:dyDescent="0.25">
      <c r="A586" s="1" t="s">
        <v>1544</v>
      </c>
      <c r="B586" s="2" t="s">
        <v>978</v>
      </c>
      <c r="C586" s="1" t="s">
        <v>44</v>
      </c>
      <c r="D586" s="1" t="s">
        <v>503</v>
      </c>
      <c r="E586" s="1" t="s">
        <v>37</v>
      </c>
      <c r="F586" s="1">
        <v>43545</v>
      </c>
      <c r="G586" s="14" t="s">
        <v>50</v>
      </c>
      <c r="H586" t="s">
        <v>1550</v>
      </c>
      <c r="I586" s="2" t="s">
        <v>1551</v>
      </c>
      <c r="J586" s="2">
        <v>0.036458333333333336</v>
      </c>
      <c r="K586" s="1">
        <v>0.036458333333333336</v>
      </c>
      <c r="L586" s="1">
        <v>0.07291666666666667</v>
      </c>
      <c r="M586" s="1">
        <v>0</v>
      </c>
      <c r="N586" s="1" t="s">
        <v>574</v>
      </c>
      <c r="O586" s="1" t="s">
        <v>503</v>
      </c>
      <c r="P586" s="1" t="s">
        <v>484</v>
      </c>
      <c r="Q586" s="1">
        <v>43545</v>
      </c>
      <c r="R586" s="14">
        <v>4</v>
      </c>
      <c r="S586" s="1" t="s">
        <v>22</v>
      </c>
      <c r="T586" s="1" t="s">
        <v>22</v>
      </c>
      <c r="U586" s="1" t="s">
        <v>22</v>
      </c>
    </row>
    <row r="587" spans="1:21" x14ac:dyDescent="0.25">
      <c r="A587" s="1" t="s">
        <v>1544</v>
      </c>
      <c r="B587" s="2" t="s">
        <v>1087</v>
      </c>
      <c r="C587" s="1" t="s">
        <v>186</v>
      </c>
      <c r="D587" s="1" t="s">
        <v>503</v>
      </c>
      <c r="E587" s="1" t="s">
        <v>37</v>
      </c>
      <c r="F587" s="1">
        <v>43547</v>
      </c>
      <c r="G587" s="14" t="s">
        <v>28</v>
      </c>
      <c r="H587" t="s">
        <v>1552</v>
      </c>
      <c r="I587" s="2" t="s">
        <v>1553</v>
      </c>
      <c r="J587" s="2">
        <v>0.08333333333333333</v>
      </c>
      <c r="K587" s="1">
        <v>0.08333333333333333</v>
      </c>
      <c r="L587" s="1">
        <v>0.16666666666666666</v>
      </c>
      <c r="M587" s="1">
        <v>0</v>
      </c>
      <c r="N587" s="1" t="s">
        <v>574</v>
      </c>
      <c r="O587" s="1" t="s">
        <v>503</v>
      </c>
      <c r="P587" s="1" t="s">
        <v>488</v>
      </c>
      <c r="Q587" s="1">
        <v>43549</v>
      </c>
      <c r="R587" s="14">
        <v>5</v>
      </c>
      <c r="S587" s="1" t="s">
        <v>22</v>
      </c>
      <c r="T587" s="1" t="s">
        <v>22</v>
      </c>
      <c r="U587" s="1" t="s">
        <v>22</v>
      </c>
    </row>
    <row r="588" spans="1:21" x14ac:dyDescent="0.25">
      <c r="A588" s="1" t="s">
        <v>1544</v>
      </c>
      <c r="B588" s="2" t="s">
        <v>1451</v>
      </c>
      <c r="C588" s="1" t="s">
        <v>25</v>
      </c>
      <c r="D588" s="1" t="s">
        <v>503</v>
      </c>
      <c r="E588" s="1" t="s">
        <v>37</v>
      </c>
      <c r="F588" s="1">
        <v>43552</v>
      </c>
      <c r="G588" s="14" t="s">
        <v>28</v>
      </c>
      <c r="H588" t="s">
        <v>1554</v>
      </c>
      <c r="I588" s="2" t="s">
        <v>1555</v>
      </c>
      <c r="J588" s="2">
        <v>0.0625</v>
      </c>
      <c r="K588" s="1">
        <v>0.0625</v>
      </c>
      <c r="L588" s="1">
        <v>0.125</v>
      </c>
      <c r="M588" s="1">
        <v>0</v>
      </c>
      <c r="N588" s="1" t="s">
        <v>347</v>
      </c>
      <c r="O588" s="1" t="s">
        <v>503</v>
      </c>
      <c r="P588" s="1" t="s">
        <v>977</v>
      </c>
      <c r="Q588" s="1">
        <v>43552</v>
      </c>
      <c r="R588" s="14">
        <v>4</v>
      </c>
      <c r="S588" s="1" t="s">
        <v>22</v>
      </c>
      <c r="T588" s="1" t="s">
        <v>22</v>
      </c>
      <c r="U588" s="1" t="s">
        <v>22</v>
      </c>
    </row>
    <row r="589" spans="1:21" x14ac:dyDescent="0.25">
      <c r="A589" s="1" t="s">
        <v>1544</v>
      </c>
      <c r="B589" s="2" t="s">
        <v>525</v>
      </c>
      <c r="C589" s="1" t="s">
        <v>25</v>
      </c>
      <c r="D589" s="1" t="s">
        <v>503</v>
      </c>
      <c r="E589" s="1" t="s">
        <v>37</v>
      </c>
      <c r="F589" s="1">
        <v>43553</v>
      </c>
      <c r="G589" s="14" t="s">
        <v>28</v>
      </c>
      <c r="H589" t="s">
        <v>1556</v>
      </c>
      <c r="I589" s="2" t="s">
        <v>1557</v>
      </c>
      <c r="J589" s="2">
        <v>0.10416666666666667</v>
      </c>
      <c r="K589" s="1">
        <v>0.10416666666666667</v>
      </c>
      <c r="L589" s="1">
        <v>0.20833333333333334</v>
      </c>
      <c r="M589" s="1">
        <v>0</v>
      </c>
      <c r="N589" s="1" t="s">
        <v>483</v>
      </c>
      <c r="O589" s="1" t="s">
        <v>503</v>
      </c>
      <c r="P589" s="1" t="s">
        <v>977</v>
      </c>
      <c r="Q589" s="1">
        <v>43553</v>
      </c>
      <c r="R589" s="14">
        <v>3</v>
      </c>
      <c r="S589" s="1" t="s">
        <v>22</v>
      </c>
      <c r="T589" s="1" t="s">
        <v>22</v>
      </c>
      <c r="U589" s="1" t="s">
        <v>22</v>
      </c>
    </row>
    <row r="590" spans="1:21" x14ac:dyDescent="0.25">
      <c r="A590" s="1" t="s">
        <v>1558</v>
      </c>
      <c r="B590" s="2" t="s">
        <v>99</v>
      </c>
      <c r="C590" s="1" t="s">
        <v>25</v>
      </c>
      <c r="D590" s="1" t="s">
        <v>503</v>
      </c>
      <c r="E590" s="1" t="s">
        <v>37</v>
      </c>
      <c r="F590" s="1">
        <v>43557</v>
      </c>
      <c r="G590" s="14" t="s">
        <v>28</v>
      </c>
      <c r="H590" t="s">
        <v>1559</v>
      </c>
      <c r="I590" s="2" t="s">
        <v>1560</v>
      </c>
      <c r="J590" s="2">
        <v>0.109375</v>
      </c>
      <c r="K590" s="1">
        <v>0.109375</v>
      </c>
      <c r="L590" s="1">
        <v>0.21875</v>
      </c>
      <c r="M590" s="1">
        <v>0</v>
      </c>
      <c r="N590" s="1" t="s">
        <v>483</v>
      </c>
      <c r="O590" s="1" t="s">
        <v>503</v>
      </c>
      <c r="P590" s="1" t="s">
        <v>977</v>
      </c>
      <c r="Q590" s="1">
        <v>43557</v>
      </c>
      <c r="R590" s="14">
        <v>4</v>
      </c>
      <c r="S590" s="1" t="s">
        <v>22</v>
      </c>
      <c r="T590" s="1" t="s">
        <v>22</v>
      </c>
      <c r="U590" s="1" t="s">
        <v>22</v>
      </c>
    </row>
    <row r="591" spans="1:21" x14ac:dyDescent="0.25">
      <c r="A591" s="1" t="s">
        <v>1558</v>
      </c>
      <c r="B591" s="2" t="s">
        <v>1087</v>
      </c>
      <c r="C591" s="1" t="s">
        <v>186</v>
      </c>
      <c r="D591" s="1" t="s">
        <v>503</v>
      </c>
      <c r="E591" s="1" t="s">
        <v>952</v>
      </c>
      <c r="F591" s="1">
        <v>43558</v>
      </c>
      <c r="G591" s="14" t="s">
        <v>28</v>
      </c>
      <c r="H591" t="s">
        <v>1552</v>
      </c>
      <c r="I591" s="2" t="s">
        <v>1561</v>
      </c>
      <c r="J591" s="2">
        <v>0.10590277777777778</v>
      </c>
      <c r="K591" s="1">
        <v>0.10590277777777778</v>
      </c>
      <c r="L591" s="1">
        <v>0.21180555555555555</v>
      </c>
      <c r="M591" s="1">
        <v>0</v>
      </c>
      <c r="N591" s="1" t="s">
        <v>483</v>
      </c>
      <c r="O591" s="1" t="s">
        <v>503</v>
      </c>
      <c r="P591" s="1" t="s">
        <v>488</v>
      </c>
      <c r="Q591" s="1">
        <v>43558</v>
      </c>
      <c r="R591" s="14">
        <v>5</v>
      </c>
      <c r="S591" s="1" t="s">
        <v>22</v>
      </c>
      <c r="T591" s="1" t="s">
        <v>22</v>
      </c>
      <c r="U591" s="1" t="s">
        <v>22</v>
      </c>
    </row>
    <row r="592" spans="1:21" x14ac:dyDescent="0.25">
      <c r="A592" s="1" t="s">
        <v>1558</v>
      </c>
      <c r="B592" s="2" t="s">
        <v>199</v>
      </c>
      <c r="C592" s="1" t="s">
        <v>541</v>
      </c>
      <c r="D592" s="1" t="s">
        <v>503</v>
      </c>
      <c r="E592" s="1" t="s">
        <v>952</v>
      </c>
      <c r="F592" s="1">
        <v>43559</v>
      </c>
      <c r="G592" s="14" t="s">
        <v>670</v>
      </c>
      <c r="H592" t="s">
        <v>1562</v>
      </c>
      <c r="I592" s="2" t="s">
        <v>1563</v>
      </c>
      <c r="J592" s="2">
        <v>0.08333333333333333</v>
      </c>
      <c r="K592" s="1">
        <v>0.08333333333333333</v>
      </c>
      <c r="L592" s="1">
        <v>0.16666666666666666</v>
      </c>
      <c r="M592" s="1">
        <v>0</v>
      </c>
      <c r="N592" s="1" t="s">
        <v>347</v>
      </c>
      <c r="O592" s="1" t="s">
        <v>503</v>
      </c>
      <c r="P592" s="1" t="s">
        <v>484</v>
      </c>
      <c r="Q592" s="1">
        <v>43559</v>
      </c>
      <c r="R592" s="14">
        <v>5</v>
      </c>
      <c r="S592" s="1" t="s">
        <v>22</v>
      </c>
      <c r="T592" s="1" t="s">
        <v>22</v>
      </c>
      <c r="U592" s="1" t="s">
        <v>22</v>
      </c>
    </row>
    <row r="593" spans="1:21" x14ac:dyDescent="0.25">
      <c r="A593" s="1" t="s">
        <v>1558</v>
      </c>
      <c r="B593" s="2" t="s">
        <v>1212</v>
      </c>
      <c r="C593" s="1" t="s">
        <v>25</v>
      </c>
      <c r="D593" s="1" t="s">
        <v>503</v>
      </c>
      <c r="E593" s="1" t="s">
        <v>27</v>
      </c>
      <c r="F593" s="1">
        <v>43567</v>
      </c>
      <c r="G593" s="14" t="s">
        <v>1073</v>
      </c>
      <c r="H593" t="s">
        <v>1564</v>
      </c>
      <c r="I593" s="2" t="s">
        <v>1565</v>
      </c>
      <c r="J593" s="2">
        <v>0.008680555555555556</v>
      </c>
      <c r="K593" s="1">
        <v>0.008680555555555556</v>
      </c>
      <c r="L593" s="1">
        <v>0.017361111111111112</v>
      </c>
      <c r="M593" s="1">
        <v>0</v>
      </c>
      <c r="N593" s="1" t="s">
        <v>1314</v>
      </c>
      <c r="O593" s="1" t="s">
        <v>503</v>
      </c>
      <c r="P593" s="1" t="s">
        <v>488</v>
      </c>
      <c r="Q593" s="1">
        <v>43567</v>
      </c>
      <c r="R593" s="14">
        <v>5</v>
      </c>
      <c r="S593" s="1" t="s">
        <v>22</v>
      </c>
      <c r="T593" s="1" t="s">
        <v>22</v>
      </c>
      <c r="U593" s="1" t="s">
        <v>22</v>
      </c>
    </row>
    <row r="594" spans="1:21" x14ac:dyDescent="0.25">
      <c r="A594" s="1" t="s">
        <v>1558</v>
      </c>
      <c r="B594" s="2" t="s">
        <v>525</v>
      </c>
      <c r="C594" s="1" t="s">
        <v>25</v>
      </c>
      <c r="D594" s="1" t="s">
        <v>503</v>
      </c>
      <c r="E594" s="1" t="s">
        <v>37</v>
      </c>
      <c r="F594" s="1">
        <v>43567</v>
      </c>
      <c r="G594" s="14" t="s">
        <v>96</v>
      </c>
      <c r="H594" t="s">
        <v>1566</v>
      </c>
      <c r="I594" s="2" t="s">
        <v>1567</v>
      </c>
      <c r="J594" s="2">
        <v>0.006944444444444444</v>
      </c>
      <c r="K594" s="1">
        <v>0.006944444444444444</v>
      </c>
      <c r="L594" s="1">
        <v>0.013888888888888888</v>
      </c>
      <c r="M594" s="1">
        <v>0</v>
      </c>
      <c r="N594" s="1" t="s">
        <v>574</v>
      </c>
      <c r="O594" s="1" t="s">
        <v>503</v>
      </c>
      <c r="P594" s="1" t="s">
        <v>484</v>
      </c>
      <c r="Q594" s="1">
        <v>43567</v>
      </c>
      <c r="R594" s="14">
        <v>5</v>
      </c>
      <c r="S594" s="1" t="s">
        <v>22</v>
      </c>
      <c r="T594" s="1" t="s">
        <v>22</v>
      </c>
      <c r="U594" s="1" t="s">
        <v>22</v>
      </c>
    </row>
    <row r="595" spans="1:21" x14ac:dyDescent="0.25">
      <c r="A595" s="1" t="s">
        <v>1558</v>
      </c>
      <c r="B595" s="2" t="s">
        <v>489</v>
      </c>
      <c r="C595" s="1" t="s">
        <v>1258</v>
      </c>
      <c r="D595" s="1" t="s">
        <v>503</v>
      </c>
      <c r="E595" s="1" t="s">
        <v>37</v>
      </c>
      <c r="F595" s="1">
        <v>43567</v>
      </c>
      <c r="G595" s="14" t="s">
        <v>28</v>
      </c>
      <c r="H595" t="s">
        <v>1568</v>
      </c>
      <c r="I595" s="2" t="s">
        <v>1569</v>
      </c>
      <c r="J595" s="2">
        <v>0.08506944444444443</v>
      </c>
      <c r="K595" s="1">
        <v>0.08506944444444443</v>
      </c>
      <c r="L595" s="1">
        <v>0.17013888888888887</v>
      </c>
      <c r="M595" s="1">
        <v>0</v>
      </c>
      <c r="N595" s="1" t="s">
        <v>1570</v>
      </c>
      <c r="O595" s="1" t="s">
        <v>503</v>
      </c>
      <c r="P595" s="1" t="s">
        <v>488</v>
      </c>
      <c r="Q595" s="1">
        <v>43567</v>
      </c>
      <c r="R595" s="14">
        <v>5</v>
      </c>
      <c r="S595" s="1" t="s">
        <v>22</v>
      </c>
      <c r="T595" s="1" t="s">
        <v>22</v>
      </c>
      <c r="U595" s="1" t="s">
        <v>22</v>
      </c>
    </row>
    <row r="596" spans="1:21" x14ac:dyDescent="0.25">
      <c r="A596" s="1" t="s">
        <v>1558</v>
      </c>
      <c r="B596" s="2" t="s">
        <v>1473</v>
      </c>
      <c r="C596" s="1" t="s">
        <v>25</v>
      </c>
      <c r="D596" s="1" t="s">
        <v>503</v>
      </c>
      <c r="E596" s="1" t="s">
        <v>952</v>
      </c>
      <c r="F596" s="1">
        <v>43570</v>
      </c>
      <c r="G596" s="14" t="s">
        <v>50</v>
      </c>
      <c r="H596" t="s">
        <v>1571</v>
      </c>
      <c r="I596" s="2" t="s">
        <v>1572</v>
      </c>
      <c r="J596" s="2">
        <v>0.006944444444444444</v>
      </c>
      <c r="K596" s="1">
        <v>0.006944444444444444</v>
      </c>
      <c r="L596" s="1">
        <v>0.013888888888888888</v>
      </c>
      <c r="M596" s="1">
        <v>0</v>
      </c>
      <c r="N596" s="1" t="s">
        <v>31</v>
      </c>
      <c r="O596" s="1" t="s">
        <v>503</v>
      </c>
      <c r="P596" s="1" t="s">
        <v>977</v>
      </c>
      <c r="Q596" s="1">
        <v>43570</v>
      </c>
      <c r="R596" s="14">
        <v>5</v>
      </c>
      <c r="S596" s="1" t="s">
        <v>22</v>
      </c>
      <c r="T596" s="1" t="s">
        <v>22</v>
      </c>
      <c r="U596" s="1" t="s">
        <v>22</v>
      </c>
    </row>
    <row r="597" spans="1:21" x14ac:dyDescent="0.25">
      <c r="A597" s="1" t="s">
        <v>1558</v>
      </c>
      <c r="B597" s="2" t="s">
        <v>1451</v>
      </c>
      <c r="C597" s="1" t="s">
        <v>25</v>
      </c>
      <c r="D597" s="1" t="s">
        <v>503</v>
      </c>
      <c r="E597" s="1" t="s">
        <v>37</v>
      </c>
      <c r="F597" s="1">
        <v>43578</v>
      </c>
      <c r="G597" s="14" t="s">
        <v>255</v>
      </c>
      <c r="H597" t="s">
        <v>1573</v>
      </c>
      <c r="I597" s="2" t="s">
        <v>1574</v>
      </c>
      <c r="J597" s="2">
        <v>0.041666666666666664</v>
      </c>
      <c r="K597" s="1">
        <v>0.041666666666666664</v>
      </c>
      <c r="L597" s="1">
        <v>0.08333333333333333</v>
      </c>
      <c r="M597" s="1">
        <v>0</v>
      </c>
      <c r="N597" s="1" t="s">
        <v>483</v>
      </c>
      <c r="O597" s="1" t="s">
        <v>503</v>
      </c>
      <c r="P597" s="1" t="s">
        <v>484</v>
      </c>
      <c r="Q597" s="1">
        <v>43578</v>
      </c>
      <c r="R597" s="14">
        <v>5</v>
      </c>
      <c r="S597" s="1" t="s">
        <v>22</v>
      </c>
      <c r="T597" s="1" t="s">
        <v>22</v>
      </c>
      <c r="U597" s="1" t="s">
        <v>22</v>
      </c>
    </row>
    <row r="598" spans="1:21" x14ac:dyDescent="0.25">
      <c r="A598" s="1" t="s">
        <v>1558</v>
      </c>
      <c r="B598" s="2" t="s">
        <v>199</v>
      </c>
      <c r="C598" s="1" t="s">
        <v>541</v>
      </c>
      <c r="D598" s="1" t="s">
        <v>503</v>
      </c>
      <c r="E598" s="1" t="s">
        <v>37</v>
      </c>
      <c r="F598" s="1">
        <v>43579</v>
      </c>
      <c r="G598" s="14" t="s">
        <v>28</v>
      </c>
      <c r="H598" t="s">
        <v>1575</v>
      </c>
      <c r="I598" s="2" t="s">
        <v>1576</v>
      </c>
      <c r="J598" s="2">
        <v>0.020833333333333332</v>
      </c>
      <c r="K598" s="1">
        <v>0.020833333333333332</v>
      </c>
      <c r="L598" s="1">
        <v>0.041666666666666664</v>
      </c>
      <c r="M598" s="1">
        <v>0</v>
      </c>
      <c r="N598" s="1" t="s">
        <v>347</v>
      </c>
      <c r="O598" s="1" t="s">
        <v>503</v>
      </c>
      <c r="P598" s="1" t="s">
        <v>488</v>
      </c>
      <c r="Q598" s="1">
        <v>43579</v>
      </c>
      <c r="R598" s="14">
        <v>5</v>
      </c>
      <c r="S598" s="1" t="s">
        <v>22</v>
      </c>
      <c r="T598" s="1" t="s">
        <v>22</v>
      </c>
      <c r="U598" s="1" t="s">
        <v>22</v>
      </c>
    </row>
    <row r="599" spans="1:21" x14ac:dyDescent="0.25">
      <c r="A599" s="1" t="s">
        <v>1558</v>
      </c>
      <c r="B599" s="2" t="s">
        <v>641</v>
      </c>
      <c r="C599" s="1" t="s">
        <v>261</v>
      </c>
      <c r="D599" s="1" t="s">
        <v>503</v>
      </c>
      <c r="E599" s="1" t="s">
        <v>37</v>
      </c>
      <c r="F599" s="1">
        <v>43581</v>
      </c>
      <c r="G599" s="14" t="s">
        <v>28</v>
      </c>
      <c r="H599" t="s">
        <v>1577</v>
      </c>
      <c r="I599" s="2" t="s">
        <v>1578</v>
      </c>
      <c r="J599" s="2">
        <v>0.020833333333333332</v>
      </c>
      <c r="K599" s="1">
        <v>0.020833333333333332</v>
      </c>
      <c r="L599" s="1">
        <v>0.041666666666666664</v>
      </c>
      <c r="M599" s="1">
        <v>0</v>
      </c>
      <c r="N599" s="1" t="s">
        <v>574</v>
      </c>
      <c r="O599" s="1" t="s">
        <v>503</v>
      </c>
      <c r="P599" s="1" t="s">
        <v>977</v>
      </c>
      <c r="Q599" s="1">
        <v>43581</v>
      </c>
      <c r="R599" s="14">
        <v>5</v>
      </c>
      <c r="S599" s="1" t="s">
        <v>22</v>
      </c>
      <c r="T599" s="1" t="s">
        <v>22</v>
      </c>
      <c r="U599" s="1" t="s">
        <v>22</v>
      </c>
    </row>
    <row r="600" spans="1:21" x14ac:dyDescent="0.25">
      <c r="A600" s="1" t="s">
        <v>1558</v>
      </c>
      <c r="B600" s="2" t="s">
        <v>288</v>
      </c>
      <c r="C600" s="1" t="s">
        <v>261</v>
      </c>
      <c r="D600" s="1" t="s">
        <v>503</v>
      </c>
      <c r="E600" s="1" t="s">
        <v>952</v>
      </c>
      <c r="F600" s="1">
        <v>43585</v>
      </c>
      <c r="G600" s="14" t="s">
        <v>50</v>
      </c>
      <c r="H600" t="s">
        <v>1571</v>
      </c>
      <c r="I600" s="2" t="s">
        <v>1579</v>
      </c>
      <c r="J600" s="2">
        <v>0.020833333333333332</v>
      </c>
      <c r="K600" s="1">
        <v>0.020833333333333332</v>
      </c>
      <c r="L600" s="1">
        <v>0.041666666666666664</v>
      </c>
      <c r="M600" s="1">
        <v>0</v>
      </c>
      <c r="N600" s="1" t="s">
        <v>574</v>
      </c>
      <c r="O600" s="1" t="s">
        <v>503</v>
      </c>
      <c r="P600" s="1" t="s">
        <v>977</v>
      </c>
      <c r="Q600" s="1">
        <v>43585</v>
      </c>
      <c r="R600" s="14">
        <v>5</v>
      </c>
      <c r="S600" s="1" t="s">
        <v>22</v>
      </c>
      <c r="T600" s="1" t="s">
        <v>22</v>
      </c>
      <c r="U600" s="1" t="s">
        <v>22</v>
      </c>
    </row>
    <row r="601" spans="1:21" x14ac:dyDescent="0.25">
      <c r="A601" s="1" t="s">
        <v>1558</v>
      </c>
      <c r="B601" s="2" t="s">
        <v>286</v>
      </c>
      <c r="C601" s="1" t="s">
        <v>974</v>
      </c>
      <c r="D601" s="1" t="s">
        <v>503</v>
      </c>
      <c r="E601" s="1" t="s">
        <v>27</v>
      </c>
      <c r="F601" s="1">
        <v>43581</v>
      </c>
      <c r="G601" s="14" t="s">
        <v>28</v>
      </c>
      <c r="H601" t="s">
        <v>1580</v>
      </c>
      <c r="I601" s="2" t="s">
        <v>1581</v>
      </c>
      <c r="J601" s="2">
        <v>0.041666666666666664</v>
      </c>
      <c r="K601" s="1">
        <v>0.041666666666666664</v>
      </c>
      <c r="L601" s="1">
        <v>0.08333333333333333</v>
      </c>
      <c r="M601" s="1">
        <v>0</v>
      </c>
      <c r="N601" s="1" t="s">
        <v>31</v>
      </c>
      <c r="O601" s="1" t="s">
        <v>503</v>
      </c>
      <c r="P601" s="1" t="s">
        <v>484</v>
      </c>
      <c r="Q601" s="1">
        <v>43581</v>
      </c>
      <c r="R601" s="14">
        <v>5</v>
      </c>
      <c r="S601" s="1" t="s">
        <v>22</v>
      </c>
      <c r="T601" s="1" t="s">
        <v>22</v>
      </c>
      <c r="U601" s="1" t="s">
        <v>22</v>
      </c>
    </row>
    <row r="602" spans="1:21" x14ac:dyDescent="0.25">
      <c r="A602" s="1" t="s">
        <v>1582</v>
      </c>
      <c r="B602" s="2" t="s">
        <v>199</v>
      </c>
      <c r="C602" s="1" t="s">
        <v>541</v>
      </c>
      <c r="D602" s="1" t="s">
        <v>503</v>
      </c>
      <c r="E602" s="1" t="s">
        <v>37</v>
      </c>
      <c r="F602" s="1">
        <v>43588</v>
      </c>
      <c r="G602" s="14" t="s">
        <v>28</v>
      </c>
      <c r="H602" t="s">
        <v>1583</v>
      </c>
      <c r="I602" s="2" t="s">
        <v>1584</v>
      </c>
      <c r="J602" s="2">
        <v>0.008680555555555556</v>
      </c>
      <c r="K602" s="1">
        <v>0.008680555555555556</v>
      </c>
      <c r="L602" s="1">
        <v>0.017361111111111112</v>
      </c>
      <c r="M602" s="1">
        <v>0</v>
      </c>
      <c r="N602" s="1" t="s">
        <v>1314</v>
      </c>
      <c r="O602" s="1" t="s">
        <v>503</v>
      </c>
      <c r="P602" s="1" t="s">
        <v>488</v>
      </c>
      <c r="Q602" s="1">
        <v>43588</v>
      </c>
      <c r="R602" s="14">
        <v>5</v>
      </c>
      <c r="S602" s="1" t="s">
        <v>22</v>
      </c>
      <c r="T602" s="1" t="s">
        <v>22</v>
      </c>
      <c r="U602" s="1" t="s">
        <v>22</v>
      </c>
    </row>
    <row r="603" spans="1:21" x14ac:dyDescent="0.25">
      <c r="A603" s="1" t="s">
        <v>1582</v>
      </c>
      <c r="B603" s="2" t="s">
        <v>1012</v>
      </c>
      <c r="C603" s="1" t="s">
        <v>25</v>
      </c>
      <c r="D603" s="1" t="s">
        <v>503</v>
      </c>
      <c r="E603" s="1" t="s">
        <v>27</v>
      </c>
      <c r="F603" s="1">
        <v>43589</v>
      </c>
      <c r="G603" s="14" t="s">
        <v>953</v>
      </c>
      <c r="H603" t="s">
        <v>1585</v>
      </c>
      <c r="I603" s="2" t="s">
        <v>1586</v>
      </c>
      <c r="J603" s="2">
        <v>0.010416666666666666</v>
      </c>
      <c r="K603" s="1">
        <v>0.010416666666666666</v>
      </c>
      <c r="L603" s="1">
        <v>0.020833333333333332</v>
      </c>
      <c r="M603" s="1">
        <v>0</v>
      </c>
      <c r="N603" s="1" t="s">
        <v>347</v>
      </c>
      <c r="O603" s="1" t="s">
        <v>503</v>
      </c>
      <c r="P603" s="1" t="s">
        <v>117</v>
      </c>
      <c r="Q603" s="1">
        <v>43589</v>
      </c>
      <c r="R603" s="14">
        <v>5</v>
      </c>
      <c r="S603" s="1" t="s">
        <v>22</v>
      </c>
      <c r="T603" s="1" t="s">
        <v>22</v>
      </c>
      <c r="U603" s="1" t="s">
        <v>22</v>
      </c>
    </row>
    <row r="604" spans="1:21" x14ac:dyDescent="0.25">
      <c r="A604" s="1" t="s">
        <v>1582</v>
      </c>
      <c r="B604" s="2" t="s">
        <v>1018</v>
      </c>
      <c r="C604" s="1" t="s">
        <v>1019</v>
      </c>
      <c r="D604" s="1" t="s">
        <v>503</v>
      </c>
      <c r="E604" s="1" t="s">
        <v>27</v>
      </c>
      <c r="F604" s="1">
        <v>43595</v>
      </c>
      <c r="G604" s="14" t="s">
        <v>28</v>
      </c>
      <c r="H604" t="s">
        <v>1587</v>
      </c>
      <c r="I604" s="2" t="s">
        <v>1588</v>
      </c>
      <c r="J604" s="2">
        <v>0.06770833333333333</v>
      </c>
      <c r="K604" s="1">
        <v>0.06770833333333333</v>
      </c>
      <c r="L604" s="1">
        <v>0.13541666666666666</v>
      </c>
      <c r="M604" s="1">
        <v>0</v>
      </c>
      <c r="N604" s="1" t="s">
        <v>574</v>
      </c>
      <c r="O604" s="1" t="s">
        <v>503</v>
      </c>
      <c r="P604" s="1" t="s">
        <v>977</v>
      </c>
      <c r="Q604" s="1">
        <v>43595</v>
      </c>
      <c r="R604" s="14">
        <v>5</v>
      </c>
      <c r="S604" s="1" t="s">
        <v>22</v>
      </c>
      <c r="T604" s="1" t="s">
        <v>22</v>
      </c>
      <c r="U604" s="1" t="s">
        <v>22</v>
      </c>
    </row>
    <row r="605" spans="1:21" x14ac:dyDescent="0.25">
      <c r="A605" s="1" t="s">
        <v>1582</v>
      </c>
      <c r="B605" s="2" t="s">
        <v>99</v>
      </c>
      <c r="C605" s="1" t="s">
        <v>25</v>
      </c>
      <c r="D605" s="1" t="s">
        <v>503</v>
      </c>
      <c r="E605" s="1" t="s">
        <v>27</v>
      </c>
      <c r="F605" s="1">
        <v>43600</v>
      </c>
      <c r="G605" s="14" t="s">
        <v>28</v>
      </c>
      <c r="H605" t="s">
        <v>1589</v>
      </c>
      <c r="I605" s="2" t="s">
        <v>1590</v>
      </c>
      <c r="J605" s="2">
        <v>0.06944444444444445</v>
      </c>
      <c r="K605" s="1">
        <v>0.06944444444444445</v>
      </c>
      <c r="L605" s="1">
        <v>0.1388888888888889</v>
      </c>
      <c r="M605" s="1">
        <v>0</v>
      </c>
      <c r="N605" s="1" t="s">
        <v>574</v>
      </c>
      <c r="O605" s="1" t="s">
        <v>503</v>
      </c>
      <c r="P605" s="1" t="s">
        <v>977</v>
      </c>
      <c r="Q605" s="1">
        <v>43600</v>
      </c>
      <c r="R605" s="14">
        <v>4</v>
      </c>
      <c r="S605" s="1" t="s">
        <v>22</v>
      </c>
      <c r="T605" s="1" t="s">
        <v>22</v>
      </c>
      <c r="U605" s="1" t="s">
        <v>22</v>
      </c>
    </row>
    <row r="606" spans="1:21" x14ac:dyDescent="0.25">
      <c r="A606" s="1" t="s">
        <v>1582</v>
      </c>
      <c r="B606" s="2" t="s">
        <v>286</v>
      </c>
      <c r="C606" s="1" t="s">
        <v>974</v>
      </c>
      <c r="D606" s="1" t="s">
        <v>503</v>
      </c>
      <c r="E606" s="1" t="s">
        <v>37</v>
      </c>
      <c r="F606" s="1">
        <v>43601</v>
      </c>
      <c r="G606" s="14" t="s">
        <v>1073</v>
      </c>
      <c r="H606" t="s">
        <v>1591</v>
      </c>
      <c r="I606" s="2" t="s">
        <v>1592</v>
      </c>
      <c r="J606" s="2">
        <v>0.005208333333333333</v>
      </c>
      <c r="K606" s="1">
        <v>0.005208333333333333</v>
      </c>
      <c r="L606" s="1">
        <v>0.010416666666666666</v>
      </c>
      <c r="M606" s="1">
        <v>0</v>
      </c>
      <c r="N606" s="1" t="s">
        <v>347</v>
      </c>
      <c r="O606" s="1" t="s">
        <v>503</v>
      </c>
      <c r="P606" s="1" t="s">
        <v>484</v>
      </c>
      <c r="Q606" s="1">
        <v>43601</v>
      </c>
      <c r="R606" s="14">
        <v>5</v>
      </c>
      <c r="S606" s="1" t="s">
        <v>22</v>
      </c>
      <c r="T606" s="1" t="s">
        <v>22</v>
      </c>
      <c r="U606" s="1" t="s">
        <v>22</v>
      </c>
    </row>
    <row r="607" spans="1:21" x14ac:dyDescent="0.25">
      <c r="A607" s="1" t="s">
        <v>1582</v>
      </c>
      <c r="B607" s="2" t="s">
        <v>99</v>
      </c>
      <c r="C607" s="1" t="s">
        <v>25</v>
      </c>
      <c r="D607" s="1" t="s">
        <v>503</v>
      </c>
      <c r="E607" s="1" t="s">
        <v>27</v>
      </c>
      <c r="F607" s="1">
        <v>43601</v>
      </c>
      <c r="G607" s="14" t="s">
        <v>28</v>
      </c>
      <c r="H607" t="s">
        <v>1589</v>
      </c>
      <c r="I607" s="2" t="s">
        <v>1593</v>
      </c>
      <c r="J607" s="2">
        <v>0.052083333333333336</v>
      </c>
      <c r="K607" s="1">
        <v>0.052083333333333336</v>
      </c>
      <c r="L607" s="1">
        <v>0.10416666666666667</v>
      </c>
      <c r="M607" s="1">
        <v>0</v>
      </c>
      <c r="N607" s="1" t="s">
        <v>574</v>
      </c>
      <c r="O607" s="1" t="s">
        <v>503</v>
      </c>
      <c r="P607" s="1" t="s">
        <v>977</v>
      </c>
      <c r="Q607" s="1">
        <v>43600</v>
      </c>
      <c r="R607" s="14">
        <v>4</v>
      </c>
      <c r="S607" s="1" t="s">
        <v>22</v>
      </c>
      <c r="T607" s="1" t="s">
        <v>22</v>
      </c>
      <c r="U607" s="1" t="s">
        <v>22</v>
      </c>
    </row>
    <row r="608" spans="1:21" x14ac:dyDescent="0.25">
      <c r="A608" s="1" t="s">
        <v>1582</v>
      </c>
      <c r="B608" s="2" t="s">
        <v>1451</v>
      </c>
      <c r="C608" s="1" t="s">
        <v>25</v>
      </c>
      <c r="D608" s="1" t="s">
        <v>503</v>
      </c>
      <c r="E608" s="1" t="s">
        <v>27</v>
      </c>
      <c r="F608" s="1">
        <v>43609</v>
      </c>
      <c r="G608" s="14" t="s">
        <v>28</v>
      </c>
      <c r="H608" t="s">
        <v>1594</v>
      </c>
      <c r="I608" s="2" t="s">
        <v>1595</v>
      </c>
      <c r="J608" s="2">
        <v>0.027777777777777776</v>
      </c>
      <c r="K608" s="1">
        <v>0.027777777777777776</v>
      </c>
      <c r="L608" s="1">
        <v>0.05555555555555555</v>
      </c>
      <c r="M608" s="1">
        <v>0</v>
      </c>
      <c r="N608" s="1" t="s">
        <v>574</v>
      </c>
      <c r="O608" s="1" t="s">
        <v>503</v>
      </c>
      <c r="P608" s="1" t="s">
        <v>484</v>
      </c>
      <c r="Q608" s="1">
        <v>43609</v>
      </c>
      <c r="R608" s="14">
        <v>5</v>
      </c>
      <c r="S608" s="1" t="s">
        <v>22</v>
      </c>
      <c r="T608" s="1" t="s">
        <v>22</v>
      </c>
      <c r="U608" s="1" t="s">
        <v>22</v>
      </c>
    </row>
    <row r="609" spans="1:21" x14ac:dyDescent="0.25">
      <c r="A609" s="1" t="s">
        <v>1582</v>
      </c>
      <c r="B609" s="2" t="s">
        <v>1012</v>
      </c>
      <c r="C609" s="1" t="s">
        <v>25</v>
      </c>
      <c r="D609" s="1" t="s">
        <v>503</v>
      </c>
      <c r="E609" s="1" t="s">
        <v>27</v>
      </c>
      <c r="F609" s="1">
        <v>43609</v>
      </c>
      <c r="G609" s="14" t="s">
        <v>28</v>
      </c>
      <c r="H609" t="s">
        <v>1596</v>
      </c>
      <c r="I609" s="2" t="s">
        <v>1596</v>
      </c>
      <c r="J609" s="2">
        <v>0.005208333333333333</v>
      </c>
      <c r="K609" s="1">
        <v>0.005208333333333333</v>
      </c>
      <c r="L609" s="1">
        <v>0.010416666666666666</v>
      </c>
      <c r="M609" s="1">
        <v>0</v>
      </c>
      <c r="N609" s="1" t="s">
        <v>347</v>
      </c>
      <c r="O609" s="1" t="s">
        <v>503</v>
      </c>
      <c r="P609" s="1" t="s">
        <v>484</v>
      </c>
      <c r="Q609" s="1">
        <v>43609</v>
      </c>
      <c r="R609" s="14">
        <v>5</v>
      </c>
      <c r="S609" s="1" t="s">
        <v>22</v>
      </c>
      <c r="T609" s="1" t="s">
        <v>22</v>
      </c>
      <c r="U609" s="1" t="s">
        <v>22</v>
      </c>
    </row>
    <row r="610" spans="1:21" x14ac:dyDescent="0.25">
      <c r="A610" s="1" t="s">
        <v>1582</v>
      </c>
      <c r="B610" s="2" t="s">
        <v>1002</v>
      </c>
      <c r="C610" s="1" t="s">
        <v>1003</v>
      </c>
      <c r="D610" s="1" t="s">
        <v>503</v>
      </c>
      <c r="E610" s="1" t="s">
        <v>37</v>
      </c>
      <c r="F610" s="1">
        <v>43616</v>
      </c>
      <c r="G610" s="14" t="s">
        <v>28</v>
      </c>
      <c r="H610" t="s">
        <v>1597</v>
      </c>
      <c r="I610" s="2" t="s">
        <v>1598</v>
      </c>
      <c r="J610" s="2">
        <v>0.010416666666666666</v>
      </c>
      <c r="K610" s="1">
        <v>0.010416666666666666</v>
      </c>
      <c r="L610" s="1">
        <v>0.020833333333333332</v>
      </c>
      <c r="M610" s="1">
        <v>0</v>
      </c>
      <c r="N610" s="1" t="s">
        <v>31</v>
      </c>
      <c r="O610" s="1" t="s">
        <v>503</v>
      </c>
      <c r="P610" s="1" t="s">
        <v>977</v>
      </c>
      <c r="Q610" s="1">
        <v>43616</v>
      </c>
      <c r="R610" s="14">
        <v>5</v>
      </c>
      <c r="S610" s="1" t="s">
        <v>22</v>
      </c>
      <c r="T610" s="1" t="s">
        <v>22</v>
      </c>
      <c r="U610" s="1" t="s">
        <v>22</v>
      </c>
    </row>
    <row r="611" spans="1:21" x14ac:dyDescent="0.25">
      <c r="A611" s="1" t="s">
        <v>1599</v>
      </c>
      <c r="B611" s="2" t="s">
        <v>1087</v>
      </c>
      <c r="C611" s="1" t="s">
        <v>186</v>
      </c>
      <c r="D611" s="1" t="s">
        <v>503</v>
      </c>
      <c r="E611" s="1" t="s">
        <v>37</v>
      </c>
      <c r="F611" s="1">
        <v>43617</v>
      </c>
      <c r="G611" s="14" t="s">
        <v>670</v>
      </c>
      <c r="H611" t="s">
        <v>1600</v>
      </c>
      <c r="I611" s="2" t="s">
        <v>1601</v>
      </c>
      <c r="J611" s="2">
        <v>0.020833333333333332</v>
      </c>
      <c r="K611" s="1">
        <v>0.020833333333333332</v>
      </c>
      <c r="L611" s="1">
        <v>0.041666666666666664</v>
      </c>
      <c r="M611" s="1">
        <v>0</v>
      </c>
      <c r="N611" s="1" t="s">
        <v>574</v>
      </c>
      <c r="O611" s="1" t="s">
        <v>503</v>
      </c>
      <c r="P611" s="1" t="s">
        <v>977</v>
      </c>
      <c r="Q611" s="1">
        <v>43617</v>
      </c>
      <c r="R611" s="14">
        <v>5</v>
      </c>
      <c r="S611" s="1" t="s">
        <v>22</v>
      </c>
      <c r="T611" s="1" t="s">
        <v>22</v>
      </c>
      <c r="U611" s="1" t="s">
        <v>22</v>
      </c>
    </row>
    <row r="612" spans="1:21" x14ac:dyDescent="0.25">
      <c r="A612" s="1" t="s">
        <v>1599</v>
      </c>
      <c r="B612" s="2" t="s">
        <v>616</v>
      </c>
      <c r="C612" s="1" t="s">
        <v>1042</v>
      </c>
      <c r="D612" s="1" t="s">
        <v>503</v>
      </c>
      <c r="E612" s="1" t="s">
        <v>37</v>
      </c>
      <c r="F612" s="1">
        <v>43619</v>
      </c>
      <c r="G612" s="14" t="s">
        <v>670</v>
      </c>
      <c r="H612" t="s">
        <v>1600</v>
      </c>
      <c r="I612" s="2" t="s">
        <v>1602</v>
      </c>
      <c r="J612" s="2">
        <v>0.020833333333333332</v>
      </c>
      <c r="K612" s="1">
        <v>0.020833333333333332</v>
      </c>
      <c r="L612" s="1">
        <v>0.041666666666666664</v>
      </c>
      <c r="M612" s="1">
        <v>0</v>
      </c>
      <c r="N612" s="1" t="s">
        <v>347</v>
      </c>
      <c r="O612" s="1" t="s">
        <v>503</v>
      </c>
      <c r="P612" s="1" t="s">
        <v>484</v>
      </c>
      <c r="Q612" s="1">
        <v>43619</v>
      </c>
      <c r="R612" s="14">
        <v>5</v>
      </c>
      <c r="S612" s="1" t="s">
        <v>22</v>
      </c>
      <c r="T612" s="1" t="s">
        <v>22</v>
      </c>
      <c r="U612" s="1" t="s">
        <v>22</v>
      </c>
    </row>
    <row r="613" spans="1:21" x14ac:dyDescent="0.25">
      <c r="A613" s="1" t="s">
        <v>1599</v>
      </c>
      <c r="B613" s="2" t="s">
        <v>1603</v>
      </c>
      <c r="C613" s="1" t="s">
        <v>186</v>
      </c>
      <c r="D613" s="1" t="s">
        <v>503</v>
      </c>
      <c r="E613" s="1" t="s">
        <v>37</v>
      </c>
      <c r="F613" s="1">
        <v>43628</v>
      </c>
      <c r="G613" s="14" t="s">
        <v>28</v>
      </c>
      <c r="H613" t="s">
        <v>1604</v>
      </c>
      <c r="I613" s="2" t="s">
        <v>1605</v>
      </c>
      <c r="J613" s="2">
        <v>0.006944444444444444</v>
      </c>
      <c r="K613" s="1">
        <v>0.006944444444444444</v>
      </c>
      <c r="L613" s="1">
        <v>0.013888888888888888</v>
      </c>
      <c r="M613" s="1">
        <v>0</v>
      </c>
      <c r="N613" s="1" t="s">
        <v>483</v>
      </c>
      <c r="O613" s="1" t="s">
        <v>503</v>
      </c>
      <c r="P613" s="1" t="s">
        <v>488</v>
      </c>
      <c r="Q613" s="1">
        <v>43628</v>
      </c>
      <c r="R613" s="14">
        <v>5</v>
      </c>
      <c r="S613" s="1" t="s">
        <v>22</v>
      </c>
      <c r="T613" s="1" t="s">
        <v>22</v>
      </c>
      <c r="U613" s="1" t="s">
        <v>22</v>
      </c>
    </row>
    <row r="614" spans="1:21" x14ac:dyDescent="0.25">
      <c r="A614" s="1" t="s">
        <v>1599</v>
      </c>
      <c r="B614" s="2" t="s">
        <v>1018</v>
      </c>
      <c r="C614" s="1" t="s">
        <v>951</v>
      </c>
      <c r="D614" s="1" t="s">
        <v>503</v>
      </c>
      <c r="E614" s="1" t="s">
        <v>27</v>
      </c>
      <c r="F614" s="1">
        <v>43628</v>
      </c>
      <c r="G614" s="14" t="s">
        <v>28</v>
      </c>
      <c r="H614" t="s">
        <v>1606</v>
      </c>
      <c r="I614" s="2" t="s">
        <v>1607</v>
      </c>
      <c r="J614" s="2">
        <v>0.041666666666666664</v>
      </c>
      <c r="K614" s="1">
        <v>0.041666666666666664</v>
      </c>
      <c r="L614" s="1">
        <v>0.08333333333333333</v>
      </c>
      <c r="M614" s="1">
        <v>0</v>
      </c>
      <c r="N614" s="1" t="s">
        <v>574</v>
      </c>
      <c r="O614" s="1" t="s">
        <v>503</v>
      </c>
      <c r="P614" s="1" t="s">
        <v>977</v>
      </c>
      <c r="Q614" s="1">
        <v>43629</v>
      </c>
      <c r="R614" s="14">
        <v>5</v>
      </c>
      <c r="S614" s="1" t="s">
        <v>22</v>
      </c>
      <c r="T614" s="1" t="s">
        <v>22</v>
      </c>
      <c r="U614" s="1" t="s">
        <v>22</v>
      </c>
    </row>
    <row r="615" spans="1:21" x14ac:dyDescent="0.25">
      <c r="A615" s="1" t="s">
        <v>1599</v>
      </c>
      <c r="B615" s="2" t="s">
        <v>99</v>
      </c>
      <c r="C615" s="1" t="s">
        <v>25</v>
      </c>
      <c r="D615" s="1" t="s">
        <v>503</v>
      </c>
      <c r="E615" s="1" t="s">
        <v>27</v>
      </c>
      <c r="F615" s="1">
        <v>43637</v>
      </c>
      <c r="G615" s="14" t="s">
        <v>28</v>
      </c>
      <c r="H615" t="s">
        <v>1608</v>
      </c>
      <c r="I615" s="2" t="s">
        <v>1609</v>
      </c>
      <c r="J615" s="2">
        <v>0.09722222222222222</v>
      </c>
      <c r="K615" s="1">
        <v>0.09722222222222222</v>
      </c>
      <c r="L615" s="1">
        <v>0.19444444444444445</v>
      </c>
      <c r="M615" s="1">
        <v>0</v>
      </c>
      <c r="N615" s="1" t="s">
        <v>53</v>
      </c>
      <c r="O615" s="1" t="s">
        <v>503</v>
      </c>
      <c r="P615" s="1" t="s">
        <v>977</v>
      </c>
      <c r="Q615" s="1">
        <v>43637</v>
      </c>
      <c r="R615" s="14">
        <v>5</v>
      </c>
      <c r="S615" s="1" t="s">
        <v>22</v>
      </c>
      <c r="T615" s="1" t="s">
        <v>22</v>
      </c>
      <c r="U615" s="1" t="s">
        <v>22</v>
      </c>
    </row>
    <row r="616" spans="1:21" x14ac:dyDescent="0.25">
      <c r="A616" s="1" t="s">
        <v>1599</v>
      </c>
      <c r="B616" s="2" t="s">
        <v>1451</v>
      </c>
      <c r="C616" s="1" t="s">
        <v>25</v>
      </c>
      <c r="D616" s="1" t="s">
        <v>503</v>
      </c>
      <c r="E616" s="1" t="s">
        <v>27</v>
      </c>
      <c r="F616" s="1">
        <v>43636</v>
      </c>
      <c r="G616" s="14" t="s">
        <v>28</v>
      </c>
      <c r="H616" t="s">
        <v>1610</v>
      </c>
      <c r="I616" s="2" t="s">
        <v>1611</v>
      </c>
      <c r="J616" s="2">
        <v>0.020833333333333332</v>
      </c>
      <c r="K616" s="1">
        <v>0.020833333333333332</v>
      </c>
      <c r="L616" s="1">
        <v>0.041666666666666664</v>
      </c>
      <c r="M616" s="1">
        <v>0</v>
      </c>
      <c r="N616" s="1" t="s">
        <v>53</v>
      </c>
      <c r="O616" s="1" t="s">
        <v>503</v>
      </c>
      <c r="P616" s="1" t="s">
        <v>977</v>
      </c>
      <c r="Q616" s="1">
        <v>43636</v>
      </c>
      <c r="R616" s="14">
        <v>5</v>
      </c>
      <c r="S616" s="1" t="s">
        <v>22</v>
      </c>
      <c r="T616" s="1" t="s">
        <v>22</v>
      </c>
      <c r="U616" s="1" t="s">
        <v>22</v>
      </c>
    </row>
    <row r="617" spans="1:21" x14ac:dyDescent="0.25">
      <c r="A617" s="1" t="s">
        <v>1599</v>
      </c>
      <c r="B617" s="2" t="s">
        <v>1002</v>
      </c>
      <c r="C617" s="1" t="s">
        <v>1003</v>
      </c>
      <c r="D617" s="1" t="s">
        <v>1612</v>
      </c>
      <c r="E617" s="1" t="s">
        <v>27</v>
      </c>
      <c r="F617" s="1">
        <v>43645</v>
      </c>
      <c r="G617" s="14" t="s">
        <v>28</v>
      </c>
      <c r="H617" t="s">
        <v>1613</v>
      </c>
      <c r="I617" s="2" t="s">
        <v>1614</v>
      </c>
      <c r="J617" s="2">
        <v>0.052083333333333336</v>
      </c>
      <c r="K617" s="1">
        <v>0.052083333333333336</v>
      </c>
      <c r="L617" s="1">
        <v>0.10416666666666667</v>
      </c>
      <c r="M617" s="1">
        <v>0</v>
      </c>
      <c r="N617" s="1" t="s">
        <v>53</v>
      </c>
      <c r="O617" s="1" t="s">
        <v>503</v>
      </c>
      <c r="P617" s="1" t="s">
        <v>484</v>
      </c>
      <c r="Q617" s="1">
        <v>43645</v>
      </c>
      <c r="R617" s="14">
        <v>5</v>
      </c>
      <c r="S617" s="1" t="s">
        <v>22</v>
      </c>
      <c r="T617" s="1" t="s">
        <v>22</v>
      </c>
      <c r="U617" s="1" t="s">
        <v>22</v>
      </c>
    </row>
    <row r="618" spans="1:21" x14ac:dyDescent="0.25">
      <c r="A618" s="1" t="s">
        <v>1599</v>
      </c>
      <c r="B618" s="2" t="s">
        <v>1093</v>
      </c>
      <c r="C618" s="1" t="s">
        <v>25</v>
      </c>
      <c r="D618" s="1" t="s">
        <v>1615</v>
      </c>
      <c r="E618" s="1" t="s">
        <v>27</v>
      </c>
      <c r="F618" s="1">
        <v>43644</v>
      </c>
      <c r="G618" s="14" t="s">
        <v>255</v>
      </c>
      <c r="H618" t="s">
        <v>1616</v>
      </c>
      <c r="I618" s="2" t="s">
        <v>1617</v>
      </c>
      <c r="J618" s="2">
        <v>0.03125</v>
      </c>
      <c r="K618" s="1">
        <v>0.03125</v>
      </c>
      <c r="L618" s="1">
        <v>0.0625</v>
      </c>
      <c r="M618" s="1">
        <v>0</v>
      </c>
      <c r="N618" s="1" t="s">
        <v>574</v>
      </c>
      <c r="O618" s="1" t="s">
        <v>503</v>
      </c>
      <c r="P618" s="1" t="s">
        <v>488</v>
      </c>
      <c r="Q618" s="1">
        <v>43644</v>
      </c>
      <c r="R618" s="14">
        <v>5</v>
      </c>
      <c r="S618" s="1" t="s">
        <v>22</v>
      </c>
      <c r="T618" s="1" t="s">
        <v>22</v>
      </c>
      <c r="U618" s="1" t="s">
        <v>22</v>
      </c>
    </row>
    <row r="619" spans="1:21" x14ac:dyDescent="0.25">
      <c r="A619" s="1" t="s">
        <v>1618</v>
      </c>
      <c r="B619" s="2" t="s">
        <v>1212</v>
      </c>
      <c r="C619" s="1" t="s">
        <v>25</v>
      </c>
      <c r="D619" s="1" t="s">
        <v>1619</v>
      </c>
      <c r="E619" s="1" t="s">
        <v>27</v>
      </c>
      <c r="F619" s="1">
        <v>43648</v>
      </c>
      <c r="G619" s="14" t="s">
        <v>28</v>
      </c>
      <c r="H619" t="s">
        <v>1620</v>
      </c>
      <c r="I619" s="2" t="s">
        <v>1621</v>
      </c>
      <c r="J619" s="2">
        <v>0.052083333333333336</v>
      </c>
      <c r="K619" s="1">
        <v>0.052083333333333336</v>
      </c>
      <c r="L619" s="1">
        <v>0.10416666666666667</v>
      </c>
      <c r="M619" s="1">
        <v>0</v>
      </c>
      <c r="N619" s="1" t="s">
        <v>53</v>
      </c>
      <c r="O619" s="1" t="s">
        <v>483</v>
      </c>
      <c r="P619" s="1" t="s">
        <v>484</v>
      </c>
      <c r="Q619" s="1">
        <v>43648</v>
      </c>
      <c r="R619" s="14">
        <v>5</v>
      </c>
      <c r="S619" s="1" t="s">
        <v>22</v>
      </c>
      <c r="T619" s="1" t="s">
        <v>22</v>
      </c>
      <c r="U619" s="1" t="s">
        <v>22</v>
      </c>
    </row>
    <row r="620" spans="1:21" x14ac:dyDescent="0.25">
      <c r="A620" s="1" t="s">
        <v>1599</v>
      </c>
      <c r="B620" s="2" t="s">
        <v>1451</v>
      </c>
      <c r="C620" s="1" t="s">
        <v>25</v>
      </c>
      <c r="D620" s="1" t="s">
        <v>1622</v>
      </c>
      <c r="E620" s="1" t="s">
        <v>27</v>
      </c>
      <c r="F620" s="1">
        <v>43645</v>
      </c>
      <c r="G620" s="14" t="s">
        <v>133</v>
      </c>
      <c r="H620" t="s">
        <v>1623</v>
      </c>
      <c r="I620" s="2" t="s">
        <v>1624</v>
      </c>
      <c r="J620" s="2">
        <v>0.041666666666666664</v>
      </c>
      <c r="K620" s="1">
        <v>0.041666666666666664</v>
      </c>
      <c r="L620" s="1">
        <v>0.08333333333333333</v>
      </c>
      <c r="M620" s="1">
        <v>0</v>
      </c>
      <c r="N620" s="1" t="s">
        <v>574</v>
      </c>
      <c r="O620" s="1" t="s">
        <v>483</v>
      </c>
      <c r="P620" s="1" t="s">
        <v>484</v>
      </c>
      <c r="Q620" s="1">
        <v>43647</v>
      </c>
      <c r="R620" s="14">
        <v>5</v>
      </c>
      <c r="S620" s="1" t="s">
        <v>22</v>
      </c>
      <c r="T620" s="1" t="s">
        <v>22</v>
      </c>
      <c r="U620" s="1" t="s">
        <v>22</v>
      </c>
    </row>
    <row r="621" spans="1:21" x14ac:dyDescent="0.25">
      <c r="A621" s="1" t="s">
        <v>1618</v>
      </c>
      <c r="B621" s="2" t="s">
        <v>1087</v>
      </c>
      <c r="C621" s="1" t="s">
        <v>186</v>
      </c>
      <c r="D621" s="1" t="s">
        <v>1625</v>
      </c>
      <c r="E621" s="1" t="s">
        <v>27</v>
      </c>
      <c r="F621" s="1">
        <v>43649</v>
      </c>
      <c r="G621" s="14" t="s">
        <v>50</v>
      </c>
      <c r="H621" t="s">
        <v>1626</v>
      </c>
      <c r="I621" s="2" t="s">
        <v>1627</v>
      </c>
      <c r="J621" s="2">
        <v>0.041666666666666664</v>
      </c>
      <c r="K621" s="1">
        <v>0.041666666666666664</v>
      </c>
      <c r="L621" s="1">
        <v>0.08333333333333333</v>
      </c>
      <c r="M621" s="1">
        <v>0</v>
      </c>
      <c r="N621" s="1" t="s">
        <v>31</v>
      </c>
      <c r="O621" s="1" t="s">
        <v>483</v>
      </c>
      <c r="P621" s="1" t="s">
        <v>488</v>
      </c>
      <c r="Q621" s="1">
        <v>43649</v>
      </c>
      <c r="R621" s="14">
        <v>5</v>
      </c>
      <c r="S621" s="1" t="s">
        <v>22</v>
      </c>
      <c r="T621" s="1" t="s">
        <v>22</v>
      </c>
      <c r="U621" s="1" t="s">
        <v>22</v>
      </c>
    </row>
    <row r="622" spans="1:21" x14ac:dyDescent="0.25">
      <c r="A622" s="1" t="s">
        <v>1618</v>
      </c>
      <c r="B622" s="2" t="s">
        <v>199</v>
      </c>
      <c r="C622" s="1" t="s">
        <v>541</v>
      </c>
      <c r="D622" s="1" t="s">
        <v>1628</v>
      </c>
      <c r="E622" s="1" t="s">
        <v>27</v>
      </c>
      <c r="F622" s="1">
        <v>43649</v>
      </c>
      <c r="G622" s="14" t="s">
        <v>28</v>
      </c>
      <c r="H622" t="s">
        <v>1629</v>
      </c>
      <c r="I622" s="2" t="s">
        <v>1630</v>
      </c>
      <c r="J622" s="2">
        <v>0.07291666666666667</v>
      </c>
      <c r="K622" s="1" t="s">
        <v>22</v>
      </c>
      <c r="L622" s="1">
        <v>0.07291666666666667</v>
      </c>
      <c r="M622" s="1">
        <v>0</v>
      </c>
      <c r="N622" s="1" t="s">
        <v>53</v>
      </c>
      <c r="O622" s="1" t="s">
        <v>483</v>
      </c>
      <c r="P622" s="1" t="s">
        <v>488</v>
      </c>
      <c r="Q622" s="1">
        <v>43649</v>
      </c>
      <c r="R622" s="14">
        <v>5</v>
      </c>
      <c r="S622" s="1" t="s">
        <v>22</v>
      </c>
      <c r="T622" s="1" t="s">
        <v>22</v>
      </c>
      <c r="U622" s="1" t="s">
        <v>22</v>
      </c>
    </row>
    <row r="623" spans="1:21" x14ac:dyDescent="0.25">
      <c r="A623" s="1" t="s">
        <v>1618</v>
      </c>
      <c r="B623" s="2" t="s">
        <v>1204</v>
      </c>
      <c r="C623" s="1" t="s">
        <v>1631</v>
      </c>
      <c r="D623" s="1" t="s">
        <v>1632</v>
      </c>
      <c r="E623" s="1" t="s">
        <v>37</v>
      </c>
      <c r="F623" s="1">
        <v>43649</v>
      </c>
      <c r="G623" s="14" t="s">
        <v>255</v>
      </c>
      <c r="H623" t="s">
        <v>1633</v>
      </c>
      <c r="I623" s="2" t="s">
        <v>1634</v>
      </c>
      <c r="J623" s="2">
        <v>0.125</v>
      </c>
      <c r="K623" s="1">
        <v>0</v>
      </c>
      <c r="L623" s="1">
        <v>0.125</v>
      </c>
      <c r="M623" s="1">
        <v>0</v>
      </c>
      <c r="N623" s="1" t="s">
        <v>347</v>
      </c>
      <c r="O623" s="1" t="s">
        <v>347</v>
      </c>
      <c r="P623" s="1" t="s">
        <v>117</v>
      </c>
      <c r="Q623" s="1">
        <v>43649</v>
      </c>
      <c r="R623" s="14">
        <v>4</v>
      </c>
      <c r="S623" s="1" t="s">
        <v>22</v>
      </c>
      <c r="T623" s="1" t="s">
        <v>22</v>
      </c>
      <c r="U623" s="1" t="s">
        <v>22</v>
      </c>
    </row>
    <row r="624" spans="1:21" x14ac:dyDescent="0.25">
      <c r="A624" s="1" t="s">
        <v>1618</v>
      </c>
      <c r="B624" s="2" t="s">
        <v>1635</v>
      </c>
      <c r="C624" s="1" t="s">
        <v>186</v>
      </c>
      <c r="D624" s="1" t="s">
        <v>1636</v>
      </c>
      <c r="E624" s="1" t="s">
        <v>37</v>
      </c>
      <c r="F624" s="1">
        <v>43649</v>
      </c>
      <c r="G624" s="14" t="s">
        <v>38</v>
      </c>
      <c r="H624" t="s">
        <v>1637</v>
      </c>
      <c r="I624" s="2" t="s">
        <v>1638</v>
      </c>
      <c r="J624" s="2">
        <v>0.041666666666666664</v>
      </c>
      <c r="K624" s="1">
        <v>0.04513888888888889</v>
      </c>
      <c r="L624" s="1">
        <v>0.08680555555555555</v>
      </c>
      <c r="M624" s="1" t="s">
        <v>22</v>
      </c>
      <c r="N624" s="1" t="s">
        <v>574</v>
      </c>
      <c r="O624" s="1" t="s">
        <v>483</v>
      </c>
      <c r="P624" s="1" t="s">
        <v>488</v>
      </c>
      <c r="Q624" s="1">
        <v>43649</v>
      </c>
      <c r="R624" s="14">
        <v>5</v>
      </c>
      <c r="S624" s="1" t="s">
        <v>22</v>
      </c>
      <c r="T624" s="1" t="s">
        <v>22</v>
      </c>
      <c r="U624" s="1" t="s">
        <v>22</v>
      </c>
    </row>
    <row r="625" spans="1:21" x14ac:dyDescent="0.25">
      <c r="A625" s="1" t="s">
        <v>1618</v>
      </c>
      <c r="B625" s="2" t="s">
        <v>1603</v>
      </c>
      <c r="C625" s="1" t="s">
        <v>186</v>
      </c>
      <c r="D625" s="1" t="s">
        <v>1639</v>
      </c>
      <c r="E625" s="1" t="s">
        <v>37</v>
      </c>
      <c r="F625" s="1">
        <v>43649</v>
      </c>
      <c r="G625" s="14" t="s">
        <v>28</v>
      </c>
      <c r="H625" t="s">
        <v>1552</v>
      </c>
      <c r="I625" s="2" t="s">
        <v>1640</v>
      </c>
      <c r="J625" s="2">
        <v>0.0625</v>
      </c>
      <c r="K625" s="1">
        <v>0.0625</v>
      </c>
      <c r="L625" s="1">
        <v>0.125</v>
      </c>
      <c r="M625" s="1" t="s">
        <v>22</v>
      </c>
      <c r="N625" s="1" t="s">
        <v>574</v>
      </c>
      <c r="O625" s="1" t="s">
        <v>483</v>
      </c>
      <c r="P625" s="1" t="s">
        <v>488</v>
      </c>
      <c r="Q625" s="1">
        <v>43649</v>
      </c>
      <c r="R625" s="14">
        <v>5</v>
      </c>
      <c r="S625" s="1" t="s">
        <v>22</v>
      </c>
      <c r="T625" s="1" t="s">
        <v>22</v>
      </c>
      <c r="U625" s="1" t="s">
        <v>22</v>
      </c>
    </row>
    <row r="626" spans="1:21" x14ac:dyDescent="0.25">
      <c r="A626" s="1" t="s">
        <v>1618</v>
      </c>
      <c r="B626" s="2" t="s">
        <v>1087</v>
      </c>
      <c r="C626" s="1" t="s">
        <v>186</v>
      </c>
      <c r="D626" s="1" t="s">
        <v>1641</v>
      </c>
      <c r="E626" s="1" t="s">
        <v>37</v>
      </c>
      <c r="F626" s="1">
        <v>43658</v>
      </c>
      <c r="G626" s="14" t="s">
        <v>28</v>
      </c>
      <c r="H626" t="s">
        <v>1552</v>
      </c>
      <c r="I626" s="2" t="s">
        <v>1642</v>
      </c>
      <c r="J626" s="2">
        <v>0.09375</v>
      </c>
      <c r="K626" s="1">
        <v>0.0625</v>
      </c>
      <c r="L626" s="1">
        <v>0.15625</v>
      </c>
      <c r="M626" s="1">
        <v>0</v>
      </c>
      <c r="N626" s="1" t="s">
        <v>31</v>
      </c>
      <c r="O626" s="1" t="s">
        <v>483</v>
      </c>
      <c r="P626" s="1" t="s">
        <v>488</v>
      </c>
      <c r="Q626" s="1">
        <v>43658</v>
      </c>
      <c r="R626" s="14">
        <v>5</v>
      </c>
      <c r="S626" s="1" t="s">
        <v>22</v>
      </c>
      <c r="T626" s="1" t="s">
        <v>22</v>
      </c>
      <c r="U626" s="1" t="s">
        <v>22</v>
      </c>
    </row>
    <row r="627" spans="1:21" x14ac:dyDescent="0.25">
      <c r="A627" s="1" t="s">
        <v>1618</v>
      </c>
      <c r="B627" s="2" t="s">
        <v>35</v>
      </c>
      <c r="C627" s="1" t="s">
        <v>25</v>
      </c>
      <c r="D627" s="1" t="s">
        <v>1643</v>
      </c>
      <c r="E627" s="1" t="s">
        <v>37</v>
      </c>
      <c r="F627" s="1">
        <v>43664</v>
      </c>
      <c r="G627" s="14" t="s">
        <v>28</v>
      </c>
      <c r="H627" t="s">
        <v>1552</v>
      </c>
      <c r="I627" s="2" t="s">
        <v>1644</v>
      </c>
      <c r="J627" s="2">
        <v>0.08333333333333333</v>
      </c>
      <c r="K627" s="1">
        <v>0.09722222222222222</v>
      </c>
      <c r="L627" s="1">
        <v>0.18055555555555555</v>
      </c>
      <c r="M627" s="1">
        <v>0</v>
      </c>
      <c r="N627" s="1" t="s">
        <v>574</v>
      </c>
      <c r="O627" s="1" t="s">
        <v>483</v>
      </c>
      <c r="P627" s="1" t="s">
        <v>488</v>
      </c>
      <c r="Q627" s="1">
        <v>43664</v>
      </c>
      <c r="R627" s="14">
        <v>5</v>
      </c>
      <c r="S627" s="1" t="s">
        <v>22</v>
      </c>
      <c r="T627" s="1" t="s">
        <v>22</v>
      </c>
      <c r="U627" s="1" t="s">
        <v>22</v>
      </c>
    </row>
    <row r="628" spans="1:21" x14ac:dyDescent="0.25">
      <c r="A628" s="1" t="s">
        <v>1618</v>
      </c>
      <c r="B628" s="2" t="s">
        <v>35</v>
      </c>
      <c r="C628" s="1" t="s">
        <v>25</v>
      </c>
      <c r="D628" s="1" t="s">
        <v>1645</v>
      </c>
      <c r="E628" s="1" t="s">
        <v>37</v>
      </c>
      <c r="F628" s="1">
        <v>43664</v>
      </c>
      <c r="G628" s="14" t="s">
        <v>28</v>
      </c>
      <c r="H628" t="s">
        <v>1646</v>
      </c>
      <c r="I628" s="2" t="s">
        <v>1647</v>
      </c>
      <c r="J628" s="2">
        <v>0.006944444444444444</v>
      </c>
      <c r="K628" s="1">
        <v>0</v>
      </c>
      <c r="L628" s="1">
        <v>0.006944444444444444</v>
      </c>
      <c r="M628" s="1">
        <v>0</v>
      </c>
      <c r="N628" s="1" t="s">
        <v>574</v>
      </c>
      <c r="O628" s="1" t="s">
        <v>483</v>
      </c>
      <c r="P628" s="1" t="s">
        <v>488</v>
      </c>
      <c r="Q628" s="1">
        <v>43668</v>
      </c>
      <c r="R628" s="14">
        <v>5</v>
      </c>
      <c r="S628" s="1" t="s">
        <v>22</v>
      </c>
      <c r="T628" s="1" t="s">
        <v>22</v>
      </c>
      <c r="U628" s="1" t="s">
        <v>22</v>
      </c>
    </row>
    <row r="629" spans="1:21" x14ac:dyDescent="0.25">
      <c r="A629" s="1" t="s">
        <v>1618</v>
      </c>
      <c r="B629" s="2" t="s">
        <v>35</v>
      </c>
      <c r="C629" s="1" t="s">
        <v>25</v>
      </c>
      <c r="D629" s="1" t="s">
        <v>1648</v>
      </c>
      <c r="E629" s="1" t="s">
        <v>37</v>
      </c>
      <c r="F629" s="1">
        <v>43670</v>
      </c>
      <c r="G629" s="14" t="s">
        <v>28</v>
      </c>
      <c r="H629" t="s">
        <v>1649</v>
      </c>
      <c r="I629" s="2" t="s">
        <v>1650</v>
      </c>
      <c r="J629" s="2">
        <v>0.020833333333333332</v>
      </c>
      <c r="K629" s="1">
        <v>0</v>
      </c>
      <c r="L629" s="1">
        <v>0.020833333333333332</v>
      </c>
      <c r="M629" s="1">
        <v>0</v>
      </c>
      <c r="N629" s="1" t="s">
        <v>53</v>
      </c>
      <c r="O629" s="1" t="s">
        <v>503</v>
      </c>
      <c r="P629" s="1" t="s">
        <v>488</v>
      </c>
      <c r="Q629" s="1">
        <v>43670</v>
      </c>
      <c r="R629" s="14">
        <v>5</v>
      </c>
      <c r="S629" s="1" t="s">
        <v>22</v>
      </c>
      <c r="T629" s="1" t="s">
        <v>22</v>
      </c>
      <c r="U629" s="1" t="s">
        <v>22</v>
      </c>
    </row>
    <row r="630" spans="1:21" x14ac:dyDescent="0.25">
      <c r="A630" s="1" t="s">
        <v>1618</v>
      </c>
      <c r="B630" s="2" t="s">
        <v>1093</v>
      </c>
      <c r="C630" s="1" t="s">
        <v>1651</v>
      </c>
      <c r="D630" s="1" t="s">
        <v>1652</v>
      </c>
      <c r="E630" s="1" t="s">
        <v>37</v>
      </c>
      <c r="F630" s="1">
        <v>43670</v>
      </c>
      <c r="G630" s="14" t="s">
        <v>28</v>
      </c>
      <c r="H630" t="s">
        <v>1653</v>
      </c>
      <c r="I630" s="2" t="s">
        <v>1653</v>
      </c>
      <c r="J630" s="2">
        <v>0.013888888888888888</v>
      </c>
      <c r="K630" s="1">
        <v>0</v>
      </c>
      <c r="L630" s="1">
        <v>0.013888888888888888</v>
      </c>
      <c r="M630" s="1">
        <v>0</v>
      </c>
      <c r="N630" s="1" t="s">
        <v>53</v>
      </c>
      <c r="O630" s="1" t="s">
        <v>503</v>
      </c>
      <c r="P630" s="1" t="s">
        <v>488</v>
      </c>
      <c r="Q630" s="1">
        <v>43670</v>
      </c>
      <c r="R630" s="14">
        <v>5</v>
      </c>
      <c r="S630" s="1" t="s">
        <v>22</v>
      </c>
      <c r="T630" s="1" t="s">
        <v>22</v>
      </c>
      <c r="U630" s="1" t="s">
        <v>22</v>
      </c>
    </row>
    <row r="631" spans="1:21" x14ac:dyDescent="0.25">
      <c r="A631" s="1" t="s">
        <v>1618</v>
      </c>
      <c r="B631" s="2" t="s">
        <v>1087</v>
      </c>
      <c r="C631" s="1" t="s">
        <v>186</v>
      </c>
      <c r="D631" s="1" t="s">
        <v>503</v>
      </c>
      <c r="E631" s="1" t="s">
        <v>37</v>
      </c>
      <c r="F631" s="1">
        <v>43672</v>
      </c>
      <c r="G631" s="14" t="s">
        <v>28</v>
      </c>
      <c r="H631" t="s">
        <v>1552</v>
      </c>
      <c r="I631" s="2" t="s">
        <v>1654</v>
      </c>
      <c r="J631" s="2">
        <v>0.125</v>
      </c>
      <c r="K631" s="1">
        <v>0.06944444444444443</v>
      </c>
      <c r="L631" s="1">
        <v>0.19444444444444442</v>
      </c>
      <c r="M631" s="1">
        <v>0</v>
      </c>
      <c r="N631" s="1" t="s">
        <v>53</v>
      </c>
      <c r="O631" s="1" t="s">
        <v>483</v>
      </c>
      <c r="P631" s="1" t="s">
        <v>488</v>
      </c>
      <c r="Q631" s="1">
        <v>43672</v>
      </c>
      <c r="R631" s="14">
        <v>5</v>
      </c>
      <c r="S631" s="1" t="s">
        <v>22</v>
      </c>
      <c r="T631" s="1" t="s">
        <v>22</v>
      </c>
      <c r="U631" s="1" t="s">
        <v>22</v>
      </c>
    </row>
    <row r="632" spans="1:21" x14ac:dyDescent="0.25">
      <c r="A632" s="1" t="s">
        <v>1655</v>
      </c>
      <c r="B632" s="2" t="s">
        <v>118</v>
      </c>
      <c r="C632" s="1" t="s">
        <v>25</v>
      </c>
      <c r="D632" s="1" t="s">
        <v>1656</v>
      </c>
      <c r="E632" s="1" t="s">
        <v>37</v>
      </c>
      <c r="F632" s="1">
        <v>43684</v>
      </c>
      <c r="G632" s="14" t="s">
        <v>28</v>
      </c>
      <c r="H632" t="s">
        <v>1657</v>
      </c>
      <c r="I632" s="2" t="s">
        <v>1658</v>
      </c>
      <c r="J632" s="2">
        <v>0.020833333333333332</v>
      </c>
      <c r="K632" s="1">
        <v>0</v>
      </c>
      <c r="L632" s="1">
        <v>0.020833333333333332</v>
      </c>
      <c r="M632" s="1">
        <v>0</v>
      </c>
      <c r="N632" s="1" t="s">
        <v>574</v>
      </c>
      <c r="O632" s="1" t="s">
        <v>483</v>
      </c>
      <c r="P632" s="1" t="s">
        <v>488</v>
      </c>
      <c r="Q632" s="1">
        <v>43684</v>
      </c>
      <c r="R632" s="14">
        <v>3</v>
      </c>
      <c r="S632" s="1" t="s">
        <v>22</v>
      </c>
      <c r="T632" s="1" t="s">
        <v>22</v>
      </c>
      <c r="U632" s="1" t="s">
        <v>22</v>
      </c>
    </row>
    <row r="633" spans="1:21" x14ac:dyDescent="0.25">
      <c r="A633" s="1" t="s">
        <v>1655</v>
      </c>
      <c r="B633" s="2" t="s">
        <v>1038</v>
      </c>
      <c r="C633" s="1" t="s">
        <v>1659</v>
      </c>
      <c r="D633" s="1" t="s">
        <v>1660</v>
      </c>
      <c r="E633" s="1" t="s">
        <v>37</v>
      </c>
      <c r="F633" s="1">
        <v>43684</v>
      </c>
      <c r="G633" s="14" t="s">
        <v>28</v>
      </c>
      <c r="H633" t="s">
        <v>1661</v>
      </c>
      <c r="I633" s="2" t="s">
        <v>1662</v>
      </c>
      <c r="J633" s="2">
        <v>0.020833333333333332</v>
      </c>
      <c r="K633" s="1">
        <v>0</v>
      </c>
      <c r="L633" s="1">
        <v>0.020833333333333332</v>
      </c>
      <c r="M633" s="1">
        <v>0</v>
      </c>
      <c r="N633" s="1" t="s">
        <v>53</v>
      </c>
      <c r="O633" s="1" t="s">
        <v>503</v>
      </c>
      <c r="P633" s="1" t="s">
        <v>488</v>
      </c>
      <c r="Q633" s="1">
        <v>43684</v>
      </c>
      <c r="R633" s="14">
        <v>5</v>
      </c>
      <c r="S633" s="1" t="s">
        <v>22</v>
      </c>
      <c r="T633" s="1" t="s">
        <v>22</v>
      </c>
      <c r="U633" s="1" t="s">
        <v>22</v>
      </c>
    </row>
    <row r="634" spans="1:21" x14ac:dyDescent="0.25">
      <c r="A634" s="1" t="s">
        <v>1655</v>
      </c>
      <c r="B634" s="2" t="s">
        <v>1047</v>
      </c>
      <c r="C634" s="1" t="s">
        <v>989</v>
      </c>
      <c r="D634" s="1" t="s">
        <v>1663</v>
      </c>
      <c r="E634" s="1" t="s">
        <v>37</v>
      </c>
      <c r="F634" s="1">
        <v>43684</v>
      </c>
      <c r="G634" s="14" t="s">
        <v>28</v>
      </c>
      <c r="H634" t="s">
        <v>1664</v>
      </c>
      <c r="I634" s="2" t="s">
        <v>1665</v>
      </c>
      <c r="J634" s="2">
        <v>0.020833333333333332</v>
      </c>
      <c r="K634" s="1">
        <v>0</v>
      </c>
      <c r="L634" s="1">
        <v>0.020833333333333332</v>
      </c>
      <c r="M634" s="1">
        <v>0</v>
      </c>
      <c r="N634" s="1" t="s">
        <v>53</v>
      </c>
      <c r="O634" s="1" t="s">
        <v>503</v>
      </c>
      <c r="P634" s="1" t="s">
        <v>484</v>
      </c>
      <c r="Q634" s="1">
        <v>43684</v>
      </c>
      <c r="R634" s="14">
        <v>5</v>
      </c>
      <c r="S634" s="1" t="s">
        <v>22</v>
      </c>
      <c r="T634" s="1" t="s">
        <v>22</v>
      </c>
      <c r="U634" s="1" t="s">
        <v>22</v>
      </c>
    </row>
    <row r="635" spans="1:21" x14ac:dyDescent="0.25">
      <c r="A635" s="1" t="s">
        <v>1655</v>
      </c>
      <c r="B635" s="2" t="s">
        <v>796</v>
      </c>
      <c r="C635" s="1" t="s">
        <v>285</v>
      </c>
      <c r="D635" s="1" t="s">
        <v>1666</v>
      </c>
      <c r="E635" s="1" t="s">
        <v>27</v>
      </c>
      <c r="F635" s="1">
        <v>43697</v>
      </c>
      <c r="G635" s="14" t="s">
        <v>28</v>
      </c>
      <c r="H635" t="s">
        <v>1667</v>
      </c>
      <c r="I635" s="2" t="s">
        <v>1668</v>
      </c>
      <c r="J635" s="2">
        <v>0.020833333333333332</v>
      </c>
      <c r="K635" s="1">
        <v>0.013888888888888888</v>
      </c>
      <c r="L635" s="1">
        <v>0.034722222222222224</v>
      </c>
      <c r="M635" s="1">
        <v>0</v>
      </c>
      <c r="N635" s="1" t="s">
        <v>53</v>
      </c>
      <c r="O635" s="1" t="s">
        <v>503</v>
      </c>
      <c r="P635" s="1" t="s">
        <v>484</v>
      </c>
      <c r="Q635" s="1">
        <v>43697</v>
      </c>
      <c r="R635" s="14">
        <v>5</v>
      </c>
      <c r="S635" s="1" t="s">
        <v>22</v>
      </c>
      <c r="T635" s="1" t="s">
        <v>22</v>
      </c>
      <c r="U635" s="1" t="s">
        <v>22</v>
      </c>
    </row>
    <row r="636" spans="1:21" x14ac:dyDescent="0.25">
      <c r="A636" s="1" t="s">
        <v>1655</v>
      </c>
      <c r="B636" s="2" t="s">
        <v>286</v>
      </c>
      <c r="C636" s="1" t="s">
        <v>974</v>
      </c>
      <c r="D636" s="1" t="s">
        <v>1669</v>
      </c>
      <c r="E636" s="1" t="s">
        <v>27</v>
      </c>
      <c r="F636" s="1">
        <v>43697</v>
      </c>
      <c r="G636" s="14" t="s">
        <v>28</v>
      </c>
      <c r="H636" t="s">
        <v>1670</v>
      </c>
      <c r="I636" s="2" t="s">
        <v>1671</v>
      </c>
      <c r="J636" s="2">
        <v>0.020833333333333332</v>
      </c>
      <c r="K636" s="1">
        <v>0.03125</v>
      </c>
      <c r="L636" s="1">
        <v>0.05208333333333333</v>
      </c>
      <c r="M636" s="1">
        <v>0</v>
      </c>
      <c r="N636" s="1" t="s">
        <v>53</v>
      </c>
      <c r="O636" s="1" t="s">
        <v>483</v>
      </c>
      <c r="P636" s="1" t="s">
        <v>484</v>
      </c>
      <c r="Q636" s="1">
        <v>43697</v>
      </c>
      <c r="R636" s="14">
        <v>5</v>
      </c>
      <c r="S636" s="1" t="s">
        <v>22</v>
      </c>
      <c r="T636" s="1" t="s">
        <v>22</v>
      </c>
      <c r="U636" s="1" t="s">
        <v>22</v>
      </c>
    </row>
    <row r="637" spans="1:21" x14ac:dyDescent="0.25">
      <c r="A637" s="1" t="s">
        <v>1655</v>
      </c>
      <c r="B637" s="2" t="s">
        <v>35</v>
      </c>
      <c r="C637" s="1" t="s">
        <v>25</v>
      </c>
      <c r="D637" s="1" t="s">
        <v>1672</v>
      </c>
      <c r="E637" s="1" t="s">
        <v>27</v>
      </c>
      <c r="F637" s="1">
        <v>43697</v>
      </c>
      <c r="G637" s="14" t="s">
        <v>28</v>
      </c>
      <c r="H637" t="s">
        <v>1673</v>
      </c>
      <c r="I637" s="2" t="s">
        <v>1673</v>
      </c>
      <c r="J637" s="2">
        <v>0.10416666666666667</v>
      </c>
      <c r="K637" s="1">
        <v>0.07291666666666667</v>
      </c>
      <c r="L637" s="1">
        <v>0.17708333333333334</v>
      </c>
      <c r="M637" s="1">
        <v>0</v>
      </c>
      <c r="N637" s="1" t="s">
        <v>53</v>
      </c>
      <c r="O637" s="1" t="s">
        <v>483</v>
      </c>
      <c r="P637" s="1" t="s">
        <v>488</v>
      </c>
      <c r="Q637" s="1">
        <v>43697</v>
      </c>
      <c r="R637" s="14">
        <v>5</v>
      </c>
      <c r="S637" s="1" t="s">
        <v>22</v>
      </c>
      <c r="T637" s="1" t="s">
        <v>22</v>
      </c>
      <c r="U637" s="1" t="s">
        <v>22</v>
      </c>
    </row>
    <row r="638" spans="1:21" x14ac:dyDescent="0.25">
      <c r="A638" s="1" t="s">
        <v>1655</v>
      </c>
      <c r="B638" s="2" t="s">
        <v>1212</v>
      </c>
      <c r="C638" s="1" t="s">
        <v>25</v>
      </c>
      <c r="D638" s="1" t="s">
        <v>1674</v>
      </c>
      <c r="E638" s="1" t="s">
        <v>27</v>
      </c>
      <c r="F638" s="1">
        <v>43697</v>
      </c>
      <c r="G638" s="14" t="s">
        <v>28</v>
      </c>
      <c r="H638" t="s">
        <v>1675</v>
      </c>
      <c r="I638" s="2" t="s">
        <v>1676</v>
      </c>
      <c r="J638" s="2">
        <v>0.020833333333333332</v>
      </c>
      <c r="K638" s="1">
        <v>0</v>
      </c>
      <c r="L638" s="1">
        <v>0.020833333333333332</v>
      </c>
      <c r="M638" s="1">
        <v>0</v>
      </c>
      <c r="N638" s="1" t="s">
        <v>53</v>
      </c>
      <c r="O638" s="1" t="s">
        <v>483</v>
      </c>
      <c r="P638" s="1" t="s">
        <v>484</v>
      </c>
      <c r="Q638" s="1">
        <v>43697</v>
      </c>
      <c r="R638" s="14">
        <v>5</v>
      </c>
      <c r="S638" s="1" t="s">
        <v>22</v>
      </c>
      <c r="T638" s="1" t="s">
        <v>22</v>
      </c>
      <c r="U638" s="1" t="s">
        <v>22</v>
      </c>
    </row>
    <row r="639" spans="1:21" x14ac:dyDescent="0.25">
      <c r="A639" s="1" t="s">
        <v>1655</v>
      </c>
      <c r="B639" s="2" t="s">
        <v>99</v>
      </c>
      <c r="C639" s="1" t="s">
        <v>25</v>
      </c>
      <c r="D639" s="1" t="s">
        <v>1677</v>
      </c>
      <c r="E639" s="1" t="s">
        <v>37</v>
      </c>
      <c r="F639" s="1">
        <v>43699</v>
      </c>
      <c r="G639" s="14" t="s">
        <v>28</v>
      </c>
      <c r="H639" t="s">
        <v>1608</v>
      </c>
      <c r="I639" s="2" t="s">
        <v>1678</v>
      </c>
      <c r="J639" s="2">
        <v>0.0625</v>
      </c>
      <c r="K639" s="1">
        <v>0.0625</v>
      </c>
      <c r="L639" s="1">
        <v>0.125</v>
      </c>
      <c r="M639" s="1" t="s">
        <v>22</v>
      </c>
      <c r="N639" s="1" t="s">
        <v>574</v>
      </c>
      <c r="O639" s="1" t="s">
        <v>483</v>
      </c>
      <c r="P639" s="1" t="s">
        <v>484</v>
      </c>
      <c r="Q639" s="1">
        <v>43699</v>
      </c>
      <c r="R639" s="14">
        <v>5</v>
      </c>
      <c r="S639" s="1" t="s">
        <v>22</v>
      </c>
      <c r="T639" s="1" t="s">
        <v>22</v>
      </c>
      <c r="U639" s="1" t="s">
        <v>22</v>
      </c>
    </row>
    <row r="640" spans="1:21" x14ac:dyDescent="0.25">
      <c r="A640" s="1" t="s">
        <v>1655</v>
      </c>
      <c r="B640" s="2" t="s">
        <v>641</v>
      </c>
      <c r="C640" s="1" t="s">
        <v>261</v>
      </c>
      <c r="D640" s="1" t="s">
        <v>1679</v>
      </c>
      <c r="E640" s="1" t="s">
        <v>37</v>
      </c>
      <c r="F640" s="1">
        <v>43700</v>
      </c>
      <c r="G640" s="14" t="s">
        <v>255</v>
      </c>
      <c r="H640" t="s">
        <v>1680</v>
      </c>
      <c r="I640" s="2" t="s">
        <v>1681</v>
      </c>
      <c r="J640" s="2">
        <v>0.020833333333333332</v>
      </c>
      <c r="K640" s="1">
        <v>0.020833333333333332</v>
      </c>
      <c r="L640" s="1">
        <v>0.041666666666666664</v>
      </c>
      <c r="M640" s="1">
        <v>0</v>
      </c>
      <c r="N640" s="1" t="s">
        <v>31</v>
      </c>
      <c r="O640" s="1" t="s">
        <v>483</v>
      </c>
      <c r="P640" s="1" t="s">
        <v>488</v>
      </c>
      <c r="Q640" s="1">
        <v>43700</v>
      </c>
      <c r="R640" s="14">
        <v>4</v>
      </c>
      <c r="S640" s="1" t="s">
        <v>22</v>
      </c>
      <c r="T640" s="1" t="s">
        <v>22</v>
      </c>
      <c r="U640" s="1" t="s">
        <v>22</v>
      </c>
    </row>
    <row r="641" spans="1:21" x14ac:dyDescent="0.25">
      <c r="A641" s="1" t="s">
        <v>1655</v>
      </c>
      <c r="B641" s="2" t="s">
        <v>1682</v>
      </c>
      <c r="C641" s="1" t="s">
        <v>123</v>
      </c>
      <c r="D641" s="1" t="s">
        <v>1683</v>
      </c>
      <c r="E641" s="1" t="s">
        <v>27</v>
      </c>
      <c r="F641" s="1">
        <v>43701</v>
      </c>
      <c r="G641" s="14" t="s">
        <v>255</v>
      </c>
      <c r="H641" t="s">
        <v>1684</v>
      </c>
      <c r="I641" s="2" t="s">
        <v>1685</v>
      </c>
      <c r="J641" s="2">
        <v>0.010416666666666666</v>
      </c>
      <c r="K641" s="1">
        <v>0.03125</v>
      </c>
      <c r="L641" s="1">
        <v>0.041666666666666664</v>
      </c>
      <c r="M641" s="1">
        <v>0</v>
      </c>
      <c r="N641" s="1" t="s">
        <v>31</v>
      </c>
      <c r="O641" s="1" t="s">
        <v>1686</v>
      </c>
      <c r="P641" s="1" t="s">
        <v>488</v>
      </c>
      <c r="Q641" s="1">
        <v>43703</v>
      </c>
      <c r="R641" s="14">
        <v>5</v>
      </c>
      <c r="S641" s="1" t="s">
        <v>22</v>
      </c>
      <c r="T641" s="1" t="s">
        <v>22</v>
      </c>
      <c r="U641" s="1" t="s">
        <v>22</v>
      </c>
    </row>
    <row r="642" spans="1:21" x14ac:dyDescent="0.25">
      <c r="A642" s="1" t="s">
        <v>1687</v>
      </c>
      <c r="B642" s="2" t="s">
        <v>113</v>
      </c>
      <c r="C642" s="1" t="s">
        <v>25</v>
      </c>
      <c r="D642" s="1" t="s">
        <v>1688</v>
      </c>
      <c r="E642" s="1" t="s">
        <v>27</v>
      </c>
      <c r="F642" s="1">
        <v>43711</v>
      </c>
      <c r="G642" s="14" t="s">
        <v>50</v>
      </c>
      <c r="H642" t="s">
        <v>1689</v>
      </c>
      <c r="I642" s="2" t="s">
        <v>1690</v>
      </c>
      <c r="J642" s="2">
        <v>0.13541666666666666</v>
      </c>
      <c r="K642" s="1">
        <v>0.1875</v>
      </c>
      <c r="L642" s="1">
        <v>0.32291666666666663</v>
      </c>
      <c r="M642" s="1">
        <v>0</v>
      </c>
      <c r="N642" s="1" t="s">
        <v>53</v>
      </c>
      <c r="O642" s="1" t="s">
        <v>1686</v>
      </c>
      <c r="P642" s="1" t="s">
        <v>488</v>
      </c>
      <c r="Q642" s="1">
        <v>43712</v>
      </c>
      <c r="R642" s="14">
        <v>5</v>
      </c>
      <c r="S642" s="1" t="s">
        <v>22</v>
      </c>
      <c r="T642" s="1" t="s">
        <v>22</v>
      </c>
      <c r="U642" s="1" t="s">
        <v>22</v>
      </c>
    </row>
    <row r="643" spans="1:21" x14ac:dyDescent="0.25">
      <c r="A643" s="1" t="s">
        <v>1687</v>
      </c>
      <c r="B643" s="2" t="s">
        <v>35</v>
      </c>
      <c r="C643" s="1" t="s">
        <v>25</v>
      </c>
      <c r="D643" s="1" t="s">
        <v>1691</v>
      </c>
      <c r="E643" s="1" t="s">
        <v>27</v>
      </c>
      <c r="F643" s="1">
        <v>43712</v>
      </c>
      <c r="G643" s="14" t="s">
        <v>28</v>
      </c>
      <c r="H643" t="s">
        <v>1692</v>
      </c>
      <c r="I643" s="2" t="s">
        <v>1693</v>
      </c>
      <c r="J643" s="2">
        <v>0.020833333333333332</v>
      </c>
      <c r="K643" s="1">
        <v>0.03125</v>
      </c>
      <c r="L643" s="1">
        <v>0.05208333333333333</v>
      </c>
      <c r="M643" s="1">
        <v>0</v>
      </c>
      <c r="N643" s="1" t="s">
        <v>22</v>
      </c>
      <c r="O643" s="1" t="s">
        <v>1686</v>
      </c>
      <c r="P643" s="1" t="s">
        <v>1694</v>
      </c>
      <c r="Q643" s="1">
        <v>43712</v>
      </c>
      <c r="R643" s="14" t="s">
        <v>22</v>
      </c>
      <c r="S643" s="1" t="s">
        <v>22</v>
      </c>
      <c r="T643" s="1" t="s">
        <v>22</v>
      </c>
      <c r="U643" s="1" t="s">
        <v>22</v>
      </c>
    </row>
    <row r="644" spans="1:21" x14ac:dyDescent="0.25">
      <c r="A644" s="1" t="s">
        <v>1687</v>
      </c>
      <c r="B644" s="2" t="s">
        <v>35</v>
      </c>
      <c r="C644" s="1" t="s">
        <v>25</v>
      </c>
      <c r="D644" s="1" t="s">
        <v>1695</v>
      </c>
      <c r="E644" s="1" t="s">
        <v>37</v>
      </c>
      <c r="F644" s="1">
        <v>43712</v>
      </c>
      <c r="G644" s="14" t="s">
        <v>96</v>
      </c>
      <c r="H644" t="s">
        <v>1696</v>
      </c>
      <c r="I644" s="2" t="s">
        <v>1697</v>
      </c>
      <c r="J644" s="2">
        <v>0.020833333333333332</v>
      </c>
      <c r="K644" s="1">
        <v>0.020833333333333332</v>
      </c>
      <c r="L644" s="1">
        <v>0.041666666666666664</v>
      </c>
      <c r="M644" s="1" t="s">
        <v>22</v>
      </c>
      <c r="N644" s="1" t="s">
        <v>31</v>
      </c>
      <c r="O644" s="1" t="s">
        <v>483</v>
      </c>
      <c r="P644" s="1" t="s">
        <v>488</v>
      </c>
      <c r="Q644" s="1">
        <v>43712</v>
      </c>
      <c r="R644" s="14">
        <v>5</v>
      </c>
      <c r="S644" s="1" t="s">
        <v>22</v>
      </c>
      <c r="T644" s="1" t="s">
        <v>22</v>
      </c>
      <c r="U644" s="1" t="s">
        <v>22</v>
      </c>
    </row>
    <row r="645" spans="1:21" x14ac:dyDescent="0.25">
      <c r="A645" s="1" t="s">
        <v>1687</v>
      </c>
      <c r="B645" s="2" t="s">
        <v>286</v>
      </c>
      <c r="C645" s="1" t="s">
        <v>974</v>
      </c>
      <c r="D645" s="1" t="s">
        <v>1698</v>
      </c>
      <c r="E645" s="1" t="s">
        <v>37</v>
      </c>
      <c r="F645" s="1">
        <v>43712</v>
      </c>
      <c r="G645" s="14" t="s">
        <v>38</v>
      </c>
      <c r="H645" t="s">
        <v>1699</v>
      </c>
      <c r="I645" s="2" t="s">
        <v>1699</v>
      </c>
      <c r="J645" s="2">
        <v>0.0625</v>
      </c>
      <c r="K645" s="1">
        <v>0.041666666666666664</v>
      </c>
      <c r="L645" s="1">
        <v>0.10416666666666666</v>
      </c>
      <c r="M645" s="1">
        <v>0</v>
      </c>
      <c r="N645" s="1" t="s">
        <v>574</v>
      </c>
      <c r="O645" s="1" t="s">
        <v>483</v>
      </c>
      <c r="P645" s="1" t="s">
        <v>488</v>
      </c>
      <c r="Q645" s="1">
        <v>43712</v>
      </c>
      <c r="R645" s="14">
        <v>5</v>
      </c>
      <c r="S645" s="1" t="s">
        <v>22</v>
      </c>
      <c r="T645" s="1" t="s">
        <v>22</v>
      </c>
      <c r="U645" s="1" t="s">
        <v>22</v>
      </c>
    </row>
    <row r="646" spans="1:21" x14ac:dyDescent="0.25">
      <c r="A646" s="1" t="s">
        <v>1687</v>
      </c>
      <c r="B646" s="2" t="s">
        <v>35</v>
      </c>
      <c r="C646" s="1" t="s">
        <v>25</v>
      </c>
      <c r="D646" s="1" t="s">
        <v>1695</v>
      </c>
      <c r="E646" s="1" t="s">
        <v>37</v>
      </c>
      <c r="F646" s="1">
        <v>43713</v>
      </c>
      <c r="G646" s="14" t="s">
        <v>96</v>
      </c>
      <c r="H646" t="s">
        <v>1700</v>
      </c>
      <c r="I646" s="2" t="s">
        <v>1701</v>
      </c>
      <c r="J646" s="2">
        <v>0.027777777777777776</v>
      </c>
      <c r="K646" s="1">
        <v>0</v>
      </c>
      <c r="L646" s="1">
        <v>0.027777777777777776</v>
      </c>
      <c r="M646" s="1" t="s">
        <v>22</v>
      </c>
      <c r="N646" s="1" t="s">
        <v>31</v>
      </c>
      <c r="O646" s="1" t="s">
        <v>503</v>
      </c>
      <c r="P646" s="1" t="s">
        <v>488</v>
      </c>
      <c r="Q646" s="1">
        <v>43712</v>
      </c>
      <c r="R646" s="14">
        <v>5</v>
      </c>
      <c r="S646" s="1" t="s">
        <v>22</v>
      </c>
      <c r="T646" s="1" t="s">
        <v>22</v>
      </c>
      <c r="U646" s="1" t="s">
        <v>22</v>
      </c>
    </row>
    <row r="647" spans="1:21" x14ac:dyDescent="0.25">
      <c r="A647" s="1" t="s">
        <v>1687</v>
      </c>
      <c r="B647" s="2" t="s">
        <v>1002</v>
      </c>
      <c r="C647" s="1" t="s">
        <v>1003</v>
      </c>
      <c r="D647" s="1" t="s">
        <v>1702</v>
      </c>
      <c r="E647" s="1" t="s">
        <v>37</v>
      </c>
      <c r="F647" s="1">
        <v>43714</v>
      </c>
      <c r="G647" s="14" t="s">
        <v>28</v>
      </c>
      <c r="H647" t="s">
        <v>1703</v>
      </c>
      <c r="I647" s="2" t="s">
        <v>1704</v>
      </c>
      <c r="J647" s="2">
        <v>0.22916666666666666</v>
      </c>
      <c r="K647" s="1">
        <v>0.22916666666666666</v>
      </c>
      <c r="L647" s="1">
        <v>0.4583333333333333</v>
      </c>
      <c r="M647" s="1">
        <v>0</v>
      </c>
      <c r="N647" s="1" t="s">
        <v>53</v>
      </c>
      <c r="O647" s="1" t="s">
        <v>347</v>
      </c>
      <c r="P647" s="1" t="s">
        <v>484</v>
      </c>
      <c r="Q647" s="1" t="s">
        <v>22</v>
      </c>
      <c r="R647" s="1">
        <v>3</v>
      </c>
      <c r="S647" s="1" t="s">
        <v>1705</v>
      </c>
      <c r="T647" s="1" t="s">
        <v>22</v>
      </c>
      <c r="U647" s="1" t="s">
        <v>22</v>
      </c>
    </row>
    <row r="648" spans="1:21" x14ac:dyDescent="0.25">
      <c r="A648" s="1" t="s">
        <v>1687</v>
      </c>
      <c r="B648" s="2" t="s">
        <v>146</v>
      </c>
      <c r="C648" s="1" t="s">
        <v>186</v>
      </c>
      <c r="D648" s="1" t="s">
        <v>1706</v>
      </c>
      <c r="E648" s="1" t="s">
        <v>37</v>
      </c>
      <c r="F648" s="1">
        <v>43721</v>
      </c>
      <c r="G648" s="14" t="s">
        <v>28</v>
      </c>
      <c r="H648" t="s">
        <v>1707</v>
      </c>
      <c r="I648" s="2" t="s">
        <v>1707</v>
      </c>
      <c r="J648" s="2">
        <v>0.013888888888888888</v>
      </c>
      <c r="K648" s="1">
        <v>30</v>
      </c>
      <c r="L648" s="1">
        <v>30.01388888888889</v>
      </c>
      <c r="M648" s="1">
        <v>0</v>
      </c>
      <c r="N648" s="1" t="s">
        <v>53</v>
      </c>
      <c r="O648" s="1" t="s">
        <v>483</v>
      </c>
      <c r="P648" s="1" t="s">
        <v>488</v>
      </c>
      <c r="Q648" s="1">
        <v>43721</v>
      </c>
      <c r="R648" s="14">
        <v>5</v>
      </c>
      <c r="S648" s="1" t="s">
        <v>22</v>
      </c>
      <c r="T648" s="1" t="s">
        <v>22</v>
      </c>
      <c r="U648" s="1" t="s">
        <v>22</v>
      </c>
    </row>
    <row r="649" spans="1:21" x14ac:dyDescent="0.25">
      <c r="A649" s="1" t="s">
        <v>1687</v>
      </c>
      <c r="B649" s="2" t="s">
        <v>99</v>
      </c>
      <c r="C649" s="1" t="s">
        <v>25</v>
      </c>
      <c r="D649" s="1" t="s">
        <v>1708</v>
      </c>
      <c r="E649" s="1" t="s">
        <v>37</v>
      </c>
      <c r="F649" s="1">
        <v>43721</v>
      </c>
      <c r="G649" s="14" t="s">
        <v>28</v>
      </c>
      <c r="H649" t="s">
        <v>1709</v>
      </c>
      <c r="I649" s="2" t="s">
        <v>1710</v>
      </c>
      <c r="J649" s="2">
        <v>0.0625</v>
      </c>
      <c r="K649" s="1">
        <v>0.0625</v>
      </c>
      <c r="L649" s="1">
        <v>0.125</v>
      </c>
      <c r="M649" s="1" t="s">
        <v>22</v>
      </c>
      <c r="N649" s="1" t="s">
        <v>574</v>
      </c>
      <c r="O649" s="1" t="s">
        <v>483</v>
      </c>
      <c r="P649" s="1" t="s">
        <v>484</v>
      </c>
      <c r="Q649" s="1">
        <v>43721</v>
      </c>
      <c r="R649" s="14" t="s">
        <v>22</v>
      </c>
      <c r="S649" s="1" t="s">
        <v>22</v>
      </c>
      <c r="T649" s="1" t="s">
        <v>22</v>
      </c>
      <c r="U649" s="1" t="s">
        <v>22</v>
      </c>
    </row>
    <row r="650" spans="1:21" x14ac:dyDescent="0.25">
      <c r="A650" s="1" t="s">
        <v>1687</v>
      </c>
      <c r="B650" s="2" t="s">
        <v>35</v>
      </c>
      <c r="C650" s="1" t="s">
        <v>25</v>
      </c>
      <c r="D650" s="1" t="s">
        <v>1711</v>
      </c>
      <c r="E650" s="1" t="s">
        <v>27</v>
      </c>
      <c r="F650" s="1">
        <v>43727</v>
      </c>
      <c r="G650" s="14" t="s">
        <v>28</v>
      </c>
      <c r="H650" t="s">
        <v>1712</v>
      </c>
      <c r="I650" s="2" t="s">
        <v>1712</v>
      </c>
      <c r="J650" s="2">
        <v>0.10416666666666667</v>
      </c>
      <c r="K650" s="1">
        <v>0.0625</v>
      </c>
      <c r="L650" s="1">
        <v>0.16666666666666669</v>
      </c>
      <c r="M650" s="1" t="s">
        <v>22</v>
      </c>
      <c r="N650" s="1" t="s">
        <v>574</v>
      </c>
      <c r="O650" s="1" t="s">
        <v>483</v>
      </c>
      <c r="P650" s="1" t="s">
        <v>488</v>
      </c>
      <c r="Q650" s="1">
        <v>43727</v>
      </c>
      <c r="R650" s="14">
        <v>5</v>
      </c>
      <c r="S650" s="1" t="s">
        <v>22</v>
      </c>
      <c r="T650" s="1" t="s">
        <v>22</v>
      </c>
      <c r="U650" s="1" t="s">
        <v>22</v>
      </c>
    </row>
    <row r="651" spans="1:21" x14ac:dyDescent="0.25">
      <c r="A651" s="1" t="s">
        <v>1687</v>
      </c>
      <c r="B651" s="2" t="s">
        <v>1451</v>
      </c>
      <c r="C651" s="1" t="s">
        <v>287</v>
      </c>
      <c r="D651" s="1" t="s">
        <v>1713</v>
      </c>
      <c r="E651" s="1" t="s">
        <v>27</v>
      </c>
      <c r="F651" s="1">
        <v>43728</v>
      </c>
      <c r="G651" s="14" t="s">
        <v>28</v>
      </c>
      <c r="H651" t="s">
        <v>1714</v>
      </c>
      <c r="I651" s="2" t="s">
        <v>1715</v>
      </c>
      <c r="J651" s="2">
        <v>0.041666666666666664</v>
      </c>
      <c r="K651" s="1">
        <v>0</v>
      </c>
      <c r="L651" s="1">
        <v>0.041666666666666664</v>
      </c>
      <c r="M651" s="1" t="s">
        <v>22</v>
      </c>
      <c r="N651" s="1" t="s">
        <v>53</v>
      </c>
      <c r="O651" s="1" t="s">
        <v>483</v>
      </c>
      <c r="P651" s="1" t="s">
        <v>484</v>
      </c>
      <c r="Q651" s="1">
        <v>43728</v>
      </c>
      <c r="R651" s="14">
        <v>5</v>
      </c>
      <c r="S651" s="1" t="s">
        <v>22</v>
      </c>
      <c r="T651" s="1" t="s">
        <v>22</v>
      </c>
      <c r="U651" s="1" t="s">
        <v>22</v>
      </c>
    </row>
    <row r="652" spans="1:21" x14ac:dyDescent="0.25">
      <c r="A652" s="1" t="s">
        <v>1687</v>
      </c>
      <c r="B652" s="2" t="s">
        <v>199</v>
      </c>
      <c r="C652" s="1" t="s">
        <v>541</v>
      </c>
      <c r="D652" s="1" t="s">
        <v>1716</v>
      </c>
      <c r="E652" s="1" t="s">
        <v>27</v>
      </c>
      <c r="F652" s="1">
        <v>43733</v>
      </c>
      <c r="G652" s="14" t="s">
        <v>28</v>
      </c>
      <c r="H652" t="s">
        <v>1717</v>
      </c>
      <c r="I652" s="2" t="s">
        <v>1718</v>
      </c>
      <c r="J652" s="2">
        <v>0.020833333333333332</v>
      </c>
      <c r="K652" s="1">
        <v>0</v>
      </c>
      <c r="L652" s="1">
        <v>0.020833333333333332</v>
      </c>
      <c r="M652" s="1" t="s">
        <v>22</v>
      </c>
      <c r="N652" s="1" t="s">
        <v>53</v>
      </c>
      <c r="O652" s="1" t="s">
        <v>483</v>
      </c>
      <c r="P652" s="1" t="s">
        <v>484</v>
      </c>
      <c r="Q652" s="1">
        <v>43733</v>
      </c>
      <c r="R652" s="14">
        <v>5</v>
      </c>
      <c r="S652" s="1" t="s">
        <v>22</v>
      </c>
      <c r="T652" s="1" t="s">
        <v>22</v>
      </c>
      <c r="U652" s="1" t="s">
        <v>22</v>
      </c>
    </row>
    <row r="653" spans="1:21" x14ac:dyDescent="0.25">
      <c r="A653" s="1" t="s">
        <v>1687</v>
      </c>
      <c r="B653" s="2" t="s">
        <v>1451</v>
      </c>
      <c r="C653" s="1" t="s">
        <v>287</v>
      </c>
      <c r="D653" s="1" t="s">
        <v>1719</v>
      </c>
      <c r="E653" s="1" t="s">
        <v>27</v>
      </c>
      <c r="F653" s="1">
        <v>43735</v>
      </c>
      <c r="G653" s="14" t="s">
        <v>670</v>
      </c>
      <c r="H653" t="s">
        <v>1720</v>
      </c>
      <c r="I653" s="2" t="s">
        <v>1721</v>
      </c>
      <c r="J653" s="2">
        <v>0.08333333333333333</v>
      </c>
      <c r="K653" s="1">
        <v>0.041666666666666664</v>
      </c>
      <c r="L653" s="1">
        <v>0.125</v>
      </c>
      <c r="M653" s="1">
        <v>0</v>
      </c>
      <c r="N653" s="1" t="s">
        <v>574</v>
      </c>
      <c r="O653" s="1" t="s">
        <v>1722</v>
      </c>
      <c r="P653" s="1" t="s">
        <v>484</v>
      </c>
      <c r="Q653" s="1">
        <v>43735</v>
      </c>
      <c r="R653" s="14">
        <v>5</v>
      </c>
      <c r="S653" s="1" t="s">
        <v>22</v>
      </c>
      <c r="T653" s="1" t="s">
        <v>22</v>
      </c>
      <c r="U653" s="1" t="s">
        <v>22</v>
      </c>
    </row>
    <row r="654" spans="1:21" x14ac:dyDescent="0.25">
      <c r="A654" s="1" t="s">
        <v>1723</v>
      </c>
      <c r="B654" s="2" t="s">
        <v>796</v>
      </c>
      <c r="C654" s="1" t="s">
        <v>285</v>
      </c>
      <c r="D654" s="1" t="s">
        <v>1724</v>
      </c>
      <c r="E654" s="1" t="s">
        <v>27</v>
      </c>
      <c r="F654" s="1">
        <v>43741</v>
      </c>
      <c r="G654" s="14" t="s">
        <v>28</v>
      </c>
      <c r="H654" t="s">
        <v>1725</v>
      </c>
      <c r="I654" s="2" t="s">
        <v>1726</v>
      </c>
      <c r="J654" s="2">
        <v>0.020833333333333332</v>
      </c>
      <c r="K654" s="1">
        <v>0.020833333333333332</v>
      </c>
      <c r="L654" s="1">
        <v>0.041666666666666664</v>
      </c>
      <c r="M654" s="1" t="s">
        <v>22</v>
      </c>
      <c r="N654" s="1" t="s">
        <v>31</v>
      </c>
      <c r="O654" s="1" t="s">
        <v>483</v>
      </c>
      <c r="P654" s="1" t="s">
        <v>484</v>
      </c>
      <c r="Q654" s="1">
        <v>43741</v>
      </c>
      <c r="R654" s="14">
        <v>5</v>
      </c>
      <c r="S654" s="1" t="s">
        <v>22</v>
      </c>
      <c r="T654" s="1" t="s">
        <v>22</v>
      </c>
      <c r="U654" s="1" t="s">
        <v>22</v>
      </c>
    </row>
    <row r="655" spans="1:21" x14ac:dyDescent="0.25">
      <c r="A655" s="1" t="s">
        <v>1723</v>
      </c>
      <c r="B655" s="2" t="s">
        <v>35</v>
      </c>
      <c r="C655" s="1" t="s">
        <v>25</v>
      </c>
      <c r="D655" s="1" t="s">
        <v>1727</v>
      </c>
      <c r="E655" s="1" t="s">
        <v>37</v>
      </c>
      <c r="F655" s="1">
        <v>43741</v>
      </c>
      <c r="G655" s="14" t="s">
        <v>28</v>
      </c>
      <c r="H655" t="s">
        <v>1728</v>
      </c>
      <c r="I655" s="2" t="s">
        <v>1728</v>
      </c>
      <c r="J655" s="2">
        <v>0.14583333333333334</v>
      </c>
      <c r="K655" s="1">
        <v>0.08333333333333333</v>
      </c>
      <c r="L655" s="1">
        <v>0.22916666666666669</v>
      </c>
      <c r="M655" s="1" t="s">
        <v>22</v>
      </c>
      <c r="N655" s="1" t="s">
        <v>574</v>
      </c>
      <c r="O655" s="1" t="s">
        <v>483</v>
      </c>
      <c r="P655" s="1" t="s">
        <v>488</v>
      </c>
      <c r="Q655" s="1">
        <v>43741</v>
      </c>
      <c r="R655" s="14">
        <v>4</v>
      </c>
      <c r="S655" s="1" t="s">
        <v>22</v>
      </c>
      <c r="T655" s="1" t="s">
        <v>22</v>
      </c>
      <c r="U655" s="1" t="s">
        <v>22</v>
      </c>
    </row>
    <row r="656" spans="1:21" x14ac:dyDescent="0.25">
      <c r="A656" s="1" t="s">
        <v>1723</v>
      </c>
      <c r="B656" s="2" t="s">
        <v>1040</v>
      </c>
      <c r="C656" s="1" t="s">
        <v>1631</v>
      </c>
      <c r="D656" s="1" t="s">
        <v>1729</v>
      </c>
      <c r="E656" s="1" t="s">
        <v>37</v>
      </c>
      <c r="F656" s="1">
        <v>43741</v>
      </c>
      <c r="G656" s="14" t="s">
        <v>50</v>
      </c>
      <c r="H656" t="s">
        <v>1730</v>
      </c>
      <c r="I656" s="2" t="s">
        <v>1731</v>
      </c>
      <c r="J656" s="2">
        <v>0.041666666666666664</v>
      </c>
      <c r="K656" s="1">
        <v>0.041666666666666664</v>
      </c>
      <c r="L656" s="1">
        <v>0.08333333333333333</v>
      </c>
      <c r="M656" s="1" t="s">
        <v>22</v>
      </c>
      <c r="N656" s="1" t="s">
        <v>347</v>
      </c>
      <c r="O656" s="1" t="s">
        <v>483</v>
      </c>
      <c r="P656" s="1" t="s">
        <v>484</v>
      </c>
      <c r="Q656" s="1">
        <v>43741</v>
      </c>
      <c r="R656" s="14">
        <v>4</v>
      </c>
      <c r="S656" s="1" t="s">
        <v>22</v>
      </c>
      <c r="T656" s="1" t="s">
        <v>22</v>
      </c>
      <c r="U656" s="1" t="s">
        <v>22</v>
      </c>
    </row>
    <row r="657" spans="1:21" x14ac:dyDescent="0.25">
      <c r="A657" s="1" t="s">
        <v>1723</v>
      </c>
      <c r="B657" s="2" t="s">
        <v>118</v>
      </c>
      <c r="C657" s="1" t="s">
        <v>25</v>
      </c>
      <c r="D657" s="1" t="s">
        <v>1732</v>
      </c>
      <c r="E657" s="1" t="s">
        <v>27</v>
      </c>
      <c r="F657" s="1">
        <v>43742</v>
      </c>
      <c r="G657" s="14" t="s">
        <v>953</v>
      </c>
      <c r="H657" t="s">
        <v>1733</v>
      </c>
      <c r="I657" s="2" t="s">
        <v>1734</v>
      </c>
      <c r="J657" s="2">
        <v>0.041666666666666664</v>
      </c>
      <c r="K657" s="1">
        <v>0</v>
      </c>
      <c r="L657" s="1">
        <v>0.041666666666666664</v>
      </c>
      <c r="M657" s="1" t="s">
        <v>22</v>
      </c>
      <c r="N657" s="1" t="s">
        <v>574</v>
      </c>
      <c r="O657" s="1" t="s">
        <v>483</v>
      </c>
      <c r="P657" s="1" t="s">
        <v>484</v>
      </c>
      <c r="Q657" s="1">
        <v>43742</v>
      </c>
      <c r="R657" s="14">
        <v>5</v>
      </c>
      <c r="S657" s="1" t="s">
        <v>22</v>
      </c>
      <c r="T657" s="1" t="s">
        <v>22</v>
      </c>
      <c r="U657" s="1" t="s">
        <v>22</v>
      </c>
    </row>
    <row r="658" spans="1:21" x14ac:dyDescent="0.25">
      <c r="A658" s="1" t="s">
        <v>1723</v>
      </c>
      <c r="B658" s="2" t="s">
        <v>99</v>
      </c>
      <c r="C658" s="1" t="s">
        <v>25</v>
      </c>
      <c r="D658" s="1" t="s">
        <v>1735</v>
      </c>
      <c r="E658" s="1" t="s">
        <v>27</v>
      </c>
      <c r="F658" s="1">
        <v>43743</v>
      </c>
      <c r="G658" s="14" t="s">
        <v>38</v>
      </c>
      <c r="H658" t="s">
        <v>1736</v>
      </c>
      <c r="I658" s="2" t="s">
        <v>1736</v>
      </c>
      <c r="J658" s="2">
        <v>0.020833333333333332</v>
      </c>
      <c r="K658" s="1">
        <v>0.017361111111111112</v>
      </c>
      <c r="L658" s="1">
        <v>0.03819444444444445</v>
      </c>
      <c r="M658" s="1" t="s">
        <v>22</v>
      </c>
      <c r="N658" s="1" t="s">
        <v>31</v>
      </c>
      <c r="O658" s="1" t="s">
        <v>483</v>
      </c>
      <c r="P658" s="1" t="s">
        <v>484</v>
      </c>
      <c r="Q658" s="1">
        <v>43743</v>
      </c>
      <c r="R658" s="14">
        <v>5</v>
      </c>
      <c r="S658" s="1" t="s">
        <v>22</v>
      </c>
      <c r="T658" s="1" t="s">
        <v>22</v>
      </c>
      <c r="U658" s="1" t="s">
        <v>22</v>
      </c>
    </row>
    <row r="659" spans="1:21" x14ac:dyDescent="0.25">
      <c r="A659" s="1" t="s">
        <v>1723</v>
      </c>
      <c r="B659" s="2" t="s">
        <v>978</v>
      </c>
      <c r="C659" s="1" t="s">
        <v>44</v>
      </c>
      <c r="D659" s="1" t="s">
        <v>1737</v>
      </c>
      <c r="E659" s="1" t="s">
        <v>27</v>
      </c>
      <c r="F659" s="1">
        <v>43748</v>
      </c>
      <c r="G659" s="14" t="s">
        <v>38</v>
      </c>
      <c r="H659" t="s">
        <v>1738</v>
      </c>
      <c r="I659" s="2" t="s">
        <v>1739</v>
      </c>
      <c r="J659" s="2">
        <v>0.020833333333333332</v>
      </c>
      <c r="K659" s="1">
        <v>0</v>
      </c>
      <c r="L659" s="1">
        <v>0.020833333333333332</v>
      </c>
      <c r="M659" s="1" t="s">
        <v>22</v>
      </c>
      <c r="N659" s="1" t="s">
        <v>31</v>
      </c>
      <c r="O659" s="1" t="s">
        <v>483</v>
      </c>
      <c r="P659" s="1" t="s">
        <v>484</v>
      </c>
      <c r="Q659" s="1">
        <v>43748</v>
      </c>
      <c r="R659" s="14">
        <v>5</v>
      </c>
      <c r="S659" s="1" t="s">
        <v>22</v>
      </c>
      <c r="T659" s="1" t="s">
        <v>22</v>
      </c>
      <c r="U659" s="1" t="s">
        <v>22</v>
      </c>
    </row>
    <row r="660" spans="1:21" x14ac:dyDescent="0.25">
      <c r="A660" s="1" t="s">
        <v>1723</v>
      </c>
      <c r="B660" s="2" t="s">
        <v>1038</v>
      </c>
      <c r="C660" s="1" t="s">
        <v>1659</v>
      </c>
      <c r="D660" s="1" t="s">
        <v>1740</v>
      </c>
      <c r="E660" s="1" t="s">
        <v>37</v>
      </c>
      <c r="F660" s="1">
        <v>43753</v>
      </c>
      <c r="G660" s="14" t="s">
        <v>28</v>
      </c>
      <c r="H660" t="s">
        <v>1741</v>
      </c>
      <c r="I660" s="2" t="s">
        <v>1742</v>
      </c>
      <c r="J660" s="2">
        <v>0.027777777777777776</v>
      </c>
      <c r="K660" s="1">
        <v>0</v>
      </c>
      <c r="L660" s="1">
        <v>0.027777777777777776</v>
      </c>
      <c r="M660" s="1" t="s">
        <v>22</v>
      </c>
      <c r="N660" s="1" t="s">
        <v>574</v>
      </c>
      <c r="O660" s="1" t="s">
        <v>483</v>
      </c>
      <c r="P660" s="1" t="s">
        <v>488</v>
      </c>
      <c r="Q660" s="1">
        <v>43753</v>
      </c>
      <c r="R660" s="14">
        <v>5</v>
      </c>
      <c r="S660" s="1" t="s">
        <v>22</v>
      </c>
      <c r="T660" s="1" t="s">
        <v>22</v>
      </c>
      <c r="U660" s="1" t="s">
        <v>22</v>
      </c>
    </row>
    <row r="661" spans="1:21" x14ac:dyDescent="0.25">
      <c r="A661" s="1" t="s">
        <v>1723</v>
      </c>
      <c r="B661" s="2" t="s">
        <v>1047</v>
      </c>
      <c r="C661" s="1" t="s">
        <v>989</v>
      </c>
      <c r="D661" s="1" t="s">
        <v>1743</v>
      </c>
      <c r="E661" s="1" t="s">
        <v>27</v>
      </c>
      <c r="F661" s="1">
        <v>43761</v>
      </c>
      <c r="G661" s="14" t="s">
        <v>28</v>
      </c>
      <c r="H661" t="s">
        <v>1744</v>
      </c>
      <c r="I661" s="2" t="s">
        <v>1745</v>
      </c>
      <c r="J661" s="2">
        <v>0.020833333333333332</v>
      </c>
      <c r="K661" s="1">
        <v>0</v>
      </c>
      <c r="L661" s="1">
        <v>0.020833333333333332</v>
      </c>
      <c r="M661" s="1" t="s">
        <v>22</v>
      </c>
      <c r="N661" s="1" t="s">
        <v>53</v>
      </c>
      <c r="O661" s="1" t="s">
        <v>483</v>
      </c>
      <c r="P661" s="1" t="s">
        <v>484</v>
      </c>
      <c r="Q661" s="1">
        <v>43761</v>
      </c>
      <c r="R661" s="14">
        <v>5</v>
      </c>
      <c r="S661" s="1" t="s">
        <v>22</v>
      </c>
      <c r="T661" s="1" t="s">
        <v>22</v>
      </c>
      <c r="U661" s="1" t="s">
        <v>22</v>
      </c>
    </row>
    <row r="662" spans="1:21" x14ac:dyDescent="0.25">
      <c r="A662" s="1" t="s">
        <v>1723</v>
      </c>
      <c r="B662" s="2" t="s">
        <v>1451</v>
      </c>
      <c r="C662" s="1" t="s">
        <v>287</v>
      </c>
      <c r="D662" s="1" t="s">
        <v>1746</v>
      </c>
      <c r="E662" s="1" t="s">
        <v>37</v>
      </c>
      <c r="F662" s="1">
        <v>43761</v>
      </c>
      <c r="G662" s="14" t="s">
        <v>953</v>
      </c>
      <c r="H662" t="s">
        <v>1747</v>
      </c>
      <c r="I662" s="2" t="s">
        <v>1748</v>
      </c>
      <c r="J662" s="2">
        <v>0.010416666666666666</v>
      </c>
      <c r="K662" s="1">
        <v>0</v>
      </c>
      <c r="L662" s="1">
        <v>0.010416666666666666</v>
      </c>
      <c r="M662" s="1" t="s">
        <v>22</v>
      </c>
      <c r="N662" s="1" t="s">
        <v>31</v>
      </c>
      <c r="O662" s="1" t="s">
        <v>483</v>
      </c>
      <c r="P662" s="1" t="s">
        <v>484</v>
      </c>
      <c r="Q662" s="1">
        <v>43761</v>
      </c>
      <c r="R662" s="14">
        <v>5</v>
      </c>
      <c r="S662" s="1" t="s">
        <v>22</v>
      </c>
      <c r="T662" s="1" t="s">
        <v>22</v>
      </c>
      <c r="U662" s="1" t="s">
        <v>22</v>
      </c>
    </row>
    <row r="663" spans="1:21" x14ac:dyDescent="0.25">
      <c r="A663" s="1" t="s">
        <v>1723</v>
      </c>
      <c r="B663" s="2" t="s">
        <v>286</v>
      </c>
      <c r="C663" s="1" t="s">
        <v>974</v>
      </c>
      <c r="D663" s="1" t="s">
        <v>1749</v>
      </c>
      <c r="E663" s="1" t="s">
        <v>37</v>
      </c>
      <c r="F663" s="1">
        <v>43762</v>
      </c>
      <c r="G663" s="14" t="s">
        <v>953</v>
      </c>
      <c r="H663" t="s">
        <v>1750</v>
      </c>
      <c r="I663" s="2" t="s">
        <v>1751</v>
      </c>
      <c r="J663" s="2">
        <v>0.041666666666666664</v>
      </c>
      <c r="K663" s="1">
        <v>0</v>
      </c>
      <c r="L663" s="1">
        <v>0.041666666666666664</v>
      </c>
      <c r="M663" s="1" t="s">
        <v>22</v>
      </c>
      <c r="N663" s="1" t="s">
        <v>31</v>
      </c>
      <c r="O663" s="1" t="s">
        <v>483</v>
      </c>
      <c r="P663" s="1" t="s">
        <v>484</v>
      </c>
      <c r="Q663" s="1">
        <v>43762</v>
      </c>
      <c r="R663" s="14">
        <v>5</v>
      </c>
      <c r="S663" s="1" t="s">
        <v>22</v>
      </c>
      <c r="T663" s="1" t="s">
        <v>22</v>
      </c>
      <c r="U663" s="1" t="s">
        <v>22</v>
      </c>
    </row>
    <row r="664" spans="1:21" x14ac:dyDescent="0.25">
      <c r="A664" s="1" t="s">
        <v>1723</v>
      </c>
      <c r="B664" s="2" t="s">
        <v>1235</v>
      </c>
      <c r="C664" s="1" t="s">
        <v>1236</v>
      </c>
      <c r="D664" s="1" t="s">
        <v>1752</v>
      </c>
      <c r="E664" s="1" t="s">
        <v>27</v>
      </c>
      <c r="F664" s="1">
        <v>43768</v>
      </c>
      <c r="G664" s="14" t="s">
        <v>50</v>
      </c>
      <c r="H664" t="s">
        <v>1753</v>
      </c>
      <c r="I664" s="2" t="s">
        <v>1754</v>
      </c>
      <c r="J664" s="2">
        <v>0.03125</v>
      </c>
      <c r="K664" s="1">
        <v>0.041666666666666664</v>
      </c>
      <c r="L664" s="1">
        <v>0.07291666666666666</v>
      </c>
      <c r="M664" s="1" t="s">
        <v>22</v>
      </c>
      <c r="N664" s="1" t="s">
        <v>31</v>
      </c>
      <c r="O664" s="1" t="s">
        <v>483</v>
      </c>
      <c r="P664" s="1" t="s">
        <v>484</v>
      </c>
      <c r="Q664" s="1">
        <v>43768</v>
      </c>
      <c r="R664" s="14">
        <v>5</v>
      </c>
      <c r="S664" s="1" t="s">
        <v>22</v>
      </c>
      <c r="T664" s="1" t="s">
        <v>22</v>
      </c>
      <c r="U664" s="1" t="s">
        <v>22</v>
      </c>
    </row>
    <row r="665" spans="1:21" x14ac:dyDescent="0.25">
      <c r="A665" s="1" t="s">
        <v>1723</v>
      </c>
      <c r="B665" s="2" t="s">
        <v>616</v>
      </c>
      <c r="C665" s="1" t="s">
        <v>617</v>
      </c>
      <c r="D665" s="1" t="s">
        <v>1755</v>
      </c>
      <c r="E665" s="1" t="s">
        <v>37</v>
      </c>
      <c r="F665" s="1">
        <v>43768</v>
      </c>
      <c r="G665" s="14" t="s">
        <v>38</v>
      </c>
      <c r="H665" t="s">
        <v>1756</v>
      </c>
      <c r="I665" s="2" t="s">
        <v>1757</v>
      </c>
      <c r="J665" s="2">
        <v>0.020833333333333332</v>
      </c>
      <c r="K665" s="1">
        <v>0</v>
      </c>
      <c r="L665" s="1">
        <v>0.020833333333333332</v>
      </c>
      <c r="M665" s="1">
        <v>0</v>
      </c>
      <c r="N665" s="1" t="s">
        <v>574</v>
      </c>
      <c r="O665" s="1" t="s">
        <v>483</v>
      </c>
      <c r="P665" s="1" t="s">
        <v>484</v>
      </c>
      <c r="Q665" s="1">
        <v>43768</v>
      </c>
      <c r="R665" s="14">
        <v>5</v>
      </c>
      <c r="S665" s="1" t="s">
        <v>22</v>
      </c>
      <c r="T665" s="1" t="s">
        <v>22</v>
      </c>
      <c r="U665" s="1" t="s">
        <v>22</v>
      </c>
    </row>
    <row r="666" spans="1:21" x14ac:dyDescent="0.25">
      <c r="A666" s="1" t="s">
        <v>1723</v>
      </c>
      <c r="B666" s="2" t="s">
        <v>99</v>
      </c>
      <c r="C666" s="1" t="s">
        <v>25</v>
      </c>
      <c r="D666" s="1" t="s">
        <v>1758</v>
      </c>
      <c r="E666" s="1" t="s">
        <v>37</v>
      </c>
      <c r="F666" s="1">
        <v>43769</v>
      </c>
      <c r="G666" s="14" t="s">
        <v>28</v>
      </c>
      <c r="H666" t="s">
        <v>1759</v>
      </c>
      <c r="I666" s="2" t="s">
        <v>1760</v>
      </c>
      <c r="J666" s="2">
        <v>0.03125</v>
      </c>
      <c r="K666" s="1" t="s">
        <v>22</v>
      </c>
      <c r="L666" s="1">
        <v>0.03125</v>
      </c>
      <c r="M666" s="1">
        <v>0</v>
      </c>
      <c r="N666" s="1" t="s">
        <v>574</v>
      </c>
      <c r="O666" s="1" t="s">
        <v>1722</v>
      </c>
      <c r="P666" s="1" t="s">
        <v>484</v>
      </c>
      <c r="Q666" s="1">
        <v>43769</v>
      </c>
      <c r="R666" s="14">
        <v>5</v>
      </c>
      <c r="S666" s="1" t="s">
        <v>22</v>
      </c>
      <c r="T666" s="1" t="s">
        <v>22</v>
      </c>
      <c r="U666" s="1" t="s">
        <v>22</v>
      </c>
    </row>
    <row r="667" spans="1:21" x14ac:dyDescent="0.25">
      <c r="A667" s="1" t="s">
        <v>1723</v>
      </c>
      <c r="B667" s="2" t="s">
        <v>99</v>
      </c>
      <c r="C667" s="1" t="s">
        <v>25</v>
      </c>
      <c r="D667" s="1" t="s">
        <v>1761</v>
      </c>
      <c r="E667" s="1" t="s">
        <v>37</v>
      </c>
      <c r="F667" s="1">
        <v>43769</v>
      </c>
      <c r="G667" s="14" t="s">
        <v>28</v>
      </c>
      <c r="H667" t="s">
        <v>1762</v>
      </c>
      <c r="I667" s="2" t="s">
        <v>1763</v>
      </c>
      <c r="J667" s="2">
        <v>0.05902777777777778</v>
      </c>
      <c r="K667" s="1" t="s">
        <v>22</v>
      </c>
      <c r="L667" s="1">
        <v>0.05902777777777778</v>
      </c>
      <c r="M667" s="1">
        <v>0</v>
      </c>
      <c r="N667" s="1" t="s">
        <v>31</v>
      </c>
      <c r="O667" s="1" t="s">
        <v>483</v>
      </c>
      <c r="P667" s="1" t="s">
        <v>484</v>
      </c>
      <c r="Q667" s="1">
        <v>43769</v>
      </c>
      <c r="R667" s="14">
        <v>5</v>
      </c>
      <c r="S667" s="1" t="s">
        <v>22</v>
      </c>
      <c r="T667" s="1" t="s">
        <v>22</v>
      </c>
      <c r="U667" s="1" t="s">
        <v>22</v>
      </c>
    </row>
    <row r="668" spans="1:21" x14ac:dyDescent="0.25">
      <c r="A668" s="1" t="s">
        <v>1764</v>
      </c>
      <c r="B668" s="2" t="s">
        <v>286</v>
      </c>
      <c r="C668" s="1" t="s">
        <v>974</v>
      </c>
      <c r="D668" s="1" t="s">
        <v>1749</v>
      </c>
      <c r="E668" s="1" t="s">
        <v>37</v>
      </c>
      <c r="F668" s="1">
        <v>43774</v>
      </c>
      <c r="G668" s="14" t="s">
        <v>953</v>
      </c>
      <c r="H668" t="s">
        <v>1765</v>
      </c>
      <c r="I668" s="2" t="s">
        <v>1766</v>
      </c>
      <c r="J668" s="2">
        <v>0.010416666666666666</v>
      </c>
      <c r="K668" s="1" t="s">
        <v>22</v>
      </c>
      <c r="L668" s="1">
        <v>0.010416666666666666</v>
      </c>
      <c r="M668" s="1">
        <v>0</v>
      </c>
      <c r="N668" s="1" t="s">
        <v>31</v>
      </c>
      <c r="O668" s="1" t="s">
        <v>483</v>
      </c>
      <c r="P668" s="1" t="s">
        <v>484</v>
      </c>
      <c r="Q668" s="1">
        <v>43774</v>
      </c>
      <c r="R668" s="14">
        <v>5</v>
      </c>
      <c r="S668" s="1" t="s">
        <v>22</v>
      </c>
      <c r="T668" s="1" t="s">
        <v>22</v>
      </c>
      <c r="U668" s="1" t="s">
        <v>22</v>
      </c>
    </row>
    <row r="669" spans="1:21" x14ac:dyDescent="0.25">
      <c r="A669" s="1" t="s">
        <v>1764</v>
      </c>
      <c r="B669" s="2" t="s">
        <v>35</v>
      </c>
      <c r="C669" s="1" t="s">
        <v>25</v>
      </c>
      <c r="D669" s="1" t="s">
        <v>1767</v>
      </c>
      <c r="E669" s="1" t="s">
        <v>27</v>
      </c>
      <c r="F669" s="1">
        <v>43774</v>
      </c>
      <c r="G669" s="14" t="s">
        <v>28</v>
      </c>
      <c r="H669" t="s">
        <v>1768</v>
      </c>
      <c r="I669" s="2" t="s">
        <v>1769</v>
      </c>
      <c r="J669" s="2">
        <v>0.020833333333333332</v>
      </c>
      <c r="K669" s="1">
        <v>0.034722222222222224</v>
      </c>
      <c r="L669" s="1">
        <v>0.05555555555555555</v>
      </c>
      <c r="M669" s="1">
        <v>0</v>
      </c>
      <c r="N669" s="1" t="s">
        <v>574</v>
      </c>
      <c r="O669" s="1" t="s">
        <v>483</v>
      </c>
      <c r="P669" s="1" t="s">
        <v>488</v>
      </c>
      <c r="Q669" s="1">
        <v>43774</v>
      </c>
      <c r="R669" s="14">
        <v>5</v>
      </c>
      <c r="S669" s="1" t="s">
        <v>22</v>
      </c>
      <c r="T669" s="1" t="s">
        <v>22</v>
      </c>
      <c r="U669" s="1" t="s">
        <v>22</v>
      </c>
    </row>
    <row r="670" spans="1:21" x14ac:dyDescent="0.25">
      <c r="A670" s="1" t="s">
        <v>1764</v>
      </c>
      <c r="B670" s="2" t="s">
        <v>1603</v>
      </c>
      <c r="C670" s="1" t="s">
        <v>186</v>
      </c>
      <c r="D670" s="1" t="s">
        <v>1770</v>
      </c>
      <c r="E670" s="1" t="s">
        <v>27</v>
      </c>
      <c r="F670" s="1">
        <v>43774</v>
      </c>
      <c r="G670" s="14" t="s">
        <v>28</v>
      </c>
      <c r="H670" t="s">
        <v>1771</v>
      </c>
      <c r="I670" s="2" t="s">
        <v>1772</v>
      </c>
      <c r="J670" s="2">
        <v>0.04791666666666666</v>
      </c>
      <c r="K670" s="1">
        <v>0.052083333333333336</v>
      </c>
      <c r="L670" s="1">
        <v>0.1</v>
      </c>
      <c r="M670" s="1">
        <v>0</v>
      </c>
      <c r="N670" s="1" t="s">
        <v>53</v>
      </c>
      <c r="O670" s="1" t="s">
        <v>483</v>
      </c>
      <c r="P670" s="1" t="s">
        <v>488</v>
      </c>
      <c r="Q670" s="1">
        <v>43774</v>
      </c>
      <c r="R670" s="14">
        <v>5</v>
      </c>
      <c r="S670" s="1" t="s">
        <v>22</v>
      </c>
      <c r="T670" s="1" t="s">
        <v>22</v>
      </c>
      <c r="U670" s="1" t="s">
        <v>22</v>
      </c>
    </row>
    <row r="671" spans="1:21" x14ac:dyDescent="0.25">
      <c r="A671" s="1" t="s">
        <v>1764</v>
      </c>
      <c r="B671" s="2" t="s">
        <v>1012</v>
      </c>
      <c r="C671" s="1" t="s">
        <v>25</v>
      </c>
      <c r="D671" s="1" t="s">
        <v>1773</v>
      </c>
      <c r="E671" s="1" t="s">
        <v>27</v>
      </c>
      <c r="F671" s="1">
        <v>43775</v>
      </c>
      <c r="G671" s="14" t="s">
        <v>38</v>
      </c>
      <c r="H671" t="s">
        <v>1774</v>
      </c>
      <c r="I671" s="2" t="s">
        <v>1775</v>
      </c>
      <c r="J671" s="2">
        <v>0.020833333333333332</v>
      </c>
      <c r="K671" s="1">
        <v>0</v>
      </c>
      <c r="L671" s="1">
        <v>0.020833333333333332</v>
      </c>
      <c r="M671" s="1">
        <v>0</v>
      </c>
      <c r="N671" s="1" t="s">
        <v>31</v>
      </c>
      <c r="O671" s="1" t="s">
        <v>483</v>
      </c>
      <c r="P671" s="1" t="s">
        <v>488</v>
      </c>
      <c r="Q671" s="1">
        <v>43775</v>
      </c>
      <c r="R671" s="14">
        <v>5</v>
      </c>
      <c r="S671" s="1" t="s">
        <v>22</v>
      </c>
      <c r="T671" s="1" t="s">
        <v>22</v>
      </c>
      <c r="U671" s="1" t="s">
        <v>22</v>
      </c>
    </row>
    <row r="672" spans="1:21" x14ac:dyDescent="0.25">
      <c r="A672" s="1" t="s">
        <v>1764</v>
      </c>
      <c r="B672" s="2" t="s">
        <v>1451</v>
      </c>
      <c r="C672" s="1" t="s">
        <v>25</v>
      </c>
      <c r="D672" s="1" t="s">
        <v>1776</v>
      </c>
      <c r="E672" s="1" t="s">
        <v>27</v>
      </c>
      <c r="F672" s="1">
        <v>43780</v>
      </c>
      <c r="G672" s="14" t="s">
        <v>28</v>
      </c>
      <c r="H672" t="s">
        <v>1777</v>
      </c>
      <c r="I672" s="2" t="s">
        <v>1778</v>
      </c>
      <c r="J672" s="2">
        <v>0.041666666666666664</v>
      </c>
      <c r="K672" s="1">
        <v>0</v>
      </c>
      <c r="L672" s="1">
        <v>0.041666666666666664</v>
      </c>
      <c r="M672" s="1">
        <v>0</v>
      </c>
      <c r="N672" s="1" t="s">
        <v>31</v>
      </c>
      <c r="O672" s="1" t="s">
        <v>483</v>
      </c>
      <c r="P672" s="1" t="s">
        <v>484</v>
      </c>
      <c r="Q672" s="1">
        <v>43780</v>
      </c>
      <c r="R672" s="14">
        <v>5</v>
      </c>
      <c r="S672" s="1" t="s">
        <v>22</v>
      </c>
      <c r="T672" s="1" t="s">
        <v>22</v>
      </c>
      <c r="U672" s="1" t="s">
        <v>22</v>
      </c>
    </row>
    <row r="673" spans="1:21" x14ac:dyDescent="0.25">
      <c r="A673" s="1" t="s">
        <v>1764</v>
      </c>
      <c r="B673" s="2" t="s">
        <v>489</v>
      </c>
      <c r="C673" s="1" t="s">
        <v>1258</v>
      </c>
      <c r="D673" s="1" t="s">
        <v>1779</v>
      </c>
      <c r="E673" s="1" t="s">
        <v>27</v>
      </c>
      <c r="F673" s="1">
        <v>43782</v>
      </c>
      <c r="G673" s="14" t="s">
        <v>953</v>
      </c>
      <c r="H673" t="s">
        <v>1780</v>
      </c>
      <c r="I673" s="2" t="s">
        <v>1781</v>
      </c>
      <c r="J673" s="2">
        <v>0.020833333333333332</v>
      </c>
      <c r="K673" s="1">
        <v>0</v>
      </c>
      <c r="L673" s="1">
        <v>0.020833333333333332</v>
      </c>
      <c r="M673" s="1">
        <v>0</v>
      </c>
      <c r="N673" s="1" t="s">
        <v>31</v>
      </c>
      <c r="O673" s="1" t="s">
        <v>483</v>
      </c>
      <c r="P673" s="1" t="s">
        <v>42</v>
      </c>
      <c r="Q673" s="1">
        <v>43782</v>
      </c>
      <c r="R673" s="14">
        <v>5</v>
      </c>
      <c r="S673" s="1" t="s">
        <v>22</v>
      </c>
      <c r="T673" s="1" t="s">
        <v>22</v>
      </c>
      <c r="U673" s="1" t="s">
        <v>22</v>
      </c>
    </row>
    <row r="674" spans="1:21" x14ac:dyDescent="0.25">
      <c r="A674" s="1" t="s">
        <v>1764</v>
      </c>
      <c r="B674" s="2" t="s">
        <v>616</v>
      </c>
      <c r="C674" s="1" t="s">
        <v>617</v>
      </c>
      <c r="D674" s="1" t="s">
        <v>1782</v>
      </c>
      <c r="E674" s="1" t="s">
        <v>27</v>
      </c>
      <c r="F674" s="1">
        <v>43782</v>
      </c>
      <c r="G674" s="14" t="s">
        <v>28</v>
      </c>
      <c r="H674" t="s">
        <v>1783</v>
      </c>
      <c r="I674" s="2" t="s">
        <v>1784</v>
      </c>
      <c r="J674" s="2">
        <v>0.03125</v>
      </c>
      <c r="K674" s="1">
        <v>0</v>
      </c>
      <c r="L674" s="1">
        <v>0.03125</v>
      </c>
      <c r="M674" s="1">
        <v>0</v>
      </c>
      <c r="N674" s="1" t="s">
        <v>31</v>
      </c>
      <c r="O674" s="1" t="s">
        <v>483</v>
      </c>
      <c r="P674" s="1" t="s">
        <v>484</v>
      </c>
      <c r="Q674" s="1">
        <v>43782</v>
      </c>
      <c r="R674" s="14">
        <v>5</v>
      </c>
      <c r="S674" s="1" t="s">
        <v>22</v>
      </c>
      <c r="T674" s="1" t="s">
        <v>22</v>
      </c>
      <c r="U674" s="1" t="s">
        <v>22</v>
      </c>
    </row>
    <row r="675" spans="1:21" x14ac:dyDescent="0.25">
      <c r="A675" s="1" t="s">
        <v>1764</v>
      </c>
      <c r="B675" s="2" t="s">
        <v>35</v>
      </c>
      <c r="C675" s="1" t="s">
        <v>25</v>
      </c>
      <c r="D675" s="1" t="s">
        <v>1785</v>
      </c>
      <c r="E675" s="1" t="s">
        <v>27</v>
      </c>
      <c r="F675" s="1">
        <v>43782</v>
      </c>
      <c r="G675" s="14" t="s">
        <v>28</v>
      </c>
      <c r="H675" t="s">
        <v>1786</v>
      </c>
      <c r="I675" s="2" t="s">
        <v>1787</v>
      </c>
      <c r="J675" s="2">
        <v>0.041666666666666664</v>
      </c>
      <c r="K675" s="1">
        <v>0.03125</v>
      </c>
      <c r="L675" s="1">
        <v>0.07291666666666666</v>
      </c>
      <c r="M675" s="1">
        <v>0</v>
      </c>
      <c r="N675" s="1" t="s">
        <v>53</v>
      </c>
      <c r="O675" s="1" t="s">
        <v>483</v>
      </c>
      <c r="P675" s="1" t="s">
        <v>488</v>
      </c>
      <c r="Q675" s="1">
        <v>43782</v>
      </c>
      <c r="R675" s="14">
        <v>5</v>
      </c>
      <c r="S675" s="1" t="s">
        <v>22</v>
      </c>
      <c r="T675" s="1" t="s">
        <v>22</v>
      </c>
      <c r="U675" s="1" t="s">
        <v>22</v>
      </c>
    </row>
    <row r="676" spans="1:21" x14ac:dyDescent="0.25">
      <c r="A676" s="1" t="s">
        <v>1764</v>
      </c>
      <c r="B676" s="2" t="s">
        <v>1212</v>
      </c>
      <c r="C676" s="1" t="s">
        <v>25</v>
      </c>
      <c r="D676" s="1" t="s">
        <v>1788</v>
      </c>
      <c r="E676" s="1" t="s">
        <v>37</v>
      </c>
      <c r="F676" s="1">
        <v>43784</v>
      </c>
      <c r="G676" s="14" t="s">
        <v>28</v>
      </c>
      <c r="H676" t="s">
        <v>1789</v>
      </c>
      <c r="I676" s="2" t="s">
        <v>1790</v>
      </c>
      <c r="J676" s="2">
        <v>0.020833333333333332</v>
      </c>
      <c r="K676" s="1">
        <v>0</v>
      </c>
      <c r="L676" s="1">
        <v>0.020833333333333332</v>
      </c>
      <c r="M676" s="1">
        <v>0</v>
      </c>
      <c r="N676" s="1" t="s">
        <v>347</v>
      </c>
      <c r="O676" s="1" t="s">
        <v>483</v>
      </c>
      <c r="P676" s="1" t="s">
        <v>488</v>
      </c>
      <c r="Q676" s="1">
        <v>43784</v>
      </c>
      <c r="R676" s="14">
        <v>5</v>
      </c>
      <c r="S676" s="1" t="s">
        <v>22</v>
      </c>
      <c r="T676" s="1" t="s">
        <v>22</v>
      </c>
      <c r="U676" s="1" t="s">
        <v>22</v>
      </c>
    </row>
    <row r="677" spans="1:21" x14ac:dyDescent="0.25">
      <c r="A677" s="1" t="s">
        <v>1764</v>
      </c>
      <c r="B677" s="2" t="s">
        <v>35</v>
      </c>
      <c r="C677" s="1" t="s">
        <v>25</v>
      </c>
      <c r="D677" s="1" t="s">
        <v>1791</v>
      </c>
      <c r="E677" s="1" t="s">
        <v>27</v>
      </c>
      <c r="F677" s="1">
        <v>43788</v>
      </c>
      <c r="G677" s="14" t="s">
        <v>38</v>
      </c>
      <c r="H677" t="s">
        <v>1792</v>
      </c>
      <c r="I677" s="2" t="s">
        <v>1793</v>
      </c>
      <c r="J677" s="2">
        <v>0.03125</v>
      </c>
      <c r="K677" s="1">
        <v>0</v>
      </c>
      <c r="L677" s="1">
        <v>0.03125</v>
      </c>
      <c r="M677" s="1" t="s">
        <v>22</v>
      </c>
      <c r="N677" s="1" t="s">
        <v>574</v>
      </c>
      <c r="O677" s="1" t="s">
        <v>483</v>
      </c>
      <c r="P677" s="1" t="s">
        <v>488</v>
      </c>
      <c r="Q677" s="1">
        <v>43788</v>
      </c>
      <c r="R677" s="14">
        <v>5</v>
      </c>
      <c r="S677" s="1" t="s">
        <v>22</v>
      </c>
      <c r="T677" s="1" t="s">
        <v>22</v>
      </c>
      <c r="U677" s="1" t="s">
        <v>22</v>
      </c>
    </row>
    <row r="678" spans="1:21" x14ac:dyDescent="0.25">
      <c r="A678" s="1" t="s">
        <v>1764</v>
      </c>
      <c r="B678" s="2" t="s">
        <v>1603</v>
      </c>
      <c r="C678" s="1" t="s">
        <v>186</v>
      </c>
      <c r="D678" s="1" t="s">
        <v>1794</v>
      </c>
      <c r="E678" s="1" t="s">
        <v>27</v>
      </c>
      <c r="F678" s="1">
        <v>43790</v>
      </c>
      <c r="G678" s="14" t="s">
        <v>28</v>
      </c>
      <c r="H678" t="s">
        <v>1795</v>
      </c>
      <c r="I678" s="2" t="s">
        <v>1796</v>
      </c>
      <c r="J678" s="2">
        <v>0.010416666666666666</v>
      </c>
      <c r="K678" s="1">
        <v>0</v>
      </c>
      <c r="L678" s="1">
        <v>0.010416666666666666</v>
      </c>
      <c r="M678" s="1" t="s">
        <v>22</v>
      </c>
      <c r="N678" s="1" t="s">
        <v>53</v>
      </c>
      <c r="O678" s="1" t="s">
        <v>22</v>
      </c>
      <c r="P678" s="1" t="s">
        <v>488</v>
      </c>
      <c r="Q678" s="1">
        <v>43790</v>
      </c>
      <c r="R678" s="14">
        <v>5</v>
      </c>
      <c r="S678" s="1" t="s">
        <v>22</v>
      </c>
      <c r="T678" s="1" t="s">
        <v>22</v>
      </c>
      <c r="U678" s="1" t="s">
        <v>22</v>
      </c>
    </row>
    <row r="679" spans="1:21" x14ac:dyDescent="0.25">
      <c r="A679" s="1" t="s">
        <v>1764</v>
      </c>
      <c r="B679" s="2" t="s">
        <v>35</v>
      </c>
      <c r="C679" s="1" t="s">
        <v>25</v>
      </c>
      <c r="D679" s="1" t="s">
        <v>1797</v>
      </c>
      <c r="E679" s="1" t="s">
        <v>27</v>
      </c>
      <c r="F679" s="1">
        <v>43794</v>
      </c>
      <c r="G679" s="14" t="s">
        <v>38</v>
      </c>
      <c r="H679" t="s">
        <v>1798</v>
      </c>
      <c r="I679" s="2" t="s">
        <v>1799</v>
      </c>
      <c r="J679" s="2">
        <v>0.020833333333333332</v>
      </c>
      <c r="K679" s="1">
        <v>0</v>
      </c>
      <c r="L679" s="1">
        <v>0.020833333333333332</v>
      </c>
      <c r="M679" s="1" t="s">
        <v>22</v>
      </c>
      <c r="N679" s="1" t="s">
        <v>574</v>
      </c>
      <c r="O679" s="1" t="s">
        <v>22</v>
      </c>
      <c r="P679" s="1" t="s">
        <v>488</v>
      </c>
      <c r="Q679" s="1">
        <v>43794</v>
      </c>
      <c r="R679" s="14" t="s">
        <v>22</v>
      </c>
      <c r="S679" s="1" t="s">
        <v>22</v>
      </c>
      <c r="T679" s="1" t="s">
        <v>22</v>
      </c>
      <c r="U679" s="1" t="s">
        <v>22</v>
      </c>
    </row>
    <row r="680" spans="1:21" x14ac:dyDescent="0.25">
      <c r="A680" s="1" t="s">
        <v>1800</v>
      </c>
      <c r="B680" s="2" t="s">
        <v>1532</v>
      </c>
      <c r="C680" s="1" t="s">
        <v>1533</v>
      </c>
      <c r="D680" s="1" t="s">
        <v>1801</v>
      </c>
      <c r="E680" s="1" t="s">
        <v>27</v>
      </c>
      <c r="F680" s="1">
        <v>43801</v>
      </c>
      <c r="G680" s="14" t="s">
        <v>28</v>
      </c>
      <c r="H680" t="s">
        <v>1802</v>
      </c>
      <c r="I680" s="2" t="s">
        <v>1803</v>
      </c>
      <c r="J680" s="2">
        <v>0.03125</v>
      </c>
      <c r="K680" s="1">
        <v>0.041666666666666664</v>
      </c>
      <c r="L680" s="1">
        <v>0.07291666666666666</v>
      </c>
      <c r="M680" s="1" t="s">
        <v>22</v>
      </c>
      <c r="N680" s="1" t="s">
        <v>574</v>
      </c>
      <c r="O680" s="1" t="s">
        <v>483</v>
      </c>
      <c r="P680" s="1" t="s">
        <v>42</v>
      </c>
      <c r="Q680" s="1">
        <v>43801</v>
      </c>
      <c r="R680" s="14">
        <v>5</v>
      </c>
      <c r="S680" s="1" t="s">
        <v>22</v>
      </c>
      <c r="T680" s="1" t="s">
        <v>22</v>
      </c>
      <c r="U680" s="1" t="s">
        <v>22</v>
      </c>
    </row>
    <row r="681" spans="1:21" x14ac:dyDescent="0.25">
      <c r="A681" s="1" t="s">
        <v>1800</v>
      </c>
      <c r="B681" s="2" t="s">
        <v>118</v>
      </c>
      <c r="C681" s="1" t="s">
        <v>25</v>
      </c>
      <c r="D681" s="1" t="s">
        <v>1804</v>
      </c>
      <c r="E681" s="1" t="s">
        <v>37</v>
      </c>
      <c r="F681" s="1">
        <v>43804</v>
      </c>
      <c r="G681" s="14" t="s">
        <v>38</v>
      </c>
      <c r="H681" t="s">
        <v>1805</v>
      </c>
      <c r="I681" s="2" t="s">
        <v>1806</v>
      </c>
      <c r="J681" s="2">
        <v>0.020833333333333332</v>
      </c>
      <c r="K681" s="1" t="s">
        <v>22</v>
      </c>
      <c r="L681" s="1">
        <v>0.020833333333333332</v>
      </c>
      <c r="M681" s="1" t="s">
        <v>22</v>
      </c>
      <c r="N681" s="1" t="s">
        <v>31</v>
      </c>
      <c r="O681" s="1" t="s">
        <v>22</v>
      </c>
      <c r="P681" s="1" t="s">
        <v>484</v>
      </c>
      <c r="Q681" s="1">
        <v>43804</v>
      </c>
      <c r="R681" s="14">
        <v>5</v>
      </c>
      <c r="S681" s="1" t="s">
        <v>22</v>
      </c>
      <c r="T681" s="1" t="s">
        <v>22</v>
      </c>
      <c r="U681" s="1" t="s">
        <v>22</v>
      </c>
    </row>
    <row r="682" spans="1:21" x14ac:dyDescent="0.25">
      <c r="A682" s="1" t="s">
        <v>1800</v>
      </c>
      <c r="B682" s="2" t="s">
        <v>35</v>
      </c>
      <c r="C682" s="1" t="s">
        <v>25</v>
      </c>
      <c r="D682" s="1" t="s">
        <v>1807</v>
      </c>
      <c r="E682" s="1" t="s">
        <v>27</v>
      </c>
      <c r="F682" s="1">
        <v>43804</v>
      </c>
      <c r="G682" s="14" t="s">
        <v>28</v>
      </c>
      <c r="H682" t="s">
        <v>1808</v>
      </c>
      <c r="I682" s="2" t="s">
        <v>1809</v>
      </c>
      <c r="J682" s="2">
        <v>0.10416666666666667</v>
      </c>
      <c r="K682" s="1">
        <v>0.0798611111111111</v>
      </c>
      <c r="L682" s="1">
        <v>0.1840277777777778</v>
      </c>
      <c r="M682" s="1" t="s">
        <v>22</v>
      </c>
      <c r="N682" s="1" t="s">
        <v>574</v>
      </c>
      <c r="O682" s="1" t="s">
        <v>483</v>
      </c>
      <c r="P682" s="1" t="s">
        <v>488</v>
      </c>
      <c r="Q682" s="1" t="s">
        <v>22</v>
      </c>
      <c r="R682" s="1" t="s">
        <v>22</v>
      </c>
      <c r="S682" s="1" t="s">
        <v>22</v>
      </c>
      <c r="T682" s="1" t="s">
        <v>22</v>
      </c>
      <c r="U682" s="1" t="s">
        <v>22</v>
      </c>
    </row>
    <row r="683" spans="1:21" x14ac:dyDescent="0.25">
      <c r="A683" s="1" t="s">
        <v>1800</v>
      </c>
      <c r="B683" s="2" t="s">
        <v>489</v>
      </c>
      <c r="C683" s="1" t="s">
        <v>1258</v>
      </c>
      <c r="D683" s="1" t="s">
        <v>1810</v>
      </c>
      <c r="E683" s="1" t="s">
        <v>27</v>
      </c>
      <c r="F683" s="1">
        <v>43806</v>
      </c>
      <c r="G683" s="14" t="s">
        <v>38</v>
      </c>
      <c r="H683" t="s">
        <v>1811</v>
      </c>
      <c r="I683" s="2" t="s">
        <v>1812</v>
      </c>
      <c r="J683" s="2">
        <v>0.013888888888888888</v>
      </c>
      <c r="K683" s="1" t="s">
        <v>22</v>
      </c>
      <c r="L683" s="1">
        <v>0.013888888888888888</v>
      </c>
      <c r="M683" s="1" t="s">
        <v>22</v>
      </c>
      <c r="N683" s="1" t="s">
        <v>31</v>
      </c>
      <c r="O683" s="1" t="s">
        <v>22</v>
      </c>
      <c r="P683" s="1" t="s">
        <v>42</v>
      </c>
      <c r="Q683" s="1">
        <v>43806</v>
      </c>
      <c r="R683" s="14">
        <v>5</v>
      </c>
      <c r="S683" s="1" t="s">
        <v>22</v>
      </c>
      <c r="T683" s="1" t="s">
        <v>22</v>
      </c>
      <c r="U683" s="1" t="s">
        <v>22</v>
      </c>
    </row>
    <row r="684" spans="1:21" x14ac:dyDescent="0.25">
      <c r="A684" s="1" t="s">
        <v>1800</v>
      </c>
      <c r="B684" s="2" t="s">
        <v>1473</v>
      </c>
      <c r="C684" s="1" t="s">
        <v>25</v>
      </c>
      <c r="D684" s="1" t="s">
        <v>1813</v>
      </c>
      <c r="E684" s="1" t="s">
        <v>27</v>
      </c>
      <c r="F684" s="1">
        <v>43810</v>
      </c>
      <c r="G684" s="14" t="s">
        <v>38</v>
      </c>
      <c r="H684" t="s">
        <v>1814</v>
      </c>
      <c r="I684" s="2" t="s">
        <v>1815</v>
      </c>
      <c r="J684" s="2">
        <v>0.041666666666666664</v>
      </c>
      <c r="K684" s="1">
        <v>0.020833333333333332</v>
      </c>
      <c r="L684" s="1">
        <v>0.0625</v>
      </c>
      <c r="M684" s="1" t="s">
        <v>22</v>
      </c>
      <c r="N684" s="1" t="s">
        <v>574</v>
      </c>
      <c r="O684" s="1" t="s">
        <v>483</v>
      </c>
      <c r="P684" s="1" t="s">
        <v>484</v>
      </c>
      <c r="Q684" s="1">
        <v>43810</v>
      </c>
      <c r="R684" s="14">
        <v>5</v>
      </c>
      <c r="S684" s="1" t="s">
        <v>22</v>
      </c>
      <c r="T684" s="1" t="s">
        <v>22</v>
      </c>
      <c r="U684" s="1" t="s">
        <v>22</v>
      </c>
    </row>
    <row r="685" spans="1:21" x14ac:dyDescent="0.25">
      <c r="A685" s="1" t="s">
        <v>1800</v>
      </c>
      <c r="B685" s="2" t="s">
        <v>1235</v>
      </c>
      <c r="C685" s="1" t="s">
        <v>1236</v>
      </c>
      <c r="D685" s="1" t="s">
        <v>1816</v>
      </c>
      <c r="E685" s="1" t="s">
        <v>27</v>
      </c>
      <c r="F685" s="1">
        <v>43819</v>
      </c>
      <c r="G685" s="14" t="s">
        <v>28</v>
      </c>
      <c r="H685" t="s">
        <v>1817</v>
      </c>
      <c r="I685" s="2" t="s">
        <v>1818</v>
      </c>
      <c r="J685" s="2">
        <v>0.14583333333333334</v>
      </c>
      <c r="K685" s="1">
        <v>0.1388888888888889</v>
      </c>
      <c r="L685" s="1">
        <v>0.2847222222222222</v>
      </c>
      <c r="M685" s="1" t="s">
        <v>22</v>
      </c>
      <c r="N685" s="1" t="s">
        <v>574</v>
      </c>
      <c r="O685" s="1" t="s">
        <v>483</v>
      </c>
      <c r="P685" s="1" t="s">
        <v>42</v>
      </c>
      <c r="Q685" s="1">
        <v>43819</v>
      </c>
      <c r="R685" s="14">
        <v>5</v>
      </c>
      <c r="S685" s="1" t="s">
        <v>22</v>
      </c>
      <c r="T685" s="1" t="s">
        <v>22</v>
      </c>
      <c r="U685" s="1" t="s">
        <v>22</v>
      </c>
    </row>
    <row r="686" spans="1:21" x14ac:dyDescent="0.25">
      <c r="A686" s="1" t="s">
        <v>1800</v>
      </c>
      <c r="B686" s="2" t="s">
        <v>489</v>
      </c>
      <c r="C686" s="1" t="s">
        <v>490</v>
      </c>
      <c r="D686" s="1" t="s">
        <v>1819</v>
      </c>
      <c r="E686" s="1" t="s">
        <v>27</v>
      </c>
      <c r="F686" s="1">
        <v>43822</v>
      </c>
      <c r="G686" s="14" t="s">
        <v>28</v>
      </c>
      <c r="H686" t="s">
        <v>1820</v>
      </c>
      <c r="I686" s="2" t="s">
        <v>1821</v>
      </c>
      <c r="J686" s="2">
        <v>0.03125</v>
      </c>
      <c r="K686" s="1">
        <v>0.0625</v>
      </c>
      <c r="L686" s="1">
        <v>0.09375</v>
      </c>
      <c r="M686" s="1" t="s">
        <v>22</v>
      </c>
      <c r="N686" s="1" t="s">
        <v>31</v>
      </c>
      <c r="O686" s="1" t="s">
        <v>483</v>
      </c>
      <c r="P686" s="1" t="s">
        <v>42</v>
      </c>
      <c r="Q686" s="1">
        <v>43822</v>
      </c>
      <c r="R686" s="14">
        <v>5</v>
      </c>
      <c r="S686" s="1" t="s">
        <v>22</v>
      </c>
      <c r="T686" s="1" t="s">
        <v>22</v>
      </c>
      <c r="U686" s="1" t="s">
        <v>22</v>
      </c>
    </row>
    <row r="687" spans="1:21" x14ac:dyDescent="0.25">
      <c r="A687" s="1" t="s">
        <v>1822</v>
      </c>
      <c r="B687" s="2" t="s">
        <v>99</v>
      </c>
      <c r="C687" s="1" t="s">
        <v>25</v>
      </c>
      <c r="D687" s="1" t="s">
        <v>1823</v>
      </c>
      <c r="E687" s="1" t="s">
        <v>27</v>
      </c>
      <c r="F687" s="1">
        <v>43833</v>
      </c>
      <c r="G687" s="14" t="s">
        <v>28</v>
      </c>
      <c r="H687" t="s">
        <v>1824</v>
      </c>
      <c r="I687" s="2" t="s">
        <v>1824</v>
      </c>
      <c r="J687" s="2">
        <v>0.05555555555555555</v>
      </c>
      <c r="K687" s="1">
        <v>0.09722222222222222</v>
      </c>
      <c r="L687" s="1">
        <v>0.1527777777777778</v>
      </c>
      <c r="M687" s="1" t="s">
        <v>22</v>
      </c>
      <c r="N687" s="1" t="s">
        <v>574</v>
      </c>
      <c r="O687" s="1" t="s">
        <v>483</v>
      </c>
      <c r="P687" s="1" t="s">
        <v>484</v>
      </c>
      <c r="Q687" s="1">
        <v>43833</v>
      </c>
      <c r="R687" s="14">
        <v>5</v>
      </c>
      <c r="S687" s="1" t="s">
        <v>22</v>
      </c>
      <c r="T687" s="1" t="s">
        <v>22</v>
      </c>
      <c r="U687" s="1" t="s">
        <v>22</v>
      </c>
    </row>
    <row r="688" spans="1:21" x14ac:dyDescent="0.25">
      <c r="A688" s="1" t="s">
        <v>1822</v>
      </c>
      <c r="B688" s="2" t="s">
        <v>1473</v>
      </c>
      <c r="C688" s="1" t="s">
        <v>25</v>
      </c>
      <c r="D688" s="1" t="s">
        <v>1813</v>
      </c>
      <c r="E688" s="1" t="s">
        <v>27</v>
      </c>
      <c r="F688" s="1">
        <v>43833</v>
      </c>
      <c r="G688" s="14" t="s">
        <v>28</v>
      </c>
      <c r="H688" t="s">
        <v>1825</v>
      </c>
      <c r="I688" s="2" t="s">
        <v>1826</v>
      </c>
      <c r="J688" s="2">
        <v>0.020833333333333332</v>
      </c>
      <c r="K688" s="1">
        <v>0.027777777777777776</v>
      </c>
      <c r="L688" s="1">
        <v>0.048611111111111105</v>
      </c>
      <c r="M688" s="1" t="s">
        <v>22</v>
      </c>
      <c r="N688" s="1" t="s">
        <v>53</v>
      </c>
      <c r="O688" s="1" t="s">
        <v>483</v>
      </c>
      <c r="P688" s="1" t="s">
        <v>484</v>
      </c>
      <c r="Q688" s="1">
        <v>43833</v>
      </c>
      <c r="R688" s="14">
        <v>5</v>
      </c>
      <c r="S688" s="1" t="s">
        <v>22</v>
      </c>
      <c r="T688" s="1" t="s">
        <v>22</v>
      </c>
      <c r="U688" s="1" t="s">
        <v>22</v>
      </c>
    </row>
    <row r="689" spans="1:21" x14ac:dyDescent="0.25">
      <c r="A689" s="1" t="s">
        <v>1822</v>
      </c>
      <c r="B689" s="2" t="s">
        <v>35</v>
      </c>
      <c r="C689" s="1" t="s">
        <v>25</v>
      </c>
      <c r="D689" s="1" t="s">
        <v>1827</v>
      </c>
      <c r="E689" s="1" t="s">
        <v>27</v>
      </c>
      <c r="F689" s="1">
        <v>43841</v>
      </c>
      <c r="G689" s="14" t="s">
        <v>38</v>
      </c>
      <c r="H689" t="s">
        <v>1828</v>
      </c>
      <c r="I689" s="2" t="s">
        <v>1829</v>
      </c>
      <c r="J689" s="2">
        <v>0.041666666666666664</v>
      </c>
      <c r="K689" s="1">
        <v>0.041666666666666664</v>
      </c>
      <c r="L689" s="1">
        <v>0.08333333333333333</v>
      </c>
      <c r="M689" s="1">
        <v>0</v>
      </c>
      <c r="N689" s="1" t="s">
        <v>574</v>
      </c>
      <c r="O689" s="1" t="s">
        <v>503</v>
      </c>
      <c r="P689" s="1" t="s">
        <v>42</v>
      </c>
      <c r="Q689" s="1" t="s">
        <v>22</v>
      </c>
      <c r="R689" s="1" t="s">
        <v>22</v>
      </c>
      <c r="S689" s="1" t="s">
        <v>22</v>
      </c>
      <c r="T689" s="1" t="s">
        <v>22</v>
      </c>
      <c r="U689" s="1" t="s">
        <v>22</v>
      </c>
    </row>
    <row r="690" spans="1:21" x14ac:dyDescent="0.25">
      <c r="A690" s="1" t="s">
        <v>1822</v>
      </c>
      <c r="B690" s="2" t="s">
        <v>1682</v>
      </c>
      <c r="C690" s="1" t="s">
        <v>123</v>
      </c>
      <c r="D690" s="1" t="s">
        <v>1830</v>
      </c>
      <c r="E690" s="1" t="s">
        <v>27</v>
      </c>
      <c r="F690" s="1">
        <v>43841</v>
      </c>
      <c r="G690" s="14" t="s">
        <v>38</v>
      </c>
      <c r="H690" t="s">
        <v>1831</v>
      </c>
      <c r="I690" s="2" t="s">
        <v>1832</v>
      </c>
      <c r="J690" s="2">
        <v>0.020833333333333332</v>
      </c>
      <c r="K690" s="1" t="s">
        <v>22</v>
      </c>
      <c r="L690" s="1">
        <v>0.020833333333333332</v>
      </c>
      <c r="M690" s="1" t="s">
        <v>22</v>
      </c>
      <c r="N690" s="1" t="s">
        <v>31</v>
      </c>
      <c r="O690" s="1" t="s">
        <v>22</v>
      </c>
      <c r="P690" s="1" t="s">
        <v>488</v>
      </c>
      <c r="Q690" s="1">
        <v>43841</v>
      </c>
      <c r="R690" s="14">
        <v>5</v>
      </c>
      <c r="S690" s="1" t="s">
        <v>22</v>
      </c>
      <c r="T690" s="1" t="s">
        <v>22</v>
      </c>
      <c r="U690" s="1" t="s">
        <v>22</v>
      </c>
    </row>
    <row r="691" spans="1:21" x14ac:dyDescent="0.25">
      <c r="A691" s="1" t="s">
        <v>1822</v>
      </c>
      <c r="B691" s="2" t="s">
        <v>35</v>
      </c>
      <c r="C691" s="1" t="s">
        <v>25</v>
      </c>
      <c r="D691" s="1" t="s">
        <v>1833</v>
      </c>
      <c r="E691" s="1" t="s">
        <v>27</v>
      </c>
      <c r="F691" s="1">
        <v>43841</v>
      </c>
      <c r="G691" s="14" t="s">
        <v>28</v>
      </c>
      <c r="H691" t="s">
        <v>1834</v>
      </c>
      <c r="I691" s="2" t="s">
        <v>1835</v>
      </c>
      <c r="J691" s="2">
        <v>0.041666666666666664</v>
      </c>
      <c r="K691" s="1" t="s">
        <v>22</v>
      </c>
      <c r="L691" s="1">
        <v>0.041666666666666664</v>
      </c>
      <c r="M691" s="1" t="s">
        <v>22</v>
      </c>
      <c r="N691" s="1" t="s">
        <v>53</v>
      </c>
      <c r="O691" s="1" t="s">
        <v>22</v>
      </c>
      <c r="P691" s="1" t="s">
        <v>42</v>
      </c>
      <c r="Q691" s="1">
        <v>43841</v>
      </c>
      <c r="R691" s="14">
        <v>5</v>
      </c>
      <c r="S691" s="1" t="s">
        <v>22</v>
      </c>
      <c r="T691" s="1" t="s">
        <v>22</v>
      </c>
      <c r="U691" s="1" t="s">
        <v>22</v>
      </c>
    </row>
    <row r="692" spans="1:21" x14ac:dyDescent="0.25">
      <c r="A692" s="1" t="s">
        <v>1822</v>
      </c>
      <c r="B692" s="2" t="s">
        <v>1002</v>
      </c>
      <c r="C692" s="1" t="s">
        <v>1003</v>
      </c>
      <c r="D692" s="1" t="s">
        <v>1836</v>
      </c>
      <c r="E692" s="1" t="s">
        <v>27</v>
      </c>
      <c r="F692" s="1">
        <v>43844</v>
      </c>
      <c r="G692" s="14" t="s">
        <v>38</v>
      </c>
      <c r="H692" t="s">
        <v>1837</v>
      </c>
      <c r="I692" s="2" t="s">
        <v>1838</v>
      </c>
      <c r="J692" s="2">
        <v>0.03125</v>
      </c>
      <c r="K692" s="1" t="s">
        <v>22</v>
      </c>
      <c r="L692" s="1">
        <v>0.03125</v>
      </c>
      <c r="M692" s="1" t="s">
        <v>22</v>
      </c>
      <c r="N692" s="1" t="s">
        <v>31</v>
      </c>
      <c r="O692" s="1" t="s">
        <v>22</v>
      </c>
      <c r="P692" s="1" t="s">
        <v>484</v>
      </c>
      <c r="Q692" s="1">
        <v>43844</v>
      </c>
      <c r="R692" s="14">
        <v>5</v>
      </c>
      <c r="S692" s="1" t="s">
        <v>22</v>
      </c>
      <c r="T692" s="1" t="s">
        <v>22</v>
      </c>
      <c r="U692" s="1" t="s">
        <v>22</v>
      </c>
    </row>
    <row r="693" spans="1:21" x14ac:dyDescent="0.25">
      <c r="A693" s="1" t="s">
        <v>1822</v>
      </c>
      <c r="B693" s="2" t="s">
        <v>1012</v>
      </c>
      <c r="C693" s="1" t="s">
        <v>25</v>
      </c>
      <c r="D693" s="1" t="s">
        <v>1839</v>
      </c>
      <c r="E693" s="1" t="s">
        <v>27</v>
      </c>
      <c r="F693" s="1">
        <v>43852</v>
      </c>
      <c r="G693" s="14" t="s">
        <v>28</v>
      </c>
      <c r="H693" t="s">
        <v>1840</v>
      </c>
      <c r="I693" s="2" t="s">
        <v>1840</v>
      </c>
      <c r="J693" s="2">
        <v>0.020833333333333332</v>
      </c>
      <c r="K693" s="1" t="s">
        <v>22</v>
      </c>
      <c r="L693" s="1">
        <v>0.020833333333333332</v>
      </c>
      <c r="M693" s="1" t="s">
        <v>22</v>
      </c>
      <c r="N693" s="1" t="s">
        <v>574</v>
      </c>
      <c r="O693" s="1" t="s">
        <v>22</v>
      </c>
      <c r="P693" s="1" t="s">
        <v>488</v>
      </c>
      <c r="Q693" s="1">
        <v>43852</v>
      </c>
      <c r="R693" s="14">
        <v>5</v>
      </c>
      <c r="S693" s="1" t="s">
        <v>22</v>
      </c>
      <c r="T693" s="1" t="s">
        <v>22</v>
      </c>
      <c r="U693" s="1" t="s">
        <v>22</v>
      </c>
    </row>
    <row r="694" spans="1:21" x14ac:dyDescent="0.25">
      <c r="A694" s="1" t="s">
        <v>1822</v>
      </c>
      <c r="B694" s="2" t="s">
        <v>525</v>
      </c>
      <c r="C694" s="1" t="s">
        <v>25</v>
      </c>
      <c r="D694" s="1" t="s">
        <v>1841</v>
      </c>
      <c r="E694" s="1" t="s">
        <v>27</v>
      </c>
      <c r="F694" s="1">
        <v>43852</v>
      </c>
      <c r="G694" s="14" t="s">
        <v>28</v>
      </c>
      <c r="H694" t="s">
        <v>1842</v>
      </c>
      <c r="I694" s="2" t="s">
        <v>1843</v>
      </c>
      <c r="J694" s="2">
        <v>0.020833333333333332</v>
      </c>
      <c r="K694" s="1" t="s">
        <v>22</v>
      </c>
      <c r="L694" s="1">
        <v>0.020833333333333332</v>
      </c>
      <c r="M694" s="1" t="s">
        <v>22</v>
      </c>
      <c r="N694" s="1" t="s">
        <v>53</v>
      </c>
      <c r="O694" s="1" t="s">
        <v>22</v>
      </c>
      <c r="P694" s="1" t="s">
        <v>484</v>
      </c>
      <c r="Q694" s="1">
        <v>43852</v>
      </c>
      <c r="R694" s="14">
        <v>5</v>
      </c>
      <c r="S694" s="1" t="s">
        <v>22</v>
      </c>
      <c r="T694" s="1" t="s">
        <v>22</v>
      </c>
      <c r="U694" s="1" t="s">
        <v>22</v>
      </c>
    </row>
    <row r="695" spans="1:21" x14ac:dyDescent="0.25">
      <c r="A695" s="1" t="s">
        <v>1822</v>
      </c>
      <c r="B695" s="2" t="s">
        <v>146</v>
      </c>
      <c r="C695" s="1" t="s">
        <v>186</v>
      </c>
      <c r="D695" s="1" t="s">
        <v>1844</v>
      </c>
      <c r="E695" s="1" t="s">
        <v>27</v>
      </c>
      <c r="F695" s="1">
        <v>43853</v>
      </c>
      <c r="G695" s="14" t="s">
        <v>38</v>
      </c>
      <c r="H695" t="s">
        <v>1845</v>
      </c>
      <c r="I695" s="2" t="s">
        <v>1845</v>
      </c>
      <c r="J695" s="2">
        <v>0.03125</v>
      </c>
      <c r="K695" s="1">
        <v>0.0625</v>
      </c>
      <c r="L695" s="1">
        <v>0.09375</v>
      </c>
      <c r="M695" s="1" t="s">
        <v>22</v>
      </c>
      <c r="N695" s="1" t="s">
        <v>574</v>
      </c>
      <c r="O695" s="1" t="s">
        <v>483</v>
      </c>
      <c r="P695" s="1" t="s">
        <v>488</v>
      </c>
      <c r="Q695" s="1">
        <v>43853</v>
      </c>
      <c r="R695" s="14">
        <v>5</v>
      </c>
      <c r="S695" s="1" t="s">
        <v>22</v>
      </c>
      <c r="T695" s="1" t="s">
        <v>22</v>
      </c>
      <c r="U695" s="1" t="s">
        <v>22</v>
      </c>
    </row>
    <row r="696" spans="1:21" x14ac:dyDescent="0.25">
      <c r="A696" s="1" t="s">
        <v>1822</v>
      </c>
      <c r="B696" s="2" t="s">
        <v>616</v>
      </c>
      <c r="C696" s="1" t="s">
        <v>617</v>
      </c>
      <c r="D696" s="1" t="s">
        <v>1846</v>
      </c>
      <c r="E696" s="1" t="s">
        <v>27</v>
      </c>
      <c r="F696" s="1">
        <v>43853</v>
      </c>
      <c r="G696" s="14" t="s">
        <v>38</v>
      </c>
      <c r="H696" t="s">
        <v>1847</v>
      </c>
      <c r="I696" s="2" t="s">
        <v>1848</v>
      </c>
      <c r="J696" s="2">
        <v>0.03125</v>
      </c>
      <c r="K696" s="1">
        <v>0.052083333333333336</v>
      </c>
      <c r="L696" s="1">
        <v>0.08333333333333334</v>
      </c>
      <c r="M696" s="1" t="s">
        <v>22</v>
      </c>
      <c r="N696" s="1" t="s">
        <v>574</v>
      </c>
      <c r="O696" s="1" t="s">
        <v>483</v>
      </c>
      <c r="P696" s="1" t="s">
        <v>484</v>
      </c>
      <c r="Q696" s="1">
        <v>43853</v>
      </c>
      <c r="R696" s="14">
        <v>5</v>
      </c>
      <c r="S696" s="1" t="s">
        <v>22</v>
      </c>
      <c r="T696" s="1" t="s">
        <v>22</v>
      </c>
      <c r="U696" s="1" t="s">
        <v>22</v>
      </c>
    </row>
    <row r="697" spans="1:21" x14ac:dyDescent="0.25">
      <c r="A697" s="1" t="s">
        <v>1822</v>
      </c>
      <c r="B697" s="2" t="s">
        <v>1040</v>
      </c>
      <c r="C697" s="1" t="s">
        <v>1631</v>
      </c>
      <c r="D697" s="1" t="s">
        <v>1849</v>
      </c>
      <c r="E697" s="1" t="s">
        <v>27</v>
      </c>
      <c r="F697" s="1">
        <v>43854</v>
      </c>
      <c r="G697" s="14" t="s">
        <v>38</v>
      </c>
      <c r="H697" t="s">
        <v>1850</v>
      </c>
      <c r="I697" s="2" t="s">
        <v>1851</v>
      </c>
      <c r="J697" s="2">
        <v>0.03125</v>
      </c>
      <c r="K697" s="1" t="s">
        <v>22</v>
      </c>
      <c r="L697" s="1">
        <v>0.03125</v>
      </c>
      <c r="M697" s="1" t="s">
        <v>22</v>
      </c>
      <c r="N697" s="1" t="s">
        <v>31</v>
      </c>
      <c r="O697" s="1" t="s">
        <v>22</v>
      </c>
      <c r="P697" s="1" t="s">
        <v>484</v>
      </c>
      <c r="Q697" s="1">
        <v>43854</v>
      </c>
      <c r="R697" s="14">
        <v>5</v>
      </c>
      <c r="S697" s="1" t="s">
        <v>22</v>
      </c>
      <c r="T697" s="1" t="s">
        <v>22</v>
      </c>
      <c r="U697" s="1" t="s">
        <v>22</v>
      </c>
    </row>
    <row r="698" spans="1:21" x14ac:dyDescent="0.25">
      <c r="A698" s="1" t="s">
        <v>1822</v>
      </c>
      <c r="B698" s="2" t="s">
        <v>525</v>
      </c>
      <c r="C698" s="1" t="s">
        <v>25</v>
      </c>
      <c r="D698" s="1" t="s">
        <v>1852</v>
      </c>
      <c r="E698" s="1" t="s">
        <v>37</v>
      </c>
      <c r="F698" s="1">
        <v>43854</v>
      </c>
      <c r="G698" s="14" t="s">
        <v>28</v>
      </c>
      <c r="H698" t="s">
        <v>1853</v>
      </c>
      <c r="I698" s="2" t="s">
        <v>1854</v>
      </c>
      <c r="J698" s="2">
        <v>0.041666666666666664</v>
      </c>
      <c r="K698" s="1">
        <v>0.052083333333333336</v>
      </c>
      <c r="L698" s="1">
        <v>0.09375</v>
      </c>
      <c r="M698" s="1" t="s">
        <v>22</v>
      </c>
      <c r="N698" s="1" t="s">
        <v>31</v>
      </c>
      <c r="O698" s="1" t="s">
        <v>483</v>
      </c>
      <c r="P698" s="1" t="s">
        <v>484</v>
      </c>
      <c r="Q698" s="1">
        <v>43854</v>
      </c>
      <c r="R698" s="14">
        <v>5</v>
      </c>
      <c r="S698" s="1" t="s">
        <v>22</v>
      </c>
      <c r="T698" s="1" t="s">
        <v>22</v>
      </c>
      <c r="U698" s="1" t="s">
        <v>22</v>
      </c>
    </row>
    <row r="699" spans="1:21" x14ac:dyDescent="0.25">
      <c r="A699" s="1" t="s">
        <v>1822</v>
      </c>
      <c r="B699" s="2" t="s">
        <v>260</v>
      </c>
      <c r="C699" s="1" t="s">
        <v>261</v>
      </c>
      <c r="D699" s="1" t="s">
        <v>1855</v>
      </c>
      <c r="E699" s="1" t="s">
        <v>27</v>
      </c>
      <c r="F699" s="1">
        <v>43854</v>
      </c>
      <c r="G699" s="14" t="s">
        <v>38</v>
      </c>
      <c r="H699" t="s">
        <v>1856</v>
      </c>
      <c r="I699" s="2" t="s">
        <v>1857</v>
      </c>
      <c r="J699" s="2">
        <v>0.03125</v>
      </c>
      <c r="K699" s="1">
        <v>0.020833333333333332</v>
      </c>
      <c r="L699" s="1">
        <v>0.05208333333333333</v>
      </c>
      <c r="M699" s="1" t="s">
        <v>22</v>
      </c>
      <c r="N699" s="1" t="s">
        <v>31</v>
      </c>
      <c r="O699" s="1" t="s">
        <v>483</v>
      </c>
      <c r="P699" s="1" t="s">
        <v>488</v>
      </c>
      <c r="Q699" s="1">
        <v>43854</v>
      </c>
      <c r="R699" s="14">
        <v>5</v>
      </c>
      <c r="S699" s="1" t="s">
        <v>22</v>
      </c>
      <c r="T699" s="1" t="s">
        <v>22</v>
      </c>
      <c r="U699" s="1" t="s">
        <v>22</v>
      </c>
    </row>
    <row r="700" spans="1:21" x14ac:dyDescent="0.25">
      <c r="A700" s="1" t="s">
        <v>1822</v>
      </c>
      <c r="B700" s="2" t="s">
        <v>1451</v>
      </c>
      <c r="C700" s="1" t="s">
        <v>287</v>
      </c>
      <c r="D700" s="1" t="s">
        <v>1858</v>
      </c>
      <c r="E700" s="1" t="s">
        <v>27</v>
      </c>
      <c r="F700" s="1">
        <v>43858</v>
      </c>
      <c r="G700" s="14" t="s">
        <v>28</v>
      </c>
      <c r="H700" t="s">
        <v>1853</v>
      </c>
      <c r="I700" s="2" t="s">
        <v>1859</v>
      </c>
      <c r="J700" s="2">
        <v>0.0625</v>
      </c>
      <c r="K700" s="1">
        <v>0.07291666666666667</v>
      </c>
      <c r="L700" s="1">
        <v>0.13541666666666669</v>
      </c>
      <c r="M700" s="1" t="s">
        <v>22</v>
      </c>
      <c r="N700" s="1" t="s">
        <v>574</v>
      </c>
      <c r="O700" s="1" t="s">
        <v>483</v>
      </c>
      <c r="P700" s="1" t="s">
        <v>484</v>
      </c>
      <c r="Q700" s="1">
        <v>43858</v>
      </c>
      <c r="R700" s="14">
        <v>5</v>
      </c>
      <c r="S700" s="1" t="s">
        <v>22</v>
      </c>
      <c r="T700" s="1" t="s">
        <v>22</v>
      </c>
      <c r="U700" s="1" t="s">
        <v>22</v>
      </c>
    </row>
    <row r="701" spans="1:21" x14ac:dyDescent="0.25">
      <c r="A701" s="1" t="s">
        <v>1822</v>
      </c>
      <c r="B701" s="2" t="s">
        <v>286</v>
      </c>
      <c r="C701" s="1" t="s">
        <v>974</v>
      </c>
      <c r="D701" s="1" t="s">
        <v>1860</v>
      </c>
      <c r="E701" s="1" t="s">
        <v>37</v>
      </c>
      <c r="F701" s="1">
        <v>43859</v>
      </c>
      <c r="G701" s="14" t="s">
        <v>38</v>
      </c>
      <c r="H701" t="s">
        <v>1861</v>
      </c>
      <c r="I701" s="2" t="s">
        <v>1862</v>
      </c>
      <c r="J701" s="2">
        <v>0.020833333333333332</v>
      </c>
      <c r="K701" s="1" t="s">
        <v>22</v>
      </c>
      <c r="L701" s="1">
        <v>0.020833333333333332</v>
      </c>
      <c r="M701" s="1" t="s">
        <v>22</v>
      </c>
      <c r="N701" s="1" t="s">
        <v>31</v>
      </c>
      <c r="O701" s="1" t="s">
        <v>22</v>
      </c>
      <c r="P701" s="1" t="s">
        <v>484</v>
      </c>
      <c r="Q701" s="1">
        <v>43859</v>
      </c>
      <c r="R701" s="14">
        <v>5</v>
      </c>
      <c r="S701" s="1" t="s">
        <v>22</v>
      </c>
      <c r="T701" s="1" t="s">
        <v>22</v>
      </c>
      <c r="U701" s="1" t="s">
        <v>22</v>
      </c>
    </row>
    <row r="702" spans="1:21" x14ac:dyDescent="0.25">
      <c r="A702" s="1" t="s">
        <v>1822</v>
      </c>
      <c r="B702" s="2" t="s">
        <v>545</v>
      </c>
      <c r="C702" s="1" t="s">
        <v>963</v>
      </c>
      <c r="D702" s="1" t="s">
        <v>1863</v>
      </c>
      <c r="E702" s="1" t="s">
        <v>37</v>
      </c>
      <c r="F702" s="1">
        <v>43860</v>
      </c>
      <c r="G702" s="14" t="s">
        <v>38</v>
      </c>
      <c r="H702" t="s">
        <v>1864</v>
      </c>
      <c r="I702" s="2" t="s">
        <v>1865</v>
      </c>
      <c r="J702" s="2">
        <v>0.020833333333333332</v>
      </c>
      <c r="K702" s="1" t="s">
        <v>22</v>
      </c>
      <c r="L702" s="1">
        <v>0.020833333333333332</v>
      </c>
      <c r="M702" s="1" t="s">
        <v>22</v>
      </c>
      <c r="N702" s="1" t="s">
        <v>31</v>
      </c>
      <c r="O702" s="1" t="s">
        <v>483</v>
      </c>
      <c r="P702" s="1" t="s">
        <v>484</v>
      </c>
      <c r="Q702" s="1">
        <v>43860</v>
      </c>
      <c r="R702" s="14">
        <v>5</v>
      </c>
      <c r="S702" s="1" t="s">
        <v>22</v>
      </c>
      <c r="T702" s="1" t="s">
        <v>22</v>
      </c>
      <c r="U702" s="1" t="s">
        <v>22</v>
      </c>
    </row>
    <row r="703" spans="1:21" x14ac:dyDescent="0.25">
      <c r="A703" s="1" t="s">
        <v>1866</v>
      </c>
      <c r="B703" s="2" t="s">
        <v>616</v>
      </c>
      <c r="C703" s="1" t="s">
        <v>1042</v>
      </c>
      <c r="D703" s="1" t="s">
        <v>1867</v>
      </c>
      <c r="E703" s="1" t="s">
        <v>27</v>
      </c>
      <c r="F703" s="1">
        <v>43864</v>
      </c>
      <c r="G703" s="14" t="s">
        <v>38</v>
      </c>
      <c r="H703" t="s">
        <v>1868</v>
      </c>
      <c r="I703" s="2" t="s">
        <v>1869</v>
      </c>
      <c r="J703" s="2">
        <v>0.020833333333333332</v>
      </c>
      <c r="K703" s="1" t="s">
        <v>22</v>
      </c>
      <c r="L703" s="1">
        <v>0.020833333333333332</v>
      </c>
      <c r="M703" s="1" t="s">
        <v>22</v>
      </c>
      <c r="N703" s="1" t="s">
        <v>31</v>
      </c>
      <c r="O703" s="1" t="s">
        <v>22</v>
      </c>
      <c r="P703" s="1" t="s">
        <v>484</v>
      </c>
      <c r="Q703" s="1">
        <v>43864</v>
      </c>
      <c r="R703" s="14">
        <v>5</v>
      </c>
      <c r="S703" s="1" t="s">
        <v>22</v>
      </c>
      <c r="T703" s="1" t="s">
        <v>22</v>
      </c>
      <c r="U703" s="1" t="s">
        <v>22</v>
      </c>
    </row>
    <row r="704" spans="1:21" x14ac:dyDescent="0.25">
      <c r="A704" s="1" t="s">
        <v>1866</v>
      </c>
      <c r="B704" s="2" t="s">
        <v>525</v>
      </c>
      <c r="C704" s="1" t="s">
        <v>25</v>
      </c>
      <c r="D704" s="1" t="s">
        <v>1867</v>
      </c>
      <c r="E704" s="1" t="s">
        <v>37</v>
      </c>
      <c r="F704" s="1">
        <v>43864</v>
      </c>
      <c r="G704" s="14" t="s">
        <v>28</v>
      </c>
      <c r="H704" t="s">
        <v>1870</v>
      </c>
      <c r="I704" s="2" t="s">
        <v>1871</v>
      </c>
      <c r="J704" s="2">
        <v>0.03125</v>
      </c>
      <c r="K704" s="1" t="s">
        <v>22</v>
      </c>
      <c r="L704" s="1">
        <v>0.03125</v>
      </c>
      <c r="M704" s="1" t="s">
        <v>22</v>
      </c>
      <c r="N704" s="1" t="s">
        <v>31</v>
      </c>
      <c r="O704" s="1" t="s">
        <v>22</v>
      </c>
      <c r="P704" s="1" t="s">
        <v>484</v>
      </c>
      <c r="Q704" s="1">
        <v>43864</v>
      </c>
      <c r="R704" s="14">
        <v>5</v>
      </c>
      <c r="S704" s="1" t="s">
        <v>22</v>
      </c>
      <c r="T704" s="1" t="s">
        <v>22</v>
      </c>
      <c r="U704" s="1" t="s">
        <v>22</v>
      </c>
    </row>
    <row r="705" spans="1:21" x14ac:dyDescent="0.25">
      <c r="A705" s="1" t="s">
        <v>1866</v>
      </c>
      <c r="B705" s="2" t="s">
        <v>525</v>
      </c>
      <c r="C705" s="1" t="s">
        <v>25</v>
      </c>
      <c r="D705" s="1" t="s">
        <v>1872</v>
      </c>
      <c r="E705" s="1" t="s">
        <v>37</v>
      </c>
      <c r="F705" s="1">
        <v>43867</v>
      </c>
      <c r="G705" s="14" t="s">
        <v>28</v>
      </c>
      <c r="H705" t="s">
        <v>1873</v>
      </c>
      <c r="I705" s="2" t="s">
        <v>1874</v>
      </c>
      <c r="J705" s="2">
        <v>0.03125</v>
      </c>
      <c r="K705" s="1" t="s">
        <v>22</v>
      </c>
      <c r="L705" s="1">
        <v>0.03125</v>
      </c>
      <c r="M705" s="1" t="s">
        <v>22</v>
      </c>
      <c r="N705" s="1" t="s">
        <v>31</v>
      </c>
      <c r="O705" s="1" t="s">
        <v>22</v>
      </c>
      <c r="P705" s="1" t="s">
        <v>484</v>
      </c>
      <c r="Q705" s="1">
        <v>43867</v>
      </c>
      <c r="R705" s="14">
        <v>5</v>
      </c>
      <c r="S705" s="1" t="s">
        <v>22</v>
      </c>
      <c r="T705" s="1" t="s">
        <v>22</v>
      </c>
      <c r="U705" s="1" t="s">
        <v>22</v>
      </c>
    </row>
    <row r="706" spans="1:21" x14ac:dyDescent="0.25">
      <c r="A706" s="1" t="s">
        <v>1866</v>
      </c>
      <c r="B706" s="2" t="s">
        <v>99</v>
      </c>
      <c r="C706" s="1" t="s">
        <v>25</v>
      </c>
      <c r="D706" s="1" t="s">
        <v>1875</v>
      </c>
      <c r="E706" s="1" t="s">
        <v>37</v>
      </c>
      <c r="F706" s="1">
        <v>43873</v>
      </c>
      <c r="G706" s="14" t="s">
        <v>28</v>
      </c>
      <c r="H706" t="s">
        <v>1876</v>
      </c>
      <c r="I706" s="2" t="s">
        <v>1877</v>
      </c>
      <c r="J706" s="2">
        <v>0.020833333333333332</v>
      </c>
      <c r="K706" s="1" t="s">
        <v>22</v>
      </c>
      <c r="L706" s="1">
        <v>0.020833333333333332</v>
      </c>
      <c r="M706" s="1" t="s">
        <v>22</v>
      </c>
      <c r="N706" s="1" t="s">
        <v>53</v>
      </c>
      <c r="O706" s="1" t="s">
        <v>22</v>
      </c>
      <c r="P706" s="1" t="s">
        <v>484</v>
      </c>
      <c r="Q706" s="1">
        <v>43867</v>
      </c>
      <c r="R706" s="14">
        <v>5</v>
      </c>
      <c r="S706" s="1" t="s">
        <v>22</v>
      </c>
      <c r="T706" s="1" t="s">
        <v>22</v>
      </c>
      <c r="U706" s="1" t="s">
        <v>22</v>
      </c>
    </row>
    <row r="707" spans="1:21" x14ac:dyDescent="0.25">
      <c r="A707" s="1" t="s">
        <v>1866</v>
      </c>
      <c r="B707" s="2" t="s">
        <v>35</v>
      </c>
      <c r="C707" s="1" t="s">
        <v>25</v>
      </c>
      <c r="D707" s="1" t="s">
        <v>1878</v>
      </c>
      <c r="E707" s="1" t="s">
        <v>27</v>
      </c>
      <c r="F707" s="1">
        <v>43873</v>
      </c>
      <c r="G707" s="14" t="s">
        <v>28</v>
      </c>
      <c r="H707" t="s">
        <v>1879</v>
      </c>
      <c r="I707" s="2" t="s">
        <v>1880</v>
      </c>
      <c r="J707" s="2">
        <v>0</v>
      </c>
      <c r="K707" s="1">
        <v>0.041666666666666664</v>
      </c>
      <c r="L707" s="1">
        <v>0.041666666666666664</v>
      </c>
      <c r="M707" s="1" t="s">
        <v>22</v>
      </c>
      <c r="N707" s="1" t="s">
        <v>53</v>
      </c>
      <c r="O707" s="1" t="s">
        <v>483</v>
      </c>
      <c r="P707" s="1" t="s">
        <v>42</v>
      </c>
      <c r="Q707" s="1">
        <v>43875</v>
      </c>
      <c r="R707" s="14">
        <v>5</v>
      </c>
      <c r="S707" s="1" t="s">
        <v>22</v>
      </c>
      <c r="T707" s="1" t="s">
        <v>22</v>
      </c>
      <c r="U707" s="1" t="s">
        <v>22</v>
      </c>
    </row>
    <row r="708" spans="1:21" x14ac:dyDescent="0.25">
      <c r="A708" s="1" t="s">
        <v>1866</v>
      </c>
      <c r="B708" s="2" t="s">
        <v>1451</v>
      </c>
      <c r="C708" s="1" t="s">
        <v>287</v>
      </c>
      <c r="D708" s="1" t="s">
        <v>1881</v>
      </c>
      <c r="E708" s="1" t="s">
        <v>27</v>
      </c>
      <c r="F708" s="1">
        <v>43873</v>
      </c>
      <c r="G708" s="14" t="s">
        <v>953</v>
      </c>
      <c r="H708" t="s">
        <v>1882</v>
      </c>
      <c r="I708" s="2" t="s">
        <v>1883</v>
      </c>
      <c r="J708" s="2">
        <v>0.03125</v>
      </c>
      <c r="K708" s="1" t="s">
        <v>22</v>
      </c>
      <c r="L708" s="1">
        <v>0.03125</v>
      </c>
      <c r="M708" s="1" t="s">
        <v>22</v>
      </c>
      <c r="N708" s="1" t="s">
        <v>31</v>
      </c>
      <c r="O708" s="1" t="s">
        <v>22</v>
      </c>
      <c r="P708" s="1" t="s">
        <v>484</v>
      </c>
      <c r="Q708" s="1">
        <v>43873</v>
      </c>
      <c r="R708" s="14">
        <v>5</v>
      </c>
      <c r="S708" s="1" t="s">
        <v>22</v>
      </c>
      <c r="T708" s="1" t="s">
        <v>22</v>
      </c>
      <c r="U708" s="1" t="s">
        <v>22</v>
      </c>
    </row>
    <row r="709" spans="1:21" x14ac:dyDescent="0.25">
      <c r="A709" s="1" t="s">
        <v>1866</v>
      </c>
      <c r="B709" s="2" t="s">
        <v>35</v>
      </c>
      <c r="C709" s="1" t="s">
        <v>25</v>
      </c>
      <c r="D709" s="1" t="s">
        <v>1884</v>
      </c>
      <c r="E709" s="1" t="s">
        <v>27</v>
      </c>
      <c r="F709" s="1">
        <v>43873</v>
      </c>
      <c r="G709" s="14" t="s">
        <v>28</v>
      </c>
      <c r="H709" t="s">
        <v>1885</v>
      </c>
      <c r="I709" s="2" t="s">
        <v>1886</v>
      </c>
      <c r="J709" s="2">
        <v>0.06597222222222222</v>
      </c>
      <c r="K709" s="1">
        <v>0.10069444444444443</v>
      </c>
      <c r="L709" s="1">
        <v>0.16666666666666666</v>
      </c>
      <c r="M709" s="1" t="s">
        <v>22</v>
      </c>
      <c r="N709" s="1" t="s">
        <v>53</v>
      </c>
      <c r="O709" s="1" t="s">
        <v>483</v>
      </c>
      <c r="P709" s="1" t="s">
        <v>42</v>
      </c>
      <c r="Q709" s="1">
        <v>43873</v>
      </c>
      <c r="R709" s="14">
        <v>4</v>
      </c>
      <c r="S709" s="1" t="s">
        <v>22</v>
      </c>
      <c r="T709" s="1" t="s">
        <v>22</v>
      </c>
      <c r="U709" s="1" t="s">
        <v>22</v>
      </c>
    </row>
    <row r="710" spans="1:21" x14ac:dyDescent="0.25">
      <c r="A710" s="1" t="s">
        <v>1866</v>
      </c>
      <c r="B710" s="2" t="s">
        <v>616</v>
      </c>
      <c r="C710" s="1" t="s">
        <v>617</v>
      </c>
      <c r="D710" s="1" t="s">
        <v>1887</v>
      </c>
      <c r="E710" s="1" t="s">
        <v>27</v>
      </c>
      <c r="F710" s="1">
        <v>43873</v>
      </c>
      <c r="G710" s="14" t="s">
        <v>28</v>
      </c>
      <c r="H710" t="s">
        <v>1888</v>
      </c>
      <c r="I710" s="2" t="s">
        <v>1889</v>
      </c>
      <c r="J710" s="2">
        <v>0.041666666666666664</v>
      </c>
      <c r="K710" s="1">
        <v>0.05902777777777778</v>
      </c>
      <c r="L710" s="1">
        <v>0.10069444444444445</v>
      </c>
      <c r="M710" s="1" t="s">
        <v>22</v>
      </c>
      <c r="N710" s="1" t="s">
        <v>53</v>
      </c>
      <c r="O710" s="1" t="s">
        <v>483</v>
      </c>
      <c r="P710" s="1" t="s">
        <v>484</v>
      </c>
      <c r="Q710" s="1">
        <v>43874</v>
      </c>
      <c r="R710" s="14">
        <v>5</v>
      </c>
      <c r="S710" s="1" t="s">
        <v>22</v>
      </c>
      <c r="T710" s="1" t="s">
        <v>22</v>
      </c>
      <c r="U710" s="1" t="s">
        <v>22</v>
      </c>
    </row>
    <row r="711" spans="1:21" x14ac:dyDescent="0.25">
      <c r="A711" s="1" t="s">
        <v>1866</v>
      </c>
      <c r="B711" s="2" t="s">
        <v>99</v>
      </c>
      <c r="C711" s="1" t="s">
        <v>25</v>
      </c>
      <c r="D711" s="1" t="s">
        <v>1890</v>
      </c>
      <c r="E711" s="1" t="s">
        <v>27</v>
      </c>
      <c r="F711" s="1">
        <v>43881</v>
      </c>
      <c r="G711" s="14" t="s">
        <v>28</v>
      </c>
      <c r="H711" t="s">
        <v>1891</v>
      </c>
      <c r="I711" s="2" t="s">
        <v>1892</v>
      </c>
      <c r="J711" s="2">
        <v>0.041666666666666664</v>
      </c>
      <c r="K711" s="1">
        <v>0.0625</v>
      </c>
      <c r="L711" s="1">
        <v>0.10416666666666666</v>
      </c>
      <c r="M711" s="1" t="s">
        <v>22</v>
      </c>
      <c r="N711" s="1" t="s">
        <v>574</v>
      </c>
      <c r="O711" s="1" t="s">
        <v>483</v>
      </c>
      <c r="P711" s="1" t="s">
        <v>484</v>
      </c>
      <c r="Q711" s="1">
        <v>43881</v>
      </c>
      <c r="R711" s="14">
        <v>5</v>
      </c>
      <c r="S711" s="1" t="s">
        <v>22</v>
      </c>
      <c r="T711" s="1" t="s">
        <v>22</v>
      </c>
      <c r="U711" s="1" t="s">
        <v>22</v>
      </c>
    </row>
    <row r="712" spans="1:21" x14ac:dyDescent="0.25">
      <c r="A712" s="1" t="s">
        <v>1866</v>
      </c>
      <c r="B712" s="2" t="s">
        <v>284</v>
      </c>
      <c r="C712" s="1" t="s">
        <v>285</v>
      </c>
      <c r="D712" s="1" t="s">
        <v>1893</v>
      </c>
      <c r="E712" s="1" t="s">
        <v>27</v>
      </c>
      <c r="F712" s="1">
        <v>43881</v>
      </c>
      <c r="G712" s="14" t="s">
        <v>28</v>
      </c>
      <c r="H712" t="s">
        <v>1894</v>
      </c>
      <c r="I712" s="2" t="s">
        <v>1895</v>
      </c>
      <c r="J712" s="2">
        <v>0.020833333333333332</v>
      </c>
      <c r="K712" s="1">
        <v>0.04861111111111111</v>
      </c>
      <c r="L712" s="1">
        <v>0.06944444444444445</v>
      </c>
      <c r="M712" s="1" t="s">
        <v>22</v>
      </c>
      <c r="N712" s="1" t="s">
        <v>53</v>
      </c>
      <c r="O712" s="1" t="s">
        <v>483</v>
      </c>
      <c r="P712" s="1" t="s">
        <v>488</v>
      </c>
      <c r="Q712" s="1">
        <v>43881</v>
      </c>
      <c r="R712" s="14">
        <v>5</v>
      </c>
      <c r="S712" s="1" t="s">
        <v>22</v>
      </c>
      <c r="T712" s="1" t="s">
        <v>22</v>
      </c>
      <c r="U712" s="1" t="s">
        <v>22</v>
      </c>
    </row>
    <row r="713" spans="1:21" x14ac:dyDescent="0.25">
      <c r="A713" s="1" t="s">
        <v>1866</v>
      </c>
      <c r="B713" s="2" t="s">
        <v>1047</v>
      </c>
      <c r="C713" s="1" t="s">
        <v>989</v>
      </c>
      <c r="D713" s="1" t="s">
        <v>1896</v>
      </c>
      <c r="E713" s="1" t="s">
        <v>27</v>
      </c>
      <c r="F713" s="1">
        <v>43881</v>
      </c>
      <c r="G713" s="14" t="s">
        <v>28</v>
      </c>
      <c r="H713" t="s">
        <v>1897</v>
      </c>
      <c r="I713" s="2" t="s">
        <v>1898</v>
      </c>
      <c r="J713" s="2">
        <v>0.020833333333333332</v>
      </c>
      <c r="K713" s="1" t="s">
        <v>22</v>
      </c>
      <c r="L713" s="1">
        <v>0.020833333333333332</v>
      </c>
      <c r="M713" s="1" t="s">
        <v>22</v>
      </c>
      <c r="N713" s="1" t="s">
        <v>53</v>
      </c>
      <c r="O713" s="1" t="s">
        <v>22</v>
      </c>
      <c r="P713" s="1" t="s">
        <v>484</v>
      </c>
      <c r="Q713" s="1">
        <v>43881</v>
      </c>
      <c r="R713" s="14">
        <v>5</v>
      </c>
      <c r="S713" s="1" t="s">
        <v>22</v>
      </c>
      <c r="T713" s="1" t="s">
        <v>22</v>
      </c>
      <c r="U713" s="1" t="s">
        <v>22</v>
      </c>
    </row>
    <row r="714" spans="1:21" x14ac:dyDescent="0.25">
      <c r="A714" s="1" t="s">
        <v>1866</v>
      </c>
      <c r="B714" s="2" t="s">
        <v>286</v>
      </c>
      <c r="C714" s="1" t="s">
        <v>974</v>
      </c>
      <c r="D714" s="1" t="s">
        <v>1899</v>
      </c>
      <c r="E714" s="1" t="s">
        <v>27</v>
      </c>
      <c r="F714" s="1">
        <v>43888</v>
      </c>
      <c r="G714" s="14" t="s">
        <v>38</v>
      </c>
      <c r="H714" t="s">
        <v>1900</v>
      </c>
      <c r="I714" s="2" t="s">
        <v>1901</v>
      </c>
      <c r="J714" s="2">
        <v>0.0625</v>
      </c>
      <c r="K714" s="1" t="s">
        <v>22</v>
      </c>
      <c r="L714" s="1">
        <v>0.0625</v>
      </c>
      <c r="M714" s="1" t="s">
        <v>22</v>
      </c>
      <c r="N714" s="1" t="s">
        <v>31</v>
      </c>
      <c r="O714" s="1" t="s">
        <v>22</v>
      </c>
      <c r="P714" s="1" t="s">
        <v>484</v>
      </c>
      <c r="Q714" s="1">
        <v>43888</v>
      </c>
      <c r="R714" s="14">
        <v>5</v>
      </c>
      <c r="S714" s="1" t="s">
        <v>22</v>
      </c>
      <c r="T714" s="1" t="s">
        <v>22</v>
      </c>
      <c r="U714" s="1" t="s">
        <v>22</v>
      </c>
    </row>
    <row r="715" spans="1:21" x14ac:dyDescent="0.25">
      <c r="A715" s="1" t="s">
        <v>1866</v>
      </c>
      <c r="B715" s="2" t="s">
        <v>1093</v>
      </c>
      <c r="C715" s="1" t="s">
        <v>1651</v>
      </c>
      <c r="D715" s="1" t="s">
        <v>1902</v>
      </c>
      <c r="E715" s="1" t="s">
        <v>27</v>
      </c>
      <c r="F715" s="1">
        <v>43888</v>
      </c>
      <c r="G715" s="14" t="s">
        <v>38</v>
      </c>
      <c r="H715" t="s">
        <v>1903</v>
      </c>
      <c r="I715" s="2" t="s">
        <v>1904</v>
      </c>
      <c r="J715" s="2">
        <v>0.125</v>
      </c>
      <c r="K715" s="1">
        <v>0.11805555555555557</v>
      </c>
      <c r="L715" s="1">
        <v>0.24305555555555558</v>
      </c>
      <c r="M715" s="1" t="s">
        <v>22</v>
      </c>
      <c r="N715" s="1" t="s">
        <v>574</v>
      </c>
      <c r="O715" s="1" t="s">
        <v>483</v>
      </c>
      <c r="P715" s="1" t="s">
        <v>488</v>
      </c>
      <c r="Q715" s="1">
        <v>43888</v>
      </c>
      <c r="R715" s="14">
        <v>5</v>
      </c>
      <c r="S715" s="1" t="s">
        <v>22</v>
      </c>
      <c r="T715" s="1" t="s">
        <v>22</v>
      </c>
      <c r="U715" s="1" t="s">
        <v>22</v>
      </c>
    </row>
    <row r="716" spans="1:21" x14ac:dyDescent="0.25">
      <c r="A716" s="1" t="s">
        <v>1866</v>
      </c>
      <c r="B716" s="2" t="s">
        <v>118</v>
      </c>
      <c r="C716" s="1" t="s">
        <v>25</v>
      </c>
      <c r="D716" s="1" t="s">
        <v>1905</v>
      </c>
      <c r="E716" s="1" t="s">
        <v>27</v>
      </c>
      <c r="F716" s="1">
        <v>43889</v>
      </c>
      <c r="G716" s="14" t="s">
        <v>38</v>
      </c>
      <c r="H716" t="s">
        <v>1906</v>
      </c>
      <c r="I716" s="2" t="s">
        <v>1907</v>
      </c>
      <c r="J716" s="2">
        <v>0.020833333333333332</v>
      </c>
      <c r="K716" s="1">
        <v>0.0625</v>
      </c>
      <c r="L716" s="1">
        <v>0.08333333333333333</v>
      </c>
      <c r="M716" s="1" t="s">
        <v>22</v>
      </c>
      <c r="N716" s="1" t="s">
        <v>31</v>
      </c>
      <c r="O716" s="1" t="s">
        <v>483</v>
      </c>
      <c r="P716" s="1" t="s">
        <v>484</v>
      </c>
      <c r="Q716" s="1">
        <v>43889</v>
      </c>
      <c r="R716" s="14">
        <v>5</v>
      </c>
      <c r="S716" s="1" t="s">
        <v>22</v>
      </c>
      <c r="T716" s="1" t="s">
        <v>22</v>
      </c>
      <c r="U716" s="1" t="s">
        <v>22</v>
      </c>
    </row>
    <row r="717" spans="1:21" x14ac:dyDescent="0.25">
      <c r="A717" s="1" t="s">
        <v>1908</v>
      </c>
      <c r="B717" s="2" t="s">
        <v>525</v>
      </c>
      <c r="C717" s="1" t="s">
        <v>25</v>
      </c>
      <c r="D717" s="1" t="s">
        <v>1909</v>
      </c>
      <c r="E717" s="1" t="s">
        <v>27</v>
      </c>
      <c r="F717" s="1">
        <v>43901</v>
      </c>
      <c r="G717" s="14" t="s">
        <v>953</v>
      </c>
      <c r="H717" t="s">
        <v>1910</v>
      </c>
      <c r="I717" s="2" t="s">
        <v>1911</v>
      </c>
      <c r="J717" s="2">
        <v>0.020833333333333332</v>
      </c>
      <c r="K717" s="1">
        <v>0.020833333333333332</v>
      </c>
      <c r="L717" s="1">
        <v>0.041666666666666664</v>
      </c>
      <c r="M717" s="1" t="s">
        <v>22</v>
      </c>
      <c r="N717" s="1" t="s">
        <v>31</v>
      </c>
      <c r="O717" s="1" t="s">
        <v>483</v>
      </c>
      <c r="P717" s="1" t="s">
        <v>484</v>
      </c>
      <c r="Q717" s="1">
        <v>43901</v>
      </c>
      <c r="R717" s="14">
        <v>5</v>
      </c>
      <c r="S717" s="1" t="s">
        <v>22</v>
      </c>
      <c r="T717" s="1" t="s">
        <v>22</v>
      </c>
      <c r="U717" s="1" t="s">
        <v>22</v>
      </c>
    </row>
    <row r="718" spans="1:21" x14ac:dyDescent="0.25">
      <c r="A718" s="1" t="s">
        <v>1908</v>
      </c>
      <c r="B718" s="2" t="s">
        <v>525</v>
      </c>
      <c r="C718" s="1" t="s">
        <v>25</v>
      </c>
      <c r="D718" s="1" t="s">
        <v>1912</v>
      </c>
      <c r="E718" s="1" t="s">
        <v>27</v>
      </c>
      <c r="F718" s="1">
        <v>43901</v>
      </c>
      <c r="G718" s="14" t="s">
        <v>28</v>
      </c>
      <c r="H718" t="s">
        <v>1913</v>
      </c>
      <c r="I718" s="2" t="s">
        <v>1914</v>
      </c>
      <c r="J718" s="2">
        <v>0.041666666666666664</v>
      </c>
      <c r="K718" s="1">
        <v>0.052083333333333336</v>
      </c>
      <c r="L718" s="1">
        <v>0.09375</v>
      </c>
      <c r="M718" s="1" t="s">
        <v>22</v>
      </c>
      <c r="N718" s="1" t="s">
        <v>31</v>
      </c>
      <c r="O718" s="1" t="s">
        <v>483</v>
      </c>
      <c r="P718" s="1" t="s">
        <v>484</v>
      </c>
      <c r="Q718" s="1" t="s">
        <v>22</v>
      </c>
      <c r="R718" s="1">
        <v>5</v>
      </c>
      <c r="S718" s="1" t="s">
        <v>22</v>
      </c>
      <c r="T718" s="1" t="s">
        <v>22</v>
      </c>
      <c r="U718" s="1" t="s">
        <v>22</v>
      </c>
    </row>
    <row r="719" spans="1:21" x14ac:dyDescent="0.25">
      <c r="A719" s="1" t="s">
        <v>1908</v>
      </c>
      <c r="B719" s="2" t="s">
        <v>525</v>
      </c>
      <c r="C719" s="1" t="s">
        <v>25</v>
      </c>
      <c r="D719" s="1" t="s">
        <v>1915</v>
      </c>
      <c r="E719" s="1" t="s">
        <v>27</v>
      </c>
      <c r="F719" s="1">
        <v>43906</v>
      </c>
      <c r="G719" s="14" t="s">
        <v>38</v>
      </c>
      <c r="H719" t="s">
        <v>1916</v>
      </c>
      <c r="I719" s="2" t="s">
        <v>1917</v>
      </c>
      <c r="J719" s="2">
        <v>0.020833333333333332</v>
      </c>
      <c r="K719" s="1" t="s">
        <v>22</v>
      </c>
      <c r="L719" s="1">
        <v>0.020833333333333332</v>
      </c>
      <c r="M719" s="1" t="s">
        <v>22</v>
      </c>
      <c r="N719" s="1" t="s">
        <v>31</v>
      </c>
      <c r="O719" s="1" t="s">
        <v>22</v>
      </c>
      <c r="P719" s="1" t="s">
        <v>484</v>
      </c>
      <c r="Q719" s="1" t="s">
        <v>22</v>
      </c>
      <c r="R719" s="1">
        <v>5</v>
      </c>
      <c r="S719" s="1" t="s">
        <v>22</v>
      </c>
      <c r="T719" s="1" t="s">
        <v>22</v>
      </c>
      <c r="U719" s="1" t="s">
        <v>22</v>
      </c>
    </row>
    <row r="720" spans="1:21" x14ac:dyDescent="0.25">
      <c r="A720" s="1" t="s">
        <v>1908</v>
      </c>
      <c r="B720" s="2" t="s">
        <v>113</v>
      </c>
      <c r="C720" s="1" t="s">
        <v>25</v>
      </c>
      <c r="D720" s="1" t="s">
        <v>1918</v>
      </c>
      <c r="E720" s="1" t="s">
        <v>27</v>
      </c>
      <c r="F720" s="1">
        <v>43907</v>
      </c>
      <c r="G720" s="14" t="s">
        <v>38</v>
      </c>
      <c r="H720" t="s">
        <v>1919</v>
      </c>
      <c r="I720" s="2" t="s">
        <v>1920</v>
      </c>
      <c r="J720" s="2">
        <v>0.125</v>
      </c>
      <c r="K720" s="1" t="s">
        <v>22</v>
      </c>
      <c r="L720" s="1">
        <v>0.125</v>
      </c>
      <c r="M720" s="1" t="s">
        <v>22</v>
      </c>
      <c r="N720" s="1" t="s">
        <v>31</v>
      </c>
      <c r="O720" s="1" t="s">
        <v>22</v>
      </c>
      <c r="P720" s="1" t="s">
        <v>484</v>
      </c>
      <c r="Q720" s="1">
        <v>43907</v>
      </c>
      <c r="R720" s="14">
        <v>5</v>
      </c>
      <c r="S720" s="1" t="s">
        <v>22</v>
      </c>
      <c r="T720" s="1" t="s">
        <v>22</v>
      </c>
      <c r="U720" s="1" t="s">
        <v>22</v>
      </c>
    </row>
    <row r="721" spans="1:21" x14ac:dyDescent="0.25">
      <c r="A721" s="1" t="s">
        <v>1908</v>
      </c>
      <c r="B721" s="2" t="s">
        <v>1451</v>
      </c>
      <c r="C721" s="1" t="s">
        <v>287</v>
      </c>
      <c r="D721" s="1" t="s">
        <v>1921</v>
      </c>
      <c r="E721" s="1" t="s">
        <v>27</v>
      </c>
      <c r="F721" s="1">
        <v>43908</v>
      </c>
      <c r="G721" s="14" t="s">
        <v>133</v>
      </c>
      <c r="H721" t="s">
        <v>1922</v>
      </c>
      <c r="I721" s="2" t="s">
        <v>1923</v>
      </c>
      <c r="J721" s="2">
        <v>0.11458333333333333</v>
      </c>
      <c r="K721" s="1" t="s">
        <v>22</v>
      </c>
      <c r="L721" s="1">
        <v>0.11458333333333333</v>
      </c>
      <c r="M721" s="1" t="s">
        <v>22</v>
      </c>
      <c r="N721" s="1" t="s">
        <v>31</v>
      </c>
      <c r="O721" s="1" t="s">
        <v>22</v>
      </c>
      <c r="P721" s="1" t="s">
        <v>484</v>
      </c>
      <c r="Q721" s="1">
        <v>43909</v>
      </c>
      <c r="R721" s="14">
        <v>5</v>
      </c>
      <c r="S721" s="1" t="s">
        <v>22</v>
      </c>
      <c r="T721" s="1" t="s">
        <v>22</v>
      </c>
      <c r="U721" s="1" t="s">
        <v>22</v>
      </c>
    </row>
    <row r="722" spans="1:21" x14ac:dyDescent="0.25">
      <c r="A722" s="1" t="s">
        <v>1908</v>
      </c>
      <c r="B722" s="2" t="s">
        <v>529</v>
      </c>
      <c r="C722" s="1" t="s">
        <v>1924</v>
      </c>
      <c r="D722" s="1" t="s">
        <v>1925</v>
      </c>
      <c r="E722" s="1" t="s">
        <v>952</v>
      </c>
      <c r="F722" s="1">
        <v>43916</v>
      </c>
      <c r="G722" s="14" t="s">
        <v>28</v>
      </c>
      <c r="H722" t="s">
        <v>1926</v>
      </c>
      <c r="I722" s="2" t="s">
        <v>1927</v>
      </c>
      <c r="J722" s="2">
        <v>0.16666666666666666</v>
      </c>
      <c r="K722" s="1">
        <v>0.16666666666666666</v>
      </c>
      <c r="L722" s="1">
        <v>0.3333333333333333</v>
      </c>
      <c r="M722" s="1" t="s">
        <v>22</v>
      </c>
      <c r="N722" s="1" t="s">
        <v>31</v>
      </c>
      <c r="O722" s="1" t="s">
        <v>483</v>
      </c>
      <c r="P722" s="1" t="s">
        <v>117</v>
      </c>
      <c r="Q722" s="1">
        <v>43917</v>
      </c>
      <c r="R722" s="14">
        <v>5</v>
      </c>
      <c r="S722" s="1" t="s">
        <v>22</v>
      </c>
      <c r="T722" s="1" t="s">
        <v>22</v>
      </c>
      <c r="U722" s="1" t="s">
        <v>22</v>
      </c>
    </row>
    <row r="723" spans="1:21" x14ac:dyDescent="0.25">
      <c r="A723" s="1" t="s">
        <v>1908</v>
      </c>
      <c r="B723" s="2" t="s">
        <v>99</v>
      </c>
      <c r="C723" s="1" t="s">
        <v>25</v>
      </c>
      <c r="D723" s="1" t="s">
        <v>1928</v>
      </c>
      <c r="E723" s="1" t="s">
        <v>952</v>
      </c>
      <c r="F723" s="1">
        <v>43921</v>
      </c>
      <c r="G723" s="14" t="s">
        <v>28</v>
      </c>
      <c r="H723" t="s">
        <v>1929</v>
      </c>
      <c r="I723" s="2" t="s">
        <v>1891</v>
      </c>
      <c r="J723" s="2">
        <v>0.041666666666666664</v>
      </c>
      <c r="K723" s="1">
        <v>0.0798611111111111</v>
      </c>
      <c r="L723" s="1">
        <v>0.12152777777777776</v>
      </c>
      <c r="M723" s="1" t="s">
        <v>22</v>
      </c>
      <c r="N723" s="1" t="s">
        <v>53</v>
      </c>
      <c r="O723" s="1" t="s">
        <v>483</v>
      </c>
      <c r="P723" s="1" t="s">
        <v>484</v>
      </c>
      <c r="Q723" s="1">
        <v>43922</v>
      </c>
      <c r="R723" s="14">
        <v>5</v>
      </c>
      <c r="S723" s="1" t="s">
        <v>22</v>
      </c>
      <c r="T723" s="1" t="s">
        <v>22</v>
      </c>
      <c r="U723" s="1" t="s">
        <v>22</v>
      </c>
    </row>
    <row r="724" spans="1:21" x14ac:dyDescent="0.25">
      <c r="A724" s="1" t="s">
        <v>1930</v>
      </c>
      <c r="B724" s="2" t="s">
        <v>286</v>
      </c>
      <c r="C724" s="1" t="s">
        <v>974</v>
      </c>
      <c r="D724" s="1" t="s">
        <v>1931</v>
      </c>
      <c r="E724" s="1" t="s">
        <v>37</v>
      </c>
      <c r="F724" s="1">
        <v>43928</v>
      </c>
      <c r="G724" s="14" t="s">
        <v>28</v>
      </c>
      <c r="H724" t="s">
        <v>1932</v>
      </c>
      <c r="I724" s="2" t="s">
        <v>1933</v>
      </c>
      <c r="J724" s="2">
        <v>0.0625</v>
      </c>
      <c r="K724" s="1">
        <v>0.03125</v>
      </c>
      <c r="L724" s="1">
        <v>0.09375</v>
      </c>
      <c r="M724" s="1" t="s">
        <v>22</v>
      </c>
      <c r="N724" s="1" t="s">
        <v>574</v>
      </c>
      <c r="O724" s="1" t="s">
        <v>483</v>
      </c>
      <c r="P724" s="1" t="s">
        <v>484</v>
      </c>
      <c r="Q724" s="1">
        <v>43928</v>
      </c>
      <c r="R724" s="14">
        <v>5</v>
      </c>
      <c r="S724" s="1" t="s">
        <v>22</v>
      </c>
      <c r="T724" s="1" t="s">
        <v>22</v>
      </c>
      <c r="U724" s="1" t="s">
        <v>22</v>
      </c>
    </row>
    <row r="725" spans="1:21" x14ac:dyDescent="0.25">
      <c r="A725" s="1" t="s">
        <v>1930</v>
      </c>
      <c r="B725" s="2" t="s">
        <v>1040</v>
      </c>
      <c r="C725" s="1" t="s">
        <v>1631</v>
      </c>
      <c r="D725" s="1" t="s">
        <v>1934</v>
      </c>
      <c r="E725" s="1" t="s">
        <v>952</v>
      </c>
      <c r="F725" s="1">
        <v>43922</v>
      </c>
      <c r="G725" s="14" t="s">
        <v>28</v>
      </c>
      <c r="H725" t="s">
        <v>1935</v>
      </c>
      <c r="I725" s="2" t="s">
        <v>1936</v>
      </c>
      <c r="J725" s="2">
        <v>0.08333333333333333</v>
      </c>
      <c r="K725" s="1">
        <v>0.06597222222222222</v>
      </c>
      <c r="L725" s="1">
        <v>0.14930555555555555</v>
      </c>
      <c r="M725" s="1" t="s">
        <v>22</v>
      </c>
      <c r="N725" s="1" t="s">
        <v>53</v>
      </c>
      <c r="O725" s="1" t="s">
        <v>483</v>
      </c>
      <c r="P725" s="1" t="s">
        <v>1405</v>
      </c>
      <c r="Q725" s="1">
        <v>43929</v>
      </c>
      <c r="R725" s="14">
        <v>5</v>
      </c>
      <c r="S725" s="1" t="s">
        <v>22</v>
      </c>
      <c r="T725" s="1" t="s">
        <v>22</v>
      </c>
      <c r="U725" s="1" t="s">
        <v>22</v>
      </c>
    </row>
    <row r="726" spans="1:21" x14ac:dyDescent="0.25">
      <c r="A726" s="1" t="s">
        <v>1930</v>
      </c>
      <c r="B726" s="2" t="s">
        <v>529</v>
      </c>
      <c r="C726" s="1" t="s">
        <v>1924</v>
      </c>
      <c r="D726" s="1" t="s">
        <v>1937</v>
      </c>
      <c r="E726" s="1" t="s">
        <v>952</v>
      </c>
      <c r="F726" s="1">
        <v>43934</v>
      </c>
      <c r="G726" s="14" t="s">
        <v>1073</v>
      </c>
      <c r="H726" t="s">
        <v>1938</v>
      </c>
      <c r="I726" s="2" t="s">
        <v>1939</v>
      </c>
      <c r="J726" s="2">
        <v>0.020833333333333332</v>
      </c>
      <c r="K726" s="1">
        <v>0.027777777777777776</v>
      </c>
      <c r="L726" s="1">
        <v>0.048611111111111105</v>
      </c>
      <c r="M726" s="1" t="s">
        <v>22</v>
      </c>
      <c r="N726" s="1" t="s">
        <v>31</v>
      </c>
      <c r="O726" s="1" t="s">
        <v>483</v>
      </c>
      <c r="P726" s="1" t="s">
        <v>488</v>
      </c>
      <c r="Q726" s="1">
        <v>43934</v>
      </c>
      <c r="R726" s="14">
        <v>5</v>
      </c>
      <c r="S726" s="1" t="s">
        <v>22</v>
      </c>
      <c r="T726" s="1" t="s">
        <v>22</v>
      </c>
      <c r="U726" s="1" t="s">
        <v>22</v>
      </c>
    </row>
    <row r="727" spans="1:21" x14ac:dyDescent="0.25">
      <c r="A727" s="1" t="s">
        <v>1930</v>
      </c>
      <c r="B727" s="2" t="s">
        <v>525</v>
      </c>
      <c r="C727" s="1" t="s">
        <v>25</v>
      </c>
      <c r="D727" s="1" t="s">
        <v>1940</v>
      </c>
      <c r="E727" s="1" t="s">
        <v>952</v>
      </c>
      <c r="F727" s="1">
        <v>43935</v>
      </c>
      <c r="G727" s="14" t="s">
        <v>28</v>
      </c>
      <c r="H727" t="s">
        <v>1941</v>
      </c>
      <c r="I727" s="2" t="s">
        <v>1942</v>
      </c>
      <c r="J727" s="2">
        <v>0.08333333333333333</v>
      </c>
      <c r="K727" s="1">
        <v>0.0763888888888889</v>
      </c>
      <c r="L727" s="1">
        <v>0.1597222222222222</v>
      </c>
      <c r="M727" s="1" t="s">
        <v>22</v>
      </c>
      <c r="N727" s="1" t="s">
        <v>574</v>
      </c>
      <c r="O727" s="1" t="s">
        <v>483</v>
      </c>
      <c r="P727" s="1" t="s">
        <v>484</v>
      </c>
      <c r="Q727" s="1">
        <v>43935</v>
      </c>
      <c r="R727" s="14">
        <v>5</v>
      </c>
      <c r="S727" s="1" t="s">
        <v>22</v>
      </c>
      <c r="T727" s="1" t="s">
        <v>22</v>
      </c>
      <c r="U727" s="1" t="s">
        <v>22</v>
      </c>
    </row>
    <row r="728" spans="1:21" x14ac:dyDescent="0.25">
      <c r="A728" s="1" t="s">
        <v>1930</v>
      </c>
      <c r="B728" s="2" t="s">
        <v>796</v>
      </c>
      <c r="C728" s="1" t="s">
        <v>285</v>
      </c>
      <c r="D728" s="1" t="s">
        <v>1943</v>
      </c>
      <c r="E728" s="1" t="s">
        <v>37</v>
      </c>
      <c r="F728" s="1">
        <v>43937</v>
      </c>
      <c r="G728" s="14" t="s">
        <v>28</v>
      </c>
      <c r="H728" t="s">
        <v>1944</v>
      </c>
      <c r="I728" s="2" t="s">
        <v>1945</v>
      </c>
      <c r="J728" s="2">
        <v>0.0625</v>
      </c>
      <c r="K728" s="1">
        <v>0.08333333333333333</v>
      </c>
      <c r="L728" s="1">
        <v>0.14583333333333331</v>
      </c>
      <c r="M728" s="1" t="s">
        <v>22</v>
      </c>
      <c r="N728" s="1" t="s">
        <v>574</v>
      </c>
      <c r="O728" s="1" t="s">
        <v>483</v>
      </c>
      <c r="P728" s="1" t="s">
        <v>484</v>
      </c>
      <c r="Q728" s="1">
        <v>43937</v>
      </c>
      <c r="R728" s="14">
        <v>5</v>
      </c>
      <c r="S728" s="1" t="s">
        <v>22</v>
      </c>
      <c r="T728" s="1" t="s">
        <v>22</v>
      </c>
      <c r="U728" s="1" t="s">
        <v>22</v>
      </c>
    </row>
    <row r="729" spans="1:21" x14ac:dyDescent="0.25">
      <c r="A729" s="1" t="s">
        <v>1930</v>
      </c>
      <c r="B729" s="2" t="s">
        <v>1442</v>
      </c>
      <c r="C729" s="1" t="s">
        <v>186</v>
      </c>
      <c r="D729" s="1" t="s">
        <v>1946</v>
      </c>
      <c r="E729" s="1" t="s">
        <v>27</v>
      </c>
      <c r="F729" s="1">
        <v>43939</v>
      </c>
      <c r="G729" s="14" t="s">
        <v>670</v>
      </c>
      <c r="H729" t="s">
        <v>1947</v>
      </c>
      <c r="I729" s="2" t="s">
        <v>1948</v>
      </c>
      <c r="J729" s="2">
        <v>0.020833333333333332</v>
      </c>
      <c r="K729" s="1">
        <v>0.020833333333333332</v>
      </c>
      <c r="L729" s="1">
        <v>0.041666666666666664</v>
      </c>
      <c r="M729" s="1" t="s">
        <v>22</v>
      </c>
      <c r="N729" s="1" t="s">
        <v>31</v>
      </c>
      <c r="O729" s="1" t="s">
        <v>483</v>
      </c>
      <c r="P729" s="1" t="s">
        <v>488</v>
      </c>
      <c r="Q729" s="1">
        <v>43939</v>
      </c>
      <c r="R729" s="14">
        <v>5</v>
      </c>
      <c r="S729" s="1" t="s">
        <v>22</v>
      </c>
      <c r="T729" s="1" t="s">
        <v>22</v>
      </c>
      <c r="U729" s="1" t="s">
        <v>22</v>
      </c>
    </row>
    <row r="730" spans="1:21" x14ac:dyDescent="0.25">
      <c r="A730" s="1" t="s">
        <v>1930</v>
      </c>
      <c r="B730" s="2" t="s">
        <v>529</v>
      </c>
      <c r="C730" s="1" t="s">
        <v>1924</v>
      </c>
      <c r="D730" s="1" t="s">
        <v>1949</v>
      </c>
      <c r="E730" s="1" t="s">
        <v>27</v>
      </c>
      <c r="F730" s="1">
        <v>43943</v>
      </c>
      <c r="G730" s="14" t="s">
        <v>133</v>
      </c>
      <c r="H730" t="s">
        <v>1950</v>
      </c>
      <c r="I730" s="2" t="s">
        <v>1950</v>
      </c>
      <c r="J730" s="2">
        <v>0.03125</v>
      </c>
      <c r="K730" s="1">
        <v>0.052083333333333336</v>
      </c>
      <c r="L730" s="1">
        <v>0.08333333333333334</v>
      </c>
      <c r="M730" s="1" t="s">
        <v>22</v>
      </c>
      <c r="N730" s="1" t="s">
        <v>31</v>
      </c>
      <c r="O730" s="1" t="s">
        <v>483</v>
      </c>
      <c r="P730" s="1" t="s">
        <v>488</v>
      </c>
      <c r="Q730" s="1">
        <v>43943</v>
      </c>
      <c r="R730" s="14">
        <v>5</v>
      </c>
      <c r="S730" s="1" t="s">
        <v>22</v>
      </c>
      <c r="T730" s="1" t="s">
        <v>22</v>
      </c>
      <c r="U730" s="1" t="s">
        <v>22</v>
      </c>
    </row>
    <row r="731" spans="1:21" x14ac:dyDescent="0.25">
      <c r="A731" s="1" t="s">
        <v>1930</v>
      </c>
      <c r="B731" s="2" t="s">
        <v>1038</v>
      </c>
      <c r="C731" s="1" t="s">
        <v>1659</v>
      </c>
      <c r="D731" s="1" t="s">
        <v>1951</v>
      </c>
      <c r="E731" s="1" t="s">
        <v>37</v>
      </c>
      <c r="F731" s="1">
        <v>43943</v>
      </c>
      <c r="G731" s="14" t="s">
        <v>1952</v>
      </c>
      <c r="H731" t="s">
        <v>1953</v>
      </c>
      <c r="I731" s="2" t="s">
        <v>1954</v>
      </c>
      <c r="J731" s="2">
        <v>0.03125</v>
      </c>
      <c r="K731" s="1">
        <v>0.027777777777777776</v>
      </c>
      <c r="L731" s="1">
        <v>0.059027777777777776</v>
      </c>
      <c r="M731" s="1" t="s">
        <v>22</v>
      </c>
      <c r="N731" s="1" t="s">
        <v>31</v>
      </c>
      <c r="O731" s="1" t="s">
        <v>483</v>
      </c>
      <c r="P731" s="1" t="s">
        <v>488</v>
      </c>
      <c r="Q731" s="1">
        <v>43943</v>
      </c>
      <c r="R731" s="14">
        <v>5</v>
      </c>
      <c r="S731" s="1" t="s">
        <v>22</v>
      </c>
      <c r="T731" s="1" t="s">
        <v>22</v>
      </c>
      <c r="U731" s="1" t="s">
        <v>22</v>
      </c>
    </row>
    <row r="732" spans="1:21" x14ac:dyDescent="0.25">
      <c r="A732" s="1" t="s">
        <v>1930</v>
      </c>
      <c r="B732" s="2" t="s">
        <v>288</v>
      </c>
      <c r="C732" s="1" t="s">
        <v>25</v>
      </c>
      <c r="D732" s="1" t="s">
        <v>1955</v>
      </c>
      <c r="E732" s="1" t="s">
        <v>952</v>
      </c>
      <c r="F732" s="1">
        <v>43943</v>
      </c>
      <c r="G732" s="14" t="s">
        <v>50</v>
      </c>
      <c r="H732" t="s">
        <v>1956</v>
      </c>
      <c r="I732" s="2" t="s">
        <v>1957</v>
      </c>
      <c r="J732" s="2">
        <v>0.041666666666666664</v>
      </c>
      <c r="K732" s="1">
        <v>0.041666666666666664</v>
      </c>
      <c r="L732" s="1">
        <v>0.08333333333333333</v>
      </c>
      <c r="M732" s="1" t="s">
        <v>22</v>
      </c>
      <c r="N732" s="1" t="s">
        <v>574</v>
      </c>
      <c r="O732" s="1" t="s">
        <v>483</v>
      </c>
      <c r="P732" s="1" t="s">
        <v>488</v>
      </c>
      <c r="Q732" s="1">
        <v>43943</v>
      </c>
      <c r="R732" s="14">
        <v>5</v>
      </c>
      <c r="S732" s="1" t="s">
        <v>22</v>
      </c>
      <c r="T732" s="1" t="s">
        <v>22</v>
      </c>
      <c r="U732" s="1" t="s">
        <v>22</v>
      </c>
    </row>
    <row r="733" spans="1:21" x14ac:dyDescent="0.25">
      <c r="A733" s="1" t="s">
        <v>1930</v>
      </c>
      <c r="B733" s="2" t="s">
        <v>286</v>
      </c>
      <c r="C733" s="1" t="s">
        <v>974</v>
      </c>
      <c r="D733" s="1" t="s">
        <v>1958</v>
      </c>
      <c r="E733" s="1" t="s">
        <v>37</v>
      </c>
      <c r="F733" s="1">
        <v>43945</v>
      </c>
      <c r="G733" s="14" t="s">
        <v>28</v>
      </c>
      <c r="H733" t="s">
        <v>1959</v>
      </c>
      <c r="I733" s="2" t="s">
        <v>1960</v>
      </c>
      <c r="J733" s="2">
        <v>0.03125</v>
      </c>
      <c r="K733" s="1">
        <v>0.0625</v>
      </c>
      <c r="L733" s="1">
        <v>0.09375</v>
      </c>
      <c r="M733" s="1" t="s">
        <v>22</v>
      </c>
      <c r="N733" s="1" t="s">
        <v>31</v>
      </c>
      <c r="O733" s="1" t="s">
        <v>483</v>
      </c>
      <c r="P733" s="1" t="s">
        <v>484</v>
      </c>
      <c r="Q733" s="1">
        <v>43945</v>
      </c>
      <c r="R733" s="14">
        <v>5</v>
      </c>
      <c r="S733" s="1" t="s">
        <v>22</v>
      </c>
      <c r="T733" s="1" t="s">
        <v>22</v>
      </c>
      <c r="U733" s="1" t="s">
        <v>22</v>
      </c>
    </row>
    <row r="734" spans="1:21" x14ac:dyDescent="0.25">
      <c r="A734" s="1" t="s">
        <v>1930</v>
      </c>
      <c r="B734" s="2" t="s">
        <v>286</v>
      </c>
      <c r="C734" s="1" t="s">
        <v>974</v>
      </c>
      <c r="D734" s="1" t="s">
        <v>1961</v>
      </c>
      <c r="E734" s="1" t="s">
        <v>37</v>
      </c>
      <c r="F734" s="1">
        <v>43948</v>
      </c>
      <c r="G734" s="14" t="s">
        <v>28</v>
      </c>
      <c r="H734" t="s">
        <v>1962</v>
      </c>
      <c r="I734" s="2" t="s">
        <v>1963</v>
      </c>
      <c r="J734" s="2">
        <v>0.03125</v>
      </c>
      <c r="K734" s="1" t="s">
        <v>22</v>
      </c>
      <c r="L734" s="1">
        <v>0.03125</v>
      </c>
      <c r="M734" s="1" t="s">
        <v>22</v>
      </c>
      <c r="N734" s="1" t="s">
        <v>31</v>
      </c>
      <c r="O734" s="1" t="s">
        <v>22</v>
      </c>
      <c r="P734" s="1" t="s">
        <v>484</v>
      </c>
      <c r="Q734" s="1">
        <v>43948</v>
      </c>
      <c r="R734" s="14">
        <v>5</v>
      </c>
      <c r="S734" s="1" t="s">
        <v>22</v>
      </c>
      <c r="T734" s="1" t="s">
        <v>22</v>
      </c>
      <c r="U734" s="1" t="s">
        <v>22</v>
      </c>
    </row>
    <row r="735" spans="1:21" x14ac:dyDescent="0.25">
      <c r="A735" s="1" t="s">
        <v>1930</v>
      </c>
      <c r="B735" s="2" t="s">
        <v>1635</v>
      </c>
      <c r="C735" s="1" t="s">
        <v>186</v>
      </c>
      <c r="D735" s="1" t="s">
        <v>1964</v>
      </c>
      <c r="E735" s="1" t="s">
        <v>37</v>
      </c>
      <c r="F735" s="1">
        <v>43950</v>
      </c>
      <c r="G735" s="14" t="s">
        <v>28</v>
      </c>
      <c r="H735" t="s">
        <v>1965</v>
      </c>
      <c r="I735" s="2" t="s">
        <v>1966</v>
      </c>
      <c r="J735" s="2">
        <v>0.041666666666666664</v>
      </c>
      <c r="K735" s="1" t="s">
        <v>22</v>
      </c>
      <c r="L735" s="1">
        <v>0.041666666666666664</v>
      </c>
      <c r="M735" s="1" t="s">
        <v>22</v>
      </c>
      <c r="N735" s="1" t="s">
        <v>574</v>
      </c>
      <c r="O735" s="1" t="s">
        <v>22</v>
      </c>
      <c r="P735" s="1" t="s">
        <v>488</v>
      </c>
      <c r="Q735" s="1">
        <v>43951</v>
      </c>
      <c r="R735" s="14">
        <v>5</v>
      </c>
      <c r="S735" s="1" t="s">
        <v>22</v>
      </c>
      <c r="T735" s="1" t="s">
        <v>22</v>
      </c>
      <c r="U735" s="1" t="s">
        <v>22</v>
      </c>
    </row>
    <row r="736" spans="1:21" x14ac:dyDescent="0.25">
      <c r="A736" s="1" t="s">
        <v>1967</v>
      </c>
      <c r="B736" s="2" t="s">
        <v>525</v>
      </c>
      <c r="C736" s="1" t="s">
        <v>25</v>
      </c>
      <c r="D736" s="1" t="s">
        <v>1968</v>
      </c>
      <c r="E736" s="1" t="s">
        <v>952</v>
      </c>
      <c r="F736" s="1">
        <v>43953</v>
      </c>
      <c r="G736" s="14" t="s">
        <v>28</v>
      </c>
      <c r="H736" t="s">
        <v>1969</v>
      </c>
      <c r="I736" s="2" t="s">
        <v>1970</v>
      </c>
      <c r="J736" s="2">
        <v>0.041666666666666664</v>
      </c>
      <c r="K736" s="1">
        <v>0.06944444444444443</v>
      </c>
      <c r="L736" s="1">
        <v>0.1111111111111111</v>
      </c>
      <c r="M736" s="1" t="s">
        <v>22</v>
      </c>
      <c r="N736" s="1" t="s">
        <v>53</v>
      </c>
      <c r="O736" s="1" t="s">
        <v>483</v>
      </c>
      <c r="P736" s="1" t="s">
        <v>484</v>
      </c>
      <c r="Q736" s="1">
        <v>43953</v>
      </c>
      <c r="R736" s="14">
        <v>5</v>
      </c>
      <c r="S736" s="1" t="s">
        <v>22</v>
      </c>
      <c r="T736" s="1" t="s">
        <v>22</v>
      </c>
      <c r="U736" s="1" t="s">
        <v>22</v>
      </c>
    </row>
    <row r="737" spans="1:21" x14ac:dyDescent="0.25">
      <c r="A737" s="1" t="s">
        <v>1967</v>
      </c>
      <c r="B737" s="2" t="s">
        <v>1451</v>
      </c>
      <c r="C737" s="1" t="s">
        <v>287</v>
      </c>
      <c r="D737" s="1" t="s">
        <v>1971</v>
      </c>
      <c r="E737" s="1" t="s">
        <v>952</v>
      </c>
      <c r="F737" s="1">
        <v>43963</v>
      </c>
      <c r="G737" s="14" t="s">
        <v>50</v>
      </c>
      <c r="H737" t="s">
        <v>1972</v>
      </c>
      <c r="I737" s="2" t="s">
        <v>1973</v>
      </c>
      <c r="J737" s="2">
        <v>0.052083333333333336</v>
      </c>
      <c r="K737" s="1" t="s">
        <v>22</v>
      </c>
      <c r="L737" s="1">
        <v>0.052083333333333336</v>
      </c>
      <c r="M737" s="1" t="s">
        <v>22</v>
      </c>
      <c r="N737" s="1" t="s">
        <v>31</v>
      </c>
      <c r="O737" s="1" t="s">
        <v>22</v>
      </c>
      <c r="P737" s="1" t="s">
        <v>484</v>
      </c>
      <c r="Q737" s="1">
        <v>43963</v>
      </c>
      <c r="R737" s="14">
        <v>5</v>
      </c>
      <c r="S737" s="1" t="s">
        <v>22</v>
      </c>
      <c r="T737" s="1" t="s">
        <v>22</v>
      </c>
      <c r="U737" s="1" t="s">
        <v>22</v>
      </c>
    </row>
    <row r="738" spans="1:21" x14ac:dyDescent="0.25">
      <c r="A738" s="1" t="s">
        <v>1967</v>
      </c>
      <c r="B738" s="2" t="s">
        <v>1635</v>
      </c>
      <c r="C738" s="1" t="s">
        <v>186</v>
      </c>
      <c r="D738" s="1" t="s">
        <v>1974</v>
      </c>
      <c r="E738" s="1" t="s">
        <v>37</v>
      </c>
      <c r="F738" s="1">
        <v>43966</v>
      </c>
      <c r="G738" s="14" t="s">
        <v>28</v>
      </c>
      <c r="H738" t="s">
        <v>1975</v>
      </c>
      <c r="I738" s="2" t="s">
        <v>1976</v>
      </c>
      <c r="J738" s="2">
        <v>0.03125</v>
      </c>
      <c r="K738" s="1">
        <v>0.06597222222222222</v>
      </c>
      <c r="L738" s="1">
        <v>0.09722222222222222</v>
      </c>
      <c r="M738" s="1" t="s">
        <v>22</v>
      </c>
      <c r="N738" s="1" t="s">
        <v>574</v>
      </c>
      <c r="O738" s="1" t="s">
        <v>483</v>
      </c>
      <c r="P738" s="1" t="s">
        <v>488</v>
      </c>
      <c r="Q738" s="1">
        <v>43966</v>
      </c>
      <c r="R738" s="14">
        <v>5</v>
      </c>
      <c r="S738" s="1" t="s">
        <v>22</v>
      </c>
      <c r="T738" s="1" t="s">
        <v>22</v>
      </c>
      <c r="U738" s="1" t="s">
        <v>22</v>
      </c>
    </row>
    <row r="739" spans="1:21" x14ac:dyDescent="0.25">
      <c r="A739" s="1" t="s">
        <v>1967</v>
      </c>
      <c r="B739" s="2" t="s">
        <v>113</v>
      </c>
      <c r="C739" s="1" t="s">
        <v>25</v>
      </c>
      <c r="D739" s="1" t="s">
        <v>1977</v>
      </c>
      <c r="E739" s="1" t="s">
        <v>27</v>
      </c>
      <c r="F739" s="1">
        <v>43966</v>
      </c>
      <c r="G739" s="14" t="s">
        <v>28</v>
      </c>
      <c r="H739" t="s">
        <v>1978</v>
      </c>
      <c r="I739" s="2" t="s">
        <v>1979</v>
      </c>
      <c r="J739" s="2">
        <v>0.041666666666666664</v>
      </c>
      <c r="K739" s="1">
        <v>0.0625</v>
      </c>
      <c r="L739" s="1">
        <v>0.10416666666666666</v>
      </c>
      <c r="M739" s="1" t="s">
        <v>22</v>
      </c>
      <c r="N739" s="1" t="s">
        <v>31</v>
      </c>
      <c r="O739" s="1" t="s">
        <v>483</v>
      </c>
      <c r="P739" s="1" t="s">
        <v>484</v>
      </c>
      <c r="Q739" s="1">
        <v>43966</v>
      </c>
      <c r="R739" s="14">
        <v>5</v>
      </c>
      <c r="S739" s="1" t="s">
        <v>22</v>
      </c>
      <c r="T739" s="1" t="s">
        <v>22</v>
      </c>
      <c r="U739" s="1" t="s">
        <v>22</v>
      </c>
    </row>
    <row r="740" spans="1:21" x14ac:dyDescent="0.25">
      <c r="A740" s="1" t="s">
        <v>1967</v>
      </c>
      <c r="B740" s="2" t="s">
        <v>1012</v>
      </c>
      <c r="C740" s="1" t="s">
        <v>25</v>
      </c>
      <c r="D740" s="1" t="s">
        <v>1980</v>
      </c>
      <c r="E740" s="1" t="s">
        <v>27</v>
      </c>
      <c r="F740" s="1">
        <v>43970</v>
      </c>
      <c r="G740" s="14" t="s">
        <v>38</v>
      </c>
      <c r="H740" t="s">
        <v>1981</v>
      </c>
      <c r="I740" s="2" t="s">
        <v>1981</v>
      </c>
      <c r="J740" s="2">
        <v>0.11527777777777777</v>
      </c>
      <c r="K740" s="1" t="s">
        <v>22</v>
      </c>
      <c r="L740" s="1">
        <v>0.11527777777777777</v>
      </c>
      <c r="M740" s="1" t="s">
        <v>22</v>
      </c>
      <c r="N740" s="1" t="s">
        <v>31</v>
      </c>
      <c r="O740" s="1" t="s">
        <v>22</v>
      </c>
      <c r="P740" s="1" t="s">
        <v>488</v>
      </c>
      <c r="Q740" s="1">
        <v>43970</v>
      </c>
      <c r="R740" s="14">
        <v>5</v>
      </c>
      <c r="S740" s="1" t="s">
        <v>22</v>
      </c>
      <c r="T740" s="1" t="s">
        <v>22</v>
      </c>
      <c r="U740" s="1" t="s">
        <v>22</v>
      </c>
    </row>
    <row r="741" spans="1:21" x14ac:dyDescent="0.25">
      <c r="A741" s="1" t="s">
        <v>1967</v>
      </c>
      <c r="B741" s="2" t="s">
        <v>1635</v>
      </c>
      <c r="C741" s="1" t="s">
        <v>186</v>
      </c>
      <c r="D741" s="1" t="s">
        <v>1982</v>
      </c>
      <c r="E741" s="1" t="s">
        <v>27</v>
      </c>
      <c r="F741" s="1">
        <v>43972</v>
      </c>
      <c r="G741" s="14" t="s">
        <v>38</v>
      </c>
      <c r="H741" t="s">
        <v>1983</v>
      </c>
      <c r="I741" s="2" t="s">
        <v>1984</v>
      </c>
      <c r="J741" s="2">
        <v>0.052083333333333336</v>
      </c>
      <c r="K741" s="1">
        <v>0.03125</v>
      </c>
      <c r="L741" s="1">
        <v>0.08333333333333334</v>
      </c>
      <c r="M741" s="1" t="s">
        <v>22</v>
      </c>
      <c r="N741" s="1" t="s">
        <v>31</v>
      </c>
      <c r="O741" s="1" t="s">
        <v>483</v>
      </c>
      <c r="P741" s="1" t="s">
        <v>488</v>
      </c>
      <c r="Q741" s="1">
        <v>43972</v>
      </c>
      <c r="R741" s="14">
        <v>5</v>
      </c>
      <c r="S741" s="1" t="s">
        <v>22</v>
      </c>
      <c r="T741" s="1" t="s">
        <v>22</v>
      </c>
      <c r="U741" s="1" t="s">
        <v>22</v>
      </c>
    </row>
    <row r="742" spans="1:21" x14ac:dyDescent="0.25">
      <c r="A742" s="1" t="s">
        <v>1967</v>
      </c>
      <c r="B742" s="2" t="s">
        <v>796</v>
      </c>
      <c r="C742" s="1" t="s">
        <v>285</v>
      </c>
      <c r="D742" s="1" t="s">
        <v>1985</v>
      </c>
      <c r="E742" s="1" t="s">
        <v>27</v>
      </c>
      <c r="F742" s="1">
        <v>43973</v>
      </c>
      <c r="G742" s="14" t="s">
        <v>28</v>
      </c>
      <c r="H742" t="s">
        <v>1986</v>
      </c>
      <c r="I742" s="2" t="s">
        <v>1987</v>
      </c>
      <c r="J742" s="2">
        <v>0.03125</v>
      </c>
      <c r="K742" s="1">
        <v>0.0625</v>
      </c>
      <c r="L742" s="1">
        <v>0.09375</v>
      </c>
      <c r="M742" s="1" t="s">
        <v>22</v>
      </c>
      <c r="N742" s="1" t="s">
        <v>31</v>
      </c>
      <c r="O742" s="1" t="s">
        <v>483</v>
      </c>
      <c r="P742" s="1" t="s">
        <v>484</v>
      </c>
      <c r="Q742" s="1">
        <v>43973</v>
      </c>
      <c r="R742" s="14">
        <v>5</v>
      </c>
      <c r="S742" s="1" t="s">
        <v>22</v>
      </c>
      <c r="T742" s="1" t="s">
        <v>22</v>
      </c>
      <c r="U742" s="1" t="s">
        <v>22</v>
      </c>
    </row>
    <row r="743" spans="1:21" x14ac:dyDescent="0.25">
      <c r="A743" s="1" t="s">
        <v>1967</v>
      </c>
      <c r="B743" s="2" t="s">
        <v>288</v>
      </c>
      <c r="C743" s="1" t="s">
        <v>25</v>
      </c>
      <c r="D743" s="1" t="s">
        <v>1955</v>
      </c>
      <c r="E743" s="1" t="s">
        <v>27</v>
      </c>
      <c r="F743" s="1">
        <v>43980</v>
      </c>
      <c r="G743" s="14" t="s">
        <v>38</v>
      </c>
      <c r="H743" t="s">
        <v>1988</v>
      </c>
      <c r="I743" s="2" t="s">
        <v>1989</v>
      </c>
      <c r="J743" s="2">
        <v>0.010416666666666666</v>
      </c>
      <c r="K743" s="1">
        <v>0.027777777777777776</v>
      </c>
      <c r="L743" s="1">
        <v>0.03819444444444444</v>
      </c>
      <c r="M743" s="1" t="s">
        <v>22</v>
      </c>
      <c r="N743" s="1" t="s">
        <v>31</v>
      </c>
      <c r="O743" s="1" t="s">
        <v>483</v>
      </c>
      <c r="P743" s="1" t="s">
        <v>488</v>
      </c>
      <c r="Q743" s="1">
        <v>43981</v>
      </c>
      <c r="R743" s="14">
        <v>5</v>
      </c>
      <c r="S743" s="1" t="s">
        <v>22</v>
      </c>
      <c r="T743" s="1" t="s">
        <v>22</v>
      </c>
      <c r="U743" s="1" t="s">
        <v>22</v>
      </c>
    </row>
    <row r="744" spans="1:21" x14ac:dyDescent="0.25">
      <c r="A744" s="1" t="s">
        <v>1967</v>
      </c>
      <c r="B744" s="2" t="s">
        <v>796</v>
      </c>
      <c r="C744" s="1" t="s">
        <v>285</v>
      </c>
      <c r="D744" s="1" t="s">
        <v>1990</v>
      </c>
      <c r="E744" s="1" t="s">
        <v>27</v>
      </c>
      <c r="F744" s="1">
        <v>43979</v>
      </c>
      <c r="G744" s="14" t="s">
        <v>38</v>
      </c>
      <c r="H744" t="s">
        <v>1991</v>
      </c>
      <c r="I744" s="2" t="s">
        <v>1992</v>
      </c>
      <c r="J744" s="2">
        <v>0.08333333333333333</v>
      </c>
      <c r="K744" s="1">
        <v>0.0625</v>
      </c>
      <c r="L744" s="1">
        <v>0.14583333333333331</v>
      </c>
      <c r="M744" s="1" t="s">
        <v>22</v>
      </c>
      <c r="N744" s="1" t="s">
        <v>574</v>
      </c>
      <c r="O744" s="1" t="s">
        <v>483</v>
      </c>
      <c r="P744" s="1" t="s">
        <v>484</v>
      </c>
      <c r="Q744" s="1">
        <v>43980</v>
      </c>
      <c r="R744" s="14">
        <v>5</v>
      </c>
      <c r="S744" s="1" t="s">
        <v>22</v>
      </c>
      <c r="T744" s="1" t="s">
        <v>22</v>
      </c>
      <c r="U744" s="1" t="s">
        <v>22</v>
      </c>
    </row>
    <row r="745" spans="1:21" x14ac:dyDescent="0.25">
      <c r="A745" s="1" t="s">
        <v>1993</v>
      </c>
      <c r="B745" s="2" t="s">
        <v>288</v>
      </c>
      <c r="C745" s="1" t="s">
        <v>25</v>
      </c>
      <c r="D745" s="1" t="s">
        <v>1994</v>
      </c>
      <c r="E745" s="1" t="s">
        <v>37</v>
      </c>
      <c r="F745" s="1">
        <v>43984</v>
      </c>
      <c r="G745" s="14" t="s">
        <v>255</v>
      </c>
      <c r="H745" t="s">
        <v>1995</v>
      </c>
      <c r="I745" s="2" t="s">
        <v>1996</v>
      </c>
      <c r="J745" s="2">
        <v>0.03125</v>
      </c>
      <c r="K745" s="1">
        <v>0.05555555555555555</v>
      </c>
      <c r="L745" s="1">
        <v>0.08680555555555555</v>
      </c>
      <c r="M745" s="1" t="s">
        <v>22</v>
      </c>
      <c r="N745" s="1" t="s">
        <v>31</v>
      </c>
      <c r="O745" s="1" t="s">
        <v>483</v>
      </c>
      <c r="P745" s="1" t="s">
        <v>488</v>
      </c>
      <c r="Q745" s="1">
        <v>43984</v>
      </c>
      <c r="R745" s="14">
        <v>5</v>
      </c>
      <c r="S745" s="1" t="s">
        <v>22</v>
      </c>
      <c r="T745" s="1" t="s">
        <v>22</v>
      </c>
      <c r="U745" s="1" t="s">
        <v>22</v>
      </c>
    </row>
    <row r="746" spans="1:21" x14ac:dyDescent="0.25">
      <c r="A746" s="1" t="s">
        <v>1993</v>
      </c>
      <c r="B746" s="2" t="s">
        <v>1603</v>
      </c>
      <c r="C746" s="1" t="s">
        <v>186</v>
      </c>
      <c r="D746" s="1" t="s">
        <v>1997</v>
      </c>
      <c r="E746" s="1" t="s">
        <v>27</v>
      </c>
      <c r="F746" s="1">
        <v>43985</v>
      </c>
      <c r="G746" s="14" t="s">
        <v>28</v>
      </c>
      <c r="H746" t="s">
        <v>1998</v>
      </c>
      <c r="I746" s="2" t="s">
        <v>1999</v>
      </c>
      <c r="J746" s="2">
        <v>0.03125</v>
      </c>
      <c r="K746" s="1">
        <v>0.06944444444444443</v>
      </c>
      <c r="L746" s="1">
        <v>0.10069444444444443</v>
      </c>
      <c r="M746" s="1">
        <v>0</v>
      </c>
      <c r="N746" s="1" t="s">
        <v>53</v>
      </c>
      <c r="O746" s="1" t="s">
        <v>483</v>
      </c>
      <c r="P746" s="1" t="s">
        <v>488</v>
      </c>
      <c r="Q746" s="1">
        <v>43985</v>
      </c>
      <c r="R746" s="14">
        <v>5</v>
      </c>
      <c r="S746" s="1" t="s">
        <v>22</v>
      </c>
      <c r="T746" s="1" t="s">
        <v>22</v>
      </c>
      <c r="U746" s="1" t="s">
        <v>22</v>
      </c>
    </row>
    <row r="747" spans="1:21" x14ac:dyDescent="0.25">
      <c r="A747" s="1" t="s">
        <v>1993</v>
      </c>
      <c r="B747" s="2" t="s">
        <v>1012</v>
      </c>
      <c r="C747" s="1" t="s">
        <v>25</v>
      </c>
      <c r="D747" s="1" t="s">
        <v>2000</v>
      </c>
      <c r="E747" s="1" t="s">
        <v>37</v>
      </c>
      <c r="F747" s="1">
        <v>43985</v>
      </c>
      <c r="G747" s="14" t="s">
        <v>28</v>
      </c>
      <c r="H747" t="s">
        <v>2001</v>
      </c>
      <c r="I747" s="2" t="s">
        <v>2002</v>
      </c>
      <c r="J747" s="2">
        <v>0.03125</v>
      </c>
      <c r="K747" s="1">
        <v>0.052083333333333336</v>
      </c>
      <c r="L747" s="1">
        <v>0.08333333333333334</v>
      </c>
      <c r="M747" s="1" t="s">
        <v>22</v>
      </c>
      <c r="N747" s="1" t="s">
        <v>31</v>
      </c>
      <c r="O747" s="1" t="s">
        <v>483</v>
      </c>
      <c r="P747" s="1" t="s">
        <v>488</v>
      </c>
      <c r="Q747" s="1">
        <v>43985</v>
      </c>
      <c r="R747" s="14">
        <v>5</v>
      </c>
      <c r="S747" s="1" t="s">
        <v>22</v>
      </c>
      <c r="T747" s="1" t="s">
        <v>22</v>
      </c>
      <c r="U747" s="1" t="s">
        <v>22</v>
      </c>
    </row>
    <row r="748" spans="1:21" x14ac:dyDescent="0.25">
      <c r="A748" s="1" t="s">
        <v>1993</v>
      </c>
      <c r="B748" s="2" t="s">
        <v>796</v>
      </c>
      <c r="C748" s="1" t="s">
        <v>285</v>
      </c>
      <c r="D748" s="1" t="s">
        <v>2003</v>
      </c>
      <c r="E748" s="1" t="s">
        <v>27</v>
      </c>
      <c r="F748" s="1">
        <v>43985</v>
      </c>
      <c r="G748" s="14" t="s">
        <v>28</v>
      </c>
      <c r="H748" t="s">
        <v>2004</v>
      </c>
      <c r="I748" s="2" t="s">
        <v>2005</v>
      </c>
      <c r="J748" s="2">
        <v>0.03125</v>
      </c>
      <c r="K748" s="1">
        <v>0.06597222222222222</v>
      </c>
      <c r="L748" s="1">
        <v>0.09722222222222222</v>
      </c>
      <c r="M748" s="1">
        <v>0</v>
      </c>
      <c r="N748" s="1" t="s">
        <v>53</v>
      </c>
      <c r="O748" s="1" t="s">
        <v>483</v>
      </c>
      <c r="P748" s="1" t="s">
        <v>484</v>
      </c>
      <c r="Q748" s="1">
        <v>43985</v>
      </c>
      <c r="R748" s="14">
        <v>5</v>
      </c>
      <c r="S748" s="1" t="s">
        <v>22</v>
      </c>
      <c r="T748" s="1" t="s">
        <v>22</v>
      </c>
      <c r="U748" s="1" t="s">
        <v>22</v>
      </c>
    </row>
    <row r="749" spans="1:21" x14ac:dyDescent="0.25">
      <c r="A749" s="1" t="s">
        <v>1993</v>
      </c>
      <c r="B749" s="2" t="s">
        <v>1012</v>
      </c>
      <c r="C749" s="1" t="s">
        <v>25</v>
      </c>
      <c r="D749" s="1" t="s">
        <v>2006</v>
      </c>
      <c r="E749" s="1" t="s">
        <v>27</v>
      </c>
      <c r="F749" s="1">
        <v>43986</v>
      </c>
      <c r="G749" s="14" t="s">
        <v>28</v>
      </c>
      <c r="H749" t="s">
        <v>2007</v>
      </c>
      <c r="I749" s="2" t="s">
        <v>2008</v>
      </c>
      <c r="J749" s="2">
        <v>0.03125</v>
      </c>
      <c r="K749" s="1">
        <v>0.06944444444444443</v>
      </c>
      <c r="L749" s="1">
        <v>0.10069444444444443</v>
      </c>
      <c r="M749" s="1">
        <v>0</v>
      </c>
      <c r="N749" s="1" t="s">
        <v>53</v>
      </c>
      <c r="O749" s="1" t="s">
        <v>483</v>
      </c>
      <c r="P749" s="1" t="s">
        <v>488</v>
      </c>
      <c r="Q749" s="1">
        <v>43986</v>
      </c>
      <c r="R749" s="14">
        <v>4</v>
      </c>
      <c r="S749" s="1" t="s">
        <v>22</v>
      </c>
      <c r="T749" s="1" t="s">
        <v>22</v>
      </c>
      <c r="U749" s="1" t="s">
        <v>22</v>
      </c>
    </row>
    <row r="750" spans="1:21" x14ac:dyDescent="0.25">
      <c r="A750" s="1" t="s">
        <v>1993</v>
      </c>
      <c r="B750" s="2" t="s">
        <v>796</v>
      </c>
      <c r="C750" s="1" t="s">
        <v>285</v>
      </c>
      <c r="D750" s="1" t="s">
        <v>2003</v>
      </c>
      <c r="E750" s="1" t="s">
        <v>27</v>
      </c>
      <c r="F750" s="1">
        <v>43986</v>
      </c>
      <c r="G750" s="14" t="s">
        <v>28</v>
      </c>
      <c r="H750" t="s">
        <v>2009</v>
      </c>
      <c r="I750" s="2" t="s">
        <v>2010</v>
      </c>
      <c r="J750" s="2">
        <v>0.041666666666666664</v>
      </c>
      <c r="K750" s="1">
        <v>0.08333333333333333</v>
      </c>
      <c r="L750" s="1">
        <v>0.125</v>
      </c>
      <c r="M750" s="1" t="s">
        <v>22</v>
      </c>
      <c r="N750" s="1" t="s">
        <v>53</v>
      </c>
      <c r="O750" s="1" t="s">
        <v>483</v>
      </c>
      <c r="P750" s="1" t="s">
        <v>484</v>
      </c>
      <c r="Q750" s="1">
        <v>43986</v>
      </c>
      <c r="R750" s="14">
        <v>5</v>
      </c>
      <c r="S750" s="1" t="s">
        <v>22</v>
      </c>
      <c r="T750" s="1" t="s">
        <v>22</v>
      </c>
      <c r="U750" s="1" t="s">
        <v>22</v>
      </c>
    </row>
    <row r="751" spans="1:21" x14ac:dyDescent="0.25">
      <c r="A751" s="1" t="s">
        <v>1993</v>
      </c>
      <c r="B751" s="2" t="s">
        <v>35</v>
      </c>
      <c r="C751" s="1" t="s">
        <v>25</v>
      </c>
      <c r="D751" s="1" t="s">
        <v>2011</v>
      </c>
      <c r="E751" s="1" t="s">
        <v>27</v>
      </c>
      <c r="F751" s="1">
        <v>43991</v>
      </c>
      <c r="G751" s="14" t="s">
        <v>28</v>
      </c>
      <c r="H751" t="s">
        <v>2012</v>
      </c>
      <c r="I751" s="2" t="s">
        <v>2012</v>
      </c>
      <c r="J751" s="2">
        <v>0.06944444444444443</v>
      </c>
      <c r="K751" s="1">
        <v>0.10069444444444443</v>
      </c>
      <c r="L751" s="1">
        <v>0.17013888888888887</v>
      </c>
      <c r="M751" s="1" t="s">
        <v>22</v>
      </c>
      <c r="N751" s="1" t="s">
        <v>574</v>
      </c>
      <c r="O751" s="1" t="s">
        <v>483</v>
      </c>
      <c r="P751" s="1" t="s">
        <v>488</v>
      </c>
      <c r="Q751" s="1">
        <v>43991</v>
      </c>
      <c r="R751" s="14">
        <v>5</v>
      </c>
      <c r="S751" s="1" t="s">
        <v>22</v>
      </c>
      <c r="T751" s="1" t="s">
        <v>22</v>
      </c>
      <c r="U751" s="1" t="s">
        <v>22</v>
      </c>
    </row>
    <row r="752" spans="1:21" x14ac:dyDescent="0.25">
      <c r="A752" s="1" t="s">
        <v>1993</v>
      </c>
      <c r="B752" s="2" t="s">
        <v>1212</v>
      </c>
      <c r="C752" s="1" t="s">
        <v>25</v>
      </c>
      <c r="D752" s="1" t="s">
        <v>2013</v>
      </c>
      <c r="E752" s="1" t="s">
        <v>27</v>
      </c>
      <c r="F752" s="1">
        <v>43995</v>
      </c>
      <c r="G752" s="14" t="s">
        <v>38</v>
      </c>
      <c r="H752" t="s">
        <v>2014</v>
      </c>
      <c r="I752" s="2" t="s">
        <v>2015</v>
      </c>
      <c r="J752" s="2">
        <v>0.052083333333333336</v>
      </c>
      <c r="K752" s="1">
        <v>0.027777777777777776</v>
      </c>
      <c r="L752" s="1">
        <v>0.0798611111111111</v>
      </c>
      <c r="M752" s="1" t="s">
        <v>22</v>
      </c>
      <c r="N752" s="1" t="s">
        <v>31</v>
      </c>
      <c r="O752" s="1" t="s">
        <v>483</v>
      </c>
      <c r="P752" s="1" t="s">
        <v>488</v>
      </c>
      <c r="Q752" s="1">
        <v>43995</v>
      </c>
      <c r="R752" s="14">
        <v>5</v>
      </c>
      <c r="S752" s="1" t="s">
        <v>22</v>
      </c>
      <c r="T752" s="1" t="s">
        <v>22</v>
      </c>
      <c r="U752" s="1" t="s">
        <v>22</v>
      </c>
    </row>
    <row r="753" spans="1:21" x14ac:dyDescent="0.25">
      <c r="A753" s="1" t="s">
        <v>1993</v>
      </c>
      <c r="B753" s="2" t="s">
        <v>1603</v>
      </c>
      <c r="C753" s="1" t="s">
        <v>186</v>
      </c>
      <c r="D753" s="1" t="s">
        <v>2016</v>
      </c>
      <c r="E753" s="1" t="s">
        <v>37</v>
      </c>
      <c r="F753" s="1">
        <v>43998</v>
      </c>
      <c r="G753" s="14" t="s">
        <v>38</v>
      </c>
      <c r="H753" t="s">
        <v>2017</v>
      </c>
      <c r="I753" s="2" t="s">
        <v>2018</v>
      </c>
      <c r="J753" s="2">
        <v>0.03125</v>
      </c>
      <c r="K753" s="1">
        <v>0.034722222222222224</v>
      </c>
      <c r="L753" s="1">
        <v>0.06597222222222222</v>
      </c>
      <c r="M753" s="1" t="s">
        <v>22</v>
      </c>
      <c r="N753" s="1" t="s">
        <v>31</v>
      </c>
      <c r="O753" s="1" t="s">
        <v>483</v>
      </c>
      <c r="P753" s="1" t="s">
        <v>488</v>
      </c>
      <c r="Q753" s="1">
        <v>43998</v>
      </c>
      <c r="R753" s="14">
        <v>5</v>
      </c>
      <c r="S753" s="1" t="s">
        <v>22</v>
      </c>
      <c r="T753" s="1" t="s">
        <v>22</v>
      </c>
      <c r="U753" s="1" t="s">
        <v>22</v>
      </c>
    </row>
    <row r="754" spans="1:21" x14ac:dyDescent="0.25">
      <c r="A754" s="1" t="s">
        <v>1993</v>
      </c>
      <c r="B754" s="2" t="s">
        <v>616</v>
      </c>
      <c r="C754" s="1" t="s">
        <v>617</v>
      </c>
      <c r="D754" s="1" t="s">
        <v>2019</v>
      </c>
      <c r="E754" s="1" t="s">
        <v>27</v>
      </c>
      <c r="F754" s="1">
        <v>43999</v>
      </c>
      <c r="G754" s="14" t="s">
        <v>38</v>
      </c>
      <c r="H754" t="s">
        <v>2020</v>
      </c>
      <c r="I754" s="2" t="s">
        <v>2021</v>
      </c>
      <c r="J754" s="2">
        <v>0.03125</v>
      </c>
      <c r="K754" s="1" t="s">
        <v>22</v>
      </c>
      <c r="L754" s="1">
        <v>0.03125</v>
      </c>
      <c r="M754" s="1" t="s">
        <v>22</v>
      </c>
      <c r="N754" s="1" t="s">
        <v>54</v>
      </c>
      <c r="O754" s="1" t="s">
        <v>22</v>
      </c>
      <c r="P754" s="1" t="s">
        <v>2022</v>
      </c>
      <c r="Q754" s="1">
        <v>43999</v>
      </c>
      <c r="R754" s="14">
        <v>5</v>
      </c>
      <c r="S754" s="1" t="s">
        <v>22</v>
      </c>
      <c r="T754" s="1" t="s">
        <v>22</v>
      </c>
      <c r="U754" s="1" t="s">
        <v>22</v>
      </c>
    </row>
    <row r="755" spans="1:21" x14ac:dyDescent="0.25">
      <c r="A755" s="1" t="s">
        <v>1993</v>
      </c>
      <c r="B755" s="2" t="s">
        <v>1212</v>
      </c>
      <c r="C755" s="1" t="s">
        <v>25</v>
      </c>
      <c r="D755" s="1" t="s">
        <v>2023</v>
      </c>
      <c r="E755" s="1" t="s">
        <v>37</v>
      </c>
      <c r="F755" s="1">
        <v>44000</v>
      </c>
      <c r="G755" s="14" t="s">
        <v>953</v>
      </c>
      <c r="H755" t="s">
        <v>2024</v>
      </c>
      <c r="I755" s="2" t="s">
        <v>2025</v>
      </c>
      <c r="J755" s="2">
        <v>0.010416666666666666</v>
      </c>
      <c r="K755" s="1">
        <v>0.013888888888888888</v>
      </c>
      <c r="L755" s="1">
        <v>0.024305555555555552</v>
      </c>
      <c r="M755" s="1" t="s">
        <v>22</v>
      </c>
      <c r="N755" s="1" t="s">
        <v>31</v>
      </c>
      <c r="O755" s="1" t="s">
        <v>483</v>
      </c>
      <c r="P755" s="1" t="s">
        <v>488</v>
      </c>
      <c r="Q755" s="1">
        <v>44000</v>
      </c>
      <c r="R755" s="14">
        <v>5</v>
      </c>
      <c r="S755" s="1" t="s">
        <v>22</v>
      </c>
      <c r="T755" s="1" t="s">
        <v>22</v>
      </c>
      <c r="U755" s="1" t="s">
        <v>22</v>
      </c>
    </row>
    <row r="756" spans="1:21" x14ac:dyDescent="0.25">
      <c r="A756" s="1" t="s">
        <v>1993</v>
      </c>
      <c r="B756" s="2" t="s">
        <v>489</v>
      </c>
      <c r="C756" s="1" t="s">
        <v>490</v>
      </c>
      <c r="D756" s="1" t="s">
        <v>2026</v>
      </c>
      <c r="E756" s="1" t="s">
        <v>27</v>
      </c>
      <c r="F756" s="1">
        <v>44001</v>
      </c>
      <c r="G756" s="14" t="s">
        <v>38</v>
      </c>
      <c r="H756" t="s">
        <v>2027</v>
      </c>
      <c r="I756" s="2" t="s">
        <v>2028</v>
      </c>
      <c r="J756" s="2">
        <v>0.041666666666666664</v>
      </c>
      <c r="K756" s="1">
        <v>0.013888888888888888</v>
      </c>
      <c r="L756" s="1">
        <v>0.05555555555555555</v>
      </c>
      <c r="M756" s="1" t="s">
        <v>22</v>
      </c>
      <c r="N756" s="1" t="s">
        <v>53</v>
      </c>
      <c r="O756" s="1" t="s">
        <v>483</v>
      </c>
      <c r="P756" s="1" t="s">
        <v>42</v>
      </c>
      <c r="Q756" s="1">
        <v>44001</v>
      </c>
      <c r="R756" s="14">
        <v>5</v>
      </c>
      <c r="S756" s="1" t="s">
        <v>22</v>
      </c>
      <c r="T756" s="1" t="s">
        <v>22</v>
      </c>
      <c r="U756" s="1" t="s">
        <v>22</v>
      </c>
    </row>
    <row r="757" spans="1:21" x14ac:dyDescent="0.25">
      <c r="A757" s="1" t="s">
        <v>1993</v>
      </c>
      <c r="B757" s="2" t="s">
        <v>1635</v>
      </c>
      <c r="C757" s="1" t="s">
        <v>186</v>
      </c>
      <c r="D757" s="1" t="s">
        <v>1982</v>
      </c>
      <c r="E757" s="1" t="s">
        <v>27</v>
      </c>
      <c r="F757" s="1">
        <v>44001</v>
      </c>
      <c r="G757" s="14" t="s">
        <v>38</v>
      </c>
      <c r="H757" t="s">
        <v>1983</v>
      </c>
      <c r="I757" s="2" t="s">
        <v>2029</v>
      </c>
      <c r="J757" s="2">
        <v>0.041666666666666664</v>
      </c>
      <c r="K757" s="1" t="s">
        <v>22</v>
      </c>
      <c r="L757" s="1">
        <v>0.041666666666666664</v>
      </c>
      <c r="M757" s="1" t="s">
        <v>22</v>
      </c>
      <c r="N757" s="1" t="s">
        <v>53</v>
      </c>
      <c r="O757" s="1" t="s">
        <v>503</v>
      </c>
      <c r="P757" s="1" t="s">
        <v>488</v>
      </c>
      <c r="Q757" s="1">
        <v>44001</v>
      </c>
      <c r="R757" s="14">
        <v>5</v>
      </c>
      <c r="S757" s="1" t="s">
        <v>22</v>
      </c>
      <c r="T757" s="1" t="s">
        <v>22</v>
      </c>
      <c r="U757" s="1" t="s">
        <v>22</v>
      </c>
    </row>
    <row r="758" spans="1:21" x14ac:dyDescent="0.25">
      <c r="A758" s="1" t="s">
        <v>1993</v>
      </c>
      <c r="B758" s="2" t="s">
        <v>616</v>
      </c>
      <c r="C758" s="1" t="s">
        <v>617</v>
      </c>
      <c r="D758" s="1" t="s">
        <v>2030</v>
      </c>
      <c r="E758" s="1" t="s">
        <v>27</v>
      </c>
      <c r="F758" s="1">
        <v>44001</v>
      </c>
      <c r="G758" s="14" t="s">
        <v>38</v>
      </c>
      <c r="H758" t="s">
        <v>2031</v>
      </c>
      <c r="I758" s="2" t="s">
        <v>2032</v>
      </c>
      <c r="J758" s="2">
        <v>0.03125</v>
      </c>
      <c r="K758" s="1" t="s">
        <v>22</v>
      </c>
      <c r="L758" s="1">
        <v>0.03125</v>
      </c>
      <c r="M758" s="1" t="s">
        <v>22</v>
      </c>
      <c r="N758" s="1" t="s">
        <v>53</v>
      </c>
      <c r="O758" s="1" t="s">
        <v>503</v>
      </c>
      <c r="P758" s="1" t="s">
        <v>484</v>
      </c>
      <c r="Q758" s="1">
        <v>44001</v>
      </c>
      <c r="R758" s="14">
        <v>5</v>
      </c>
      <c r="S758" s="1" t="s">
        <v>22</v>
      </c>
      <c r="T758" s="1" t="s">
        <v>22</v>
      </c>
      <c r="U758" s="1" t="s">
        <v>22</v>
      </c>
    </row>
    <row r="759" spans="1:21" x14ac:dyDescent="0.25">
      <c r="A759" s="1" t="s">
        <v>1993</v>
      </c>
      <c r="B759" s="2" t="s">
        <v>219</v>
      </c>
      <c r="C759" s="1" t="s">
        <v>186</v>
      </c>
      <c r="D759" s="1" t="s">
        <v>2033</v>
      </c>
      <c r="E759" s="1" t="s">
        <v>37</v>
      </c>
      <c r="F759" s="1">
        <v>44004</v>
      </c>
      <c r="G759" s="14" t="s">
        <v>953</v>
      </c>
      <c r="H759" t="s">
        <v>2034</v>
      </c>
      <c r="I759" s="2" t="s">
        <v>2035</v>
      </c>
      <c r="J759" s="2">
        <v>0.010416666666666666</v>
      </c>
      <c r="K759" s="1">
        <v>0.017361111111111112</v>
      </c>
      <c r="L759" s="1">
        <v>0.027777777777777776</v>
      </c>
      <c r="M759" s="1" t="s">
        <v>22</v>
      </c>
      <c r="N759" s="1" t="s">
        <v>31</v>
      </c>
      <c r="O759" s="1" t="s">
        <v>483</v>
      </c>
      <c r="P759" s="1" t="s">
        <v>488</v>
      </c>
      <c r="Q759" s="1">
        <v>44004</v>
      </c>
      <c r="R759" s="14">
        <v>5</v>
      </c>
      <c r="S759" s="1" t="s">
        <v>22</v>
      </c>
      <c r="T759" s="1" t="s">
        <v>22</v>
      </c>
      <c r="U759" s="1" t="s">
        <v>22</v>
      </c>
    </row>
    <row r="760" spans="1:21" x14ac:dyDescent="0.25">
      <c r="A760" s="1" t="s">
        <v>1993</v>
      </c>
      <c r="B760" s="2" t="s">
        <v>35</v>
      </c>
      <c r="C760" s="1" t="s">
        <v>25</v>
      </c>
      <c r="D760" s="1" t="s">
        <v>2036</v>
      </c>
      <c r="E760" s="1" t="s">
        <v>37</v>
      </c>
      <c r="F760" s="1">
        <v>44004</v>
      </c>
      <c r="G760" s="14" t="s">
        <v>38</v>
      </c>
      <c r="H760" t="s">
        <v>2037</v>
      </c>
      <c r="I760" s="2" t="s">
        <v>2038</v>
      </c>
      <c r="J760" s="2">
        <v>0.06597222222222222</v>
      </c>
      <c r="K760" s="1">
        <v>0.06944444444444443</v>
      </c>
      <c r="L760" s="1">
        <v>0.13541666666666666</v>
      </c>
      <c r="M760" s="1" t="s">
        <v>22</v>
      </c>
      <c r="N760" s="1" t="s">
        <v>31</v>
      </c>
      <c r="O760" s="1" t="s">
        <v>483</v>
      </c>
      <c r="P760" s="1" t="s">
        <v>42</v>
      </c>
      <c r="Q760" s="1">
        <v>44005</v>
      </c>
      <c r="R760" s="14">
        <v>5</v>
      </c>
      <c r="S760" s="1" t="s">
        <v>22</v>
      </c>
      <c r="T760" s="1" t="s">
        <v>22</v>
      </c>
      <c r="U760" s="1" t="s">
        <v>22</v>
      </c>
    </row>
    <row r="761" spans="1:21" x14ac:dyDescent="0.25">
      <c r="A761" s="1" t="s">
        <v>1993</v>
      </c>
      <c r="B761" s="2" t="s">
        <v>796</v>
      </c>
      <c r="C761" s="1" t="s">
        <v>285</v>
      </c>
      <c r="D761" s="1" t="s">
        <v>2039</v>
      </c>
      <c r="E761" s="1" t="s">
        <v>37</v>
      </c>
      <c r="F761" s="1">
        <v>44005</v>
      </c>
      <c r="G761" s="14" t="s">
        <v>1952</v>
      </c>
      <c r="H761" t="s">
        <v>2040</v>
      </c>
      <c r="I761" s="2" t="s">
        <v>2041</v>
      </c>
      <c r="J761" s="2">
        <v>0.041666666666666664</v>
      </c>
      <c r="K761" s="1">
        <v>0.052083333333333336</v>
      </c>
      <c r="L761" s="1">
        <v>0.09375</v>
      </c>
      <c r="M761" s="1" t="s">
        <v>22</v>
      </c>
      <c r="N761" s="1" t="s">
        <v>31</v>
      </c>
      <c r="O761" s="1" t="s">
        <v>483</v>
      </c>
      <c r="P761" s="1" t="s">
        <v>484</v>
      </c>
      <c r="Q761" s="1">
        <v>44005</v>
      </c>
      <c r="R761" s="14">
        <v>5</v>
      </c>
      <c r="S761" s="1" t="s">
        <v>22</v>
      </c>
      <c r="T761" s="1" t="s">
        <v>22</v>
      </c>
      <c r="U761" s="1" t="s">
        <v>22</v>
      </c>
    </row>
    <row r="762" spans="1:21" x14ac:dyDescent="0.25">
      <c r="A762" s="1" t="s">
        <v>1993</v>
      </c>
      <c r="B762" s="2" t="s">
        <v>35</v>
      </c>
      <c r="C762" s="1" t="s">
        <v>25</v>
      </c>
      <c r="D762" s="1" t="s">
        <v>2042</v>
      </c>
      <c r="E762" s="1" t="s">
        <v>27</v>
      </c>
      <c r="F762" s="1">
        <v>44006</v>
      </c>
      <c r="G762" s="14" t="s">
        <v>38</v>
      </c>
      <c r="H762" t="s">
        <v>2043</v>
      </c>
      <c r="I762" s="2" t="s">
        <v>2044</v>
      </c>
      <c r="J762" s="2">
        <v>0.013888888888888888</v>
      </c>
      <c r="K762" s="1">
        <v>0.024305555555555556</v>
      </c>
      <c r="L762" s="1">
        <v>0.03819444444444445</v>
      </c>
      <c r="M762" s="1" t="s">
        <v>22</v>
      </c>
      <c r="N762" s="1" t="s">
        <v>31</v>
      </c>
      <c r="O762" s="1" t="s">
        <v>483</v>
      </c>
      <c r="P762" s="1" t="s">
        <v>42</v>
      </c>
      <c r="Q762" s="1">
        <v>44006</v>
      </c>
      <c r="R762" s="14">
        <v>5</v>
      </c>
      <c r="S762" s="1" t="s">
        <v>22</v>
      </c>
      <c r="T762" s="1" t="s">
        <v>22</v>
      </c>
      <c r="U762" s="1" t="s">
        <v>22</v>
      </c>
    </row>
    <row r="763" spans="1:21" x14ac:dyDescent="0.25">
      <c r="A763" s="1" t="s">
        <v>1993</v>
      </c>
      <c r="B763" s="2" t="s">
        <v>529</v>
      </c>
      <c r="C763" s="1" t="s">
        <v>1924</v>
      </c>
      <c r="D763" s="1" t="s">
        <v>2045</v>
      </c>
      <c r="E763" s="1" t="s">
        <v>27</v>
      </c>
      <c r="F763" s="1">
        <v>44012</v>
      </c>
      <c r="G763" s="14" t="s">
        <v>38</v>
      </c>
      <c r="H763" t="s">
        <v>2046</v>
      </c>
      <c r="I763" s="2" t="s">
        <v>2047</v>
      </c>
      <c r="J763" s="2">
        <v>0.041666666666666664</v>
      </c>
      <c r="K763" s="1">
        <v>0.041666666666666664</v>
      </c>
      <c r="L763" s="1">
        <v>0.08333333333333333</v>
      </c>
      <c r="M763" s="1" t="s">
        <v>22</v>
      </c>
      <c r="N763" s="1" t="s">
        <v>54</v>
      </c>
      <c r="O763" s="1" t="s">
        <v>1570</v>
      </c>
      <c r="P763" s="1" t="s">
        <v>488</v>
      </c>
      <c r="Q763" s="1">
        <v>44012</v>
      </c>
      <c r="R763" s="14">
        <v>5</v>
      </c>
      <c r="S763" s="1" t="s">
        <v>2048</v>
      </c>
      <c r="T763" s="1" t="s">
        <v>22</v>
      </c>
      <c r="U763" s="1" t="s">
        <v>22</v>
      </c>
    </row>
    <row r="764" spans="1:21" x14ac:dyDescent="0.25">
      <c r="A764" s="1" t="s">
        <v>2049</v>
      </c>
      <c r="B764" s="2" t="s">
        <v>1040</v>
      </c>
      <c r="C764" s="1" t="s">
        <v>1631</v>
      </c>
      <c r="D764" s="1" t="s">
        <v>2050</v>
      </c>
      <c r="E764" s="1" t="s">
        <v>27</v>
      </c>
      <c r="F764" s="1">
        <v>44013</v>
      </c>
      <c r="G764" s="14" t="s">
        <v>38</v>
      </c>
      <c r="H764" t="s">
        <v>2051</v>
      </c>
      <c r="I764" s="2" t="s">
        <v>2052</v>
      </c>
      <c r="J764" s="2">
        <v>0.020833333333333332</v>
      </c>
      <c r="K764" s="1">
        <v>0.027777777777777776</v>
      </c>
      <c r="L764" s="1">
        <v>0.048611111111111105</v>
      </c>
      <c r="M764" s="1" t="s">
        <v>22</v>
      </c>
      <c r="N764" s="1" t="s">
        <v>53</v>
      </c>
      <c r="O764" s="1" t="s">
        <v>483</v>
      </c>
      <c r="P764" s="1" t="s">
        <v>484</v>
      </c>
      <c r="Q764" s="1">
        <v>44013</v>
      </c>
      <c r="R764" s="14">
        <v>5</v>
      </c>
      <c r="S764" s="1" t="s">
        <v>22</v>
      </c>
      <c r="T764" s="1" t="s">
        <v>22</v>
      </c>
      <c r="U764" s="1" t="s">
        <v>22</v>
      </c>
    </row>
    <row r="765" spans="1:21" x14ac:dyDescent="0.25">
      <c r="A765" s="1" t="s">
        <v>2049</v>
      </c>
      <c r="B765" s="2" t="s">
        <v>529</v>
      </c>
      <c r="C765" s="1" t="s">
        <v>1631</v>
      </c>
      <c r="D765" s="1" t="s">
        <v>2053</v>
      </c>
      <c r="E765" s="1" t="s">
        <v>27</v>
      </c>
      <c r="F765" s="1">
        <v>44019</v>
      </c>
      <c r="G765" s="14" t="s">
        <v>38</v>
      </c>
      <c r="H765" t="s">
        <v>2054</v>
      </c>
      <c r="I765" s="2" t="s">
        <v>2055</v>
      </c>
      <c r="J765" s="2">
        <v>0.020833333333333332</v>
      </c>
      <c r="K765" s="1">
        <v>0.06597222222222222</v>
      </c>
      <c r="L765" s="1">
        <v>0.08680555555555555</v>
      </c>
      <c r="M765" s="1" t="s">
        <v>22</v>
      </c>
      <c r="N765" s="1" t="s">
        <v>53</v>
      </c>
      <c r="O765" s="1" t="s">
        <v>483</v>
      </c>
      <c r="P765" s="1" t="s">
        <v>488</v>
      </c>
      <c r="Q765" s="1">
        <v>44019</v>
      </c>
      <c r="R765" s="14">
        <v>5</v>
      </c>
      <c r="S765" s="1" t="s">
        <v>22</v>
      </c>
      <c r="T765" s="1" t="s">
        <v>22</v>
      </c>
      <c r="U765" s="1" t="s">
        <v>22</v>
      </c>
    </row>
    <row r="766" spans="1:21" x14ac:dyDescent="0.25">
      <c r="A766" s="1" t="s">
        <v>2049</v>
      </c>
      <c r="B766" s="2" t="s">
        <v>1012</v>
      </c>
      <c r="C766" s="1" t="s">
        <v>1631</v>
      </c>
      <c r="D766" s="1" t="s">
        <v>2056</v>
      </c>
      <c r="E766" s="1" t="s">
        <v>27</v>
      </c>
      <c r="F766" s="1">
        <v>44025</v>
      </c>
      <c r="G766" s="14" t="s">
        <v>38</v>
      </c>
      <c r="H766" t="s">
        <v>2057</v>
      </c>
      <c r="I766" s="2" t="s">
        <v>2058</v>
      </c>
      <c r="J766" s="2">
        <v>0.14583333333333334</v>
      </c>
      <c r="K766" s="1">
        <v>0.10416666666666667</v>
      </c>
      <c r="L766" s="1">
        <v>0.25</v>
      </c>
      <c r="M766" s="1" t="s">
        <v>22</v>
      </c>
      <c r="N766" s="1" t="s">
        <v>53</v>
      </c>
      <c r="O766" s="1" t="s">
        <v>483</v>
      </c>
      <c r="P766" s="1" t="s">
        <v>488</v>
      </c>
      <c r="Q766" s="1">
        <v>44025</v>
      </c>
      <c r="R766" s="14">
        <v>2</v>
      </c>
      <c r="S766" s="1" t="s">
        <v>22</v>
      </c>
      <c r="T766" s="1" t="s">
        <v>22</v>
      </c>
      <c r="U766" s="1" t="s">
        <v>22</v>
      </c>
    </row>
    <row r="767" spans="1:21" x14ac:dyDescent="0.25">
      <c r="A767" s="1" t="s">
        <v>2049</v>
      </c>
      <c r="B767" s="2" t="s">
        <v>1235</v>
      </c>
      <c r="C767" s="1" t="s">
        <v>1236</v>
      </c>
      <c r="D767" s="1" t="s">
        <v>2059</v>
      </c>
      <c r="E767" s="1" t="s">
        <v>37</v>
      </c>
      <c r="F767" s="1">
        <v>44027</v>
      </c>
      <c r="G767" s="14" t="s">
        <v>28</v>
      </c>
      <c r="H767" t="s">
        <v>2060</v>
      </c>
      <c r="I767" s="2" t="s">
        <v>2061</v>
      </c>
      <c r="J767" s="2">
        <v>0.020833333333333332</v>
      </c>
      <c r="K767" s="1">
        <v>0.06597222222222222</v>
      </c>
      <c r="L767" s="1">
        <v>0.08680555555555555</v>
      </c>
      <c r="M767" s="1" t="s">
        <v>22</v>
      </c>
      <c r="N767" s="1" t="s">
        <v>31</v>
      </c>
      <c r="O767" s="1" t="s">
        <v>1570</v>
      </c>
      <c r="P767" s="1" t="s">
        <v>42</v>
      </c>
      <c r="Q767" s="1">
        <v>44027</v>
      </c>
      <c r="R767" s="14">
        <v>5</v>
      </c>
      <c r="S767" s="1" t="s">
        <v>22</v>
      </c>
      <c r="T767" s="1" t="s">
        <v>22</v>
      </c>
      <c r="U767" s="1" t="s">
        <v>22</v>
      </c>
    </row>
    <row r="768" spans="1:21" x14ac:dyDescent="0.25">
      <c r="A768" s="1" t="s">
        <v>2049</v>
      </c>
      <c r="B768" s="2" t="s">
        <v>525</v>
      </c>
      <c r="C768" s="1" t="s">
        <v>25</v>
      </c>
      <c r="D768" s="1" t="s">
        <v>2062</v>
      </c>
      <c r="E768" s="1" t="s">
        <v>27</v>
      </c>
      <c r="F768" s="1">
        <v>44027</v>
      </c>
      <c r="G768" s="14" t="s">
        <v>38</v>
      </c>
      <c r="H768" t="s">
        <v>2063</v>
      </c>
      <c r="I768" s="2" t="s">
        <v>2064</v>
      </c>
      <c r="J768" s="2">
        <v>0.11458333333333333</v>
      </c>
      <c r="K768" s="1">
        <v>0.05555555555555555</v>
      </c>
      <c r="L768" s="1">
        <v>0.1701388888888889</v>
      </c>
      <c r="M768" s="1" t="s">
        <v>22</v>
      </c>
      <c r="N768" s="1" t="s">
        <v>31</v>
      </c>
      <c r="O768" s="1" t="s">
        <v>483</v>
      </c>
      <c r="P768" s="1" t="s">
        <v>484</v>
      </c>
      <c r="Q768" s="1">
        <v>44032</v>
      </c>
      <c r="R768" s="14">
        <v>5</v>
      </c>
      <c r="S768" s="1" t="s">
        <v>22</v>
      </c>
      <c r="T768" s="1" t="s">
        <v>22</v>
      </c>
      <c r="U768" s="1" t="s">
        <v>22</v>
      </c>
    </row>
    <row r="769" spans="1:21" x14ac:dyDescent="0.25">
      <c r="A769" s="1" t="s">
        <v>2049</v>
      </c>
      <c r="B769" s="2" t="s">
        <v>529</v>
      </c>
      <c r="C769" s="1" t="s">
        <v>186</v>
      </c>
      <c r="D769" s="1" t="s">
        <v>2065</v>
      </c>
      <c r="E769" s="1" t="s">
        <v>27</v>
      </c>
      <c r="F769" s="1">
        <v>44028</v>
      </c>
      <c r="G769" s="14" t="s">
        <v>28</v>
      </c>
      <c r="H769" t="s">
        <v>2066</v>
      </c>
      <c r="I769" s="2" t="s">
        <v>2067</v>
      </c>
      <c r="J769" s="2">
        <v>0.041666666666666664</v>
      </c>
      <c r="K769" s="1">
        <v>0.06944444444444443</v>
      </c>
      <c r="L769" s="1">
        <v>0.1111111111111111</v>
      </c>
      <c r="M769" s="1" t="s">
        <v>22</v>
      </c>
      <c r="N769" s="1" t="s">
        <v>53</v>
      </c>
      <c r="O769" s="1" t="s">
        <v>483</v>
      </c>
      <c r="P769" s="1" t="s">
        <v>488</v>
      </c>
      <c r="Q769" s="1">
        <v>44028</v>
      </c>
      <c r="R769" s="14">
        <v>4</v>
      </c>
      <c r="S769" s="1" t="s">
        <v>22</v>
      </c>
      <c r="T769" s="1" t="s">
        <v>22</v>
      </c>
      <c r="U769" s="1" t="s">
        <v>22</v>
      </c>
    </row>
    <row r="770" spans="1:21" x14ac:dyDescent="0.25">
      <c r="A770" s="1" t="s">
        <v>2049</v>
      </c>
      <c r="B770" s="2" t="s">
        <v>525</v>
      </c>
      <c r="C770" s="1" t="s">
        <v>25</v>
      </c>
      <c r="D770" s="1" t="s">
        <v>503</v>
      </c>
      <c r="E770" s="1" t="s">
        <v>27</v>
      </c>
      <c r="F770" s="1">
        <v>44040</v>
      </c>
      <c r="G770" s="14" t="s">
        <v>133</v>
      </c>
      <c r="H770" t="s">
        <v>2068</v>
      </c>
      <c r="I770" s="2" t="s">
        <v>2069</v>
      </c>
      <c r="J770" s="2">
        <v>0.013888888888888888</v>
      </c>
      <c r="K770" s="1">
        <v>0.0625</v>
      </c>
      <c r="L770" s="1">
        <v>0.0763888888888889</v>
      </c>
      <c r="M770" s="1" t="s">
        <v>22</v>
      </c>
      <c r="N770" s="1" t="s">
        <v>53</v>
      </c>
      <c r="O770" s="1" t="s">
        <v>483</v>
      </c>
      <c r="P770" s="1" t="s">
        <v>484</v>
      </c>
      <c r="Q770" s="1">
        <v>44040</v>
      </c>
      <c r="R770" s="14">
        <v>5</v>
      </c>
      <c r="S770" s="1" t="s">
        <v>22</v>
      </c>
      <c r="T770" s="1" t="s">
        <v>22</v>
      </c>
      <c r="U770" s="1" t="s">
        <v>22</v>
      </c>
    </row>
    <row r="771" spans="1:21" x14ac:dyDescent="0.25">
      <c r="A771" s="1" t="s">
        <v>2049</v>
      </c>
      <c r="B771" s="2" t="s">
        <v>99</v>
      </c>
      <c r="C771" s="1" t="s">
        <v>25</v>
      </c>
      <c r="D771" s="1" t="s">
        <v>503</v>
      </c>
      <c r="E771" s="1" t="s">
        <v>27</v>
      </c>
      <c r="F771" s="1">
        <v>44041</v>
      </c>
      <c r="G771" s="14" t="s">
        <v>28</v>
      </c>
      <c r="H771" t="s">
        <v>2070</v>
      </c>
      <c r="I771" s="2" t="s">
        <v>2071</v>
      </c>
      <c r="J771" s="2">
        <v>0.020833333333333332</v>
      </c>
      <c r="K771" s="1">
        <v>0.06944444444444443</v>
      </c>
      <c r="L771" s="1">
        <v>0.09027777777777776</v>
      </c>
      <c r="M771" s="1" t="s">
        <v>22</v>
      </c>
      <c r="N771" s="1" t="s">
        <v>53</v>
      </c>
      <c r="O771" s="1" t="s">
        <v>483</v>
      </c>
      <c r="P771" s="1" t="s">
        <v>484</v>
      </c>
      <c r="Q771" s="1">
        <v>44041</v>
      </c>
      <c r="R771" s="14">
        <v>5</v>
      </c>
      <c r="S771" s="1" t="s">
        <v>22</v>
      </c>
      <c r="T771" s="1" t="s">
        <v>22</v>
      </c>
      <c r="U771" s="1" t="s">
        <v>22</v>
      </c>
    </row>
    <row r="772" spans="1:21" x14ac:dyDescent="0.25">
      <c r="A772" s="1" t="s">
        <v>2072</v>
      </c>
      <c r="B772" s="2" t="s">
        <v>489</v>
      </c>
      <c r="C772" s="1" t="s">
        <v>490</v>
      </c>
      <c r="D772" s="1" t="s">
        <v>2073</v>
      </c>
      <c r="E772" s="1" t="s">
        <v>27</v>
      </c>
      <c r="F772" s="1">
        <v>44046</v>
      </c>
      <c r="G772" s="14" t="s">
        <v>38</v>
      </c>
      <c r="H772" t="s">
        <v>2074</v>
      </c>
      <c r="I772" s="2" t="s">
        <v>2074</v>
      </c>
      <c r="J772" s="2">
        <v>0.027777777777777776</v>
      </c>
      <c r="K772" s="1">
        <v>0.034722222222222224</v>
      </c>
      <c r="L772" s="1">
        <v>0.0625</v>
      </c>
      <c r="M772" s="1" t="s">
        <v>22</v>
      </c>
      <c r="N772" s="1" t="s">
        <v>574</v>
      </c>
      <c r="O772" s="1" t="s">
        <v>483</v>
      </c>
      <c r="P772" s="1" t="s">
        <v>42</v>
      </c>
      <c r="Q772" s="1">
        <v>44046</v>
      </c>
      <c r="R772" s="14">
        <v>5</v>
      </c>
      <c r="S772" s="1" t="s">
        <v>22</v>
      </c>
      <c r="T772" s="1" t="s">
        <v>22</v>
      </c>
      <c r="U772" s="1" t="s">
        <v>22</v>
      </c>
    </row>
    <row r="773" spans="1:21" x14ac:dyDescent="0.25">
      <c r="A773" s="1" t="s">
        <v>2072</v>
      </c>
      <c r="B773" s="2" t="s">
        <v>35</v>
      </c>
      <c r="C773" s="1" t="s">
        <v>25</v>
      </c>
      <c r="D773" s="1" t="s">
        <v>2075</v>
      </c>
      <c r="E773" s="1" t="s">
        <v>27</v>
      </c>
      <c r="F773" s="1">
        <v>44055</v>
      </c>
      <c r="G773" s="14" t="s">
        <v>38</v>
      </c>
      <c r="H773" t="s">
        <v>2076</v>
      </c>
      <c r="I773" s="2" t="s">
        <v>2076</v>
      </c>
      <c r="J773" s="2">
        <v>0.027777777777777776</v>
      </c>
      <c r="K773" s="1">
        <v>0.0625</v>
      </c>
      <c r="L773" s="1">
        <v>0.09027777777777778</v>
      </c>
      <c r="M773" s="1" t="s">
        <v>22</v>
      </c>
      <c r="N773" s="1" t="s">
        <v>53</v>
      </c>
      <c r="O773" s="1" t="s">
        <v>483</v>
      </c>
      <c r="P773" s="1" t="s">
        <v>42</v>
      </c>
      <c r="Q773" s="1">
        <v>44055</v>
      </c>
      <c r="R773" s="14">
        <v>4</v>
      </c>
      <c r="S773" s="1" t="s">
        <v>22</v>
      </c>
      <c r="T773" s="1" t="s">
        <v>22</v>
      </c>
      <c r="U773" s="1" t="s">
        <v>22</v>
      </c>
    </row>
    <row r="774" spans="1:21" x14ac:dyDescent="0.25">
      <c r="A774" s="1" t="s">
        <v>2072</v>
      </c>
      <c r="B774" s="2" t="s">
        <v>2077</v>
      </c>
      <c r="C774" s="1" t="s">
        <v>25</v>
      </c>
      <c r="D774" s="1" t="s">
        <v>2078</v>
      </c>
      <c r="E774" s="1" t="s">
        <v>27</v>
      </c>
      <c r="F774" s="1">
        <v>44055</v>
      </c>
      <c r="G774" s="14" t="s">
        <v>38</v>
      </c>
      <c r="H774" t="s">
        <v>2079</v>
      </c>
      <c r="I774" s="2" t="s">
        <v>2080</v>
      </c>
      <c r="J774" s="2">
        <v>0.027777777777777776</v>
      </c>
      <c r="K774" s="1">
        <v>0.09375</v>
      </c>
      <c r="L774" s="1">
        <v>0.12152777777777778</v>
      </c>
      <c r="M774" s="1" t="s">
        <v>22</v>
      </c>
      <c r="N774" s="1" t="s">
        <v>53</v>
      </c>
      <c r="O774" s="1" t="s">
        <v>483</v>
      </c>
      <c r="P774" s="1" t="s">
        <v>488</v>
      </c>
      <c r="Q774" s="1">
        <v>44055</v>
      </c>
      <c r="R774" s="14">
        <v>5</v>
      </c>
      <c r="S774" s="1" t="s">
        <v>22</v>
      </c>
      <c r="T774" s="1" t="s">
        <v>22</v>
      </c>
      <c r="U774" s="1" t="s">
        <v>22</v>
      </c>
    </row>
    <row r="775" spans="1:21" x14ac:dyDescent="0.25">
      <c r="A775" s="1" t="s">
        <v>2072</v>
      </c>
      <c r="B775" s="2" t="s">
        <v>185</v>
      </c>
      <c r="C775" s="1" t="s">
        <v>1924</v>
      </c>
      <c r="D775" s="1" t="s">
        <v>2081</v>
      </c>
      <c r="E775" s="1" t="s">
        <v>27</v>
      </c>
      <c r="F775" s="1">
        <v>44057</v>
      </c>
      <c r="G775" s="14" t="s">
        <v>38</v>
      </c>
      <c r="H775" t="s">
        <v>2082</v>
      </c>
      <c r="I775" s="2" t="s">
        <v>2083</v>
      </c>
      <c r="J775" s="2">
        <v>0.16666666666666666</v>
      </c>
      <c r="K775" s="1">
        <v>0.0763888888888889</v>
      </c>
      <c r="L775" s="1">
        <v>0.24305555555555555</v>
      </c>
      <c r="M775" s="1" t="s">
        <v>22</v>
      </c>
      <c r="N775" s="1" t="s">
        <v>574</v>
      </c>
      <c r="O775" s="1" t="s">
        <v>483</v>
      </c>
      <c r="P775" s="1" t="s">
        <v>488</v>
      </c>
      <c r="Q775" s="1" t="s">
        <v>22</v>
      </c>
      <c r="R775" s="1" t="s">
        <v>22</v>
      </c>
      <c r="S775" s="1" t="s">
        <v>22</v>
      </c>
      <c r="T775" s="1" t="s">
        <v>22</v>
      </c>
      <c r="U775" s="1" t="s">
        <v>22</v>
      </c>
    </row>
    <row r="776" spans="1:21" x14ac:dyDescent="0.25">
      <c r="A776" s="1" t="s">
        <v>2072</v>
      </c>
      <c r="B776" s="2" t="s">
        <v>35</v>
      </c>
      <c r="C776" s="1" t="s">
        <v>25</v>
      </c>
      <c r="D776" s="1" t="s">
        <v>2084</v>
      </c>
      <c r="E776" s="1" t="s">
        <v>27</v>
      </c>
      <c r="F776" s="1">
        <v>44062</v>
      </c>
      <c r="G776" s="14" t="s">
        <v>38</v>
      </c>
      <c r="H776" t="s">
        <v>2085</v>
      </c>
      <c r="I776" s="2" t="s">
        <v>2086</v>
      </c>
      <c r="J776" s="2">
        <v>0.06944444444444443</v>
      </c>
      <c r="K776" s="1">
        <v>0.07291666666666667</v>
      </c>
      <c r="L776" s="1">
        <v>0.1423611111111111</v>
      </c>
      <c r="M776" s="1" t="s">
        <v>22</v>
      </c>
      <c r="N776" s="1" t="s">
        <v>31</v>
      </c>
      <c r="O776" s="1" t="s">
        <v>483</v>
      </c>
      <c r="P776" s="1" t="s">
        <v>42</v>
      </c>
      <c r="Q776" s="1">
        <v>44062</v>
      </c>
      <c r="R776" s="14">
        <v>5</v>
      </c>
      <c r="S776" s="1" t="s">
        <v>22</v>
      </c>
      <c r="T776" s="1" t="s">
        <v>22</v>
      </c>
      <c r="U776" s="1" t="s">
        <v>22</v>
      </c>
    </row>
    <row r="777" spans="1:21" x14ac:dyDescent="0.25">
      <c r="A777" s="1" t="s">
        <v>2072</v>
      </c>
      <c r="B777" s="2" t="s">
        <v>99</v>
      </c>
      <c r="C777" s="1" t="s">
        <v>25</v>
      </c>
      <c r="D777" s="1" t="s">
        <v>2087</v>
      </c>
      <c r="E777" s="1" t="s">
        <v>27</v>
      </c>
      <c r="F777" s="1">
        <v>44062</v>
      </c>
      <c r="G777" s="14" t="s">
        <v>2088</v>
      </c>
      <c r="H777" t="s">
        <v>2089</v>
      </c>
      <c r="I777" s="2" t="s">
        <v>2090</v>
      </c>
      <c r="J777" s="2">
        <v>0.027777777777777776</v>
      </c>
      <c r="K777" s="1" t="s">
        <v>22</v>
      </c>
      <c r="L777" s="1">
        <v>0.027777777777777776</v>
      </c>
      <c r="M777" s="1" t="s">
        <v>22</v>
      </c>
      <c r="N777" s="1" t="s">
        <v>31</v>
      </c>
      <c r="O777" s="1" t="s">
        <v>22</v>
      </c>
      <c r="P777" s="1" t="s">
        <v>484</v>
      </c>
      <c r="Q777" s="1">
        <v>44062</v>
      </c>
      <c r="R777" s="14">
        <v>5</v>
      </c>
      <c r="S777" s="1" t="s">
        <v>22</v>
      </c>
      <c r="T777" s="1" t="s">
        <v>22</v>
      </c>
      <c r="U777" s="1" t="s">
        <v>22</v>
      </c>
    </row>
    <row r="778" spans="1:21" x14ac:dyDescent="0.25">
      <c r="A778" s="1" t="s">
        <v>2072</v>
      </c>
      <c r="B778" s="2" t="s">
        <v>616</v>
      </c>
      <c r="C778" s="1" t="s">
        <v>617</v>
      </c>
      <c r="D778" s="1" t="s">
        <v>2091</v>
      </c>
      <c r="E778" s="1" t="s">
        <v>2092</v>
      </c>
      <c r="F778" s="1">
        <v>44071</v>
      </c>
      <c r="G778" s="14" t="s">
        <v>38</v>
      </c>
      <c r="H778" t="s">
        <v>2093</v>
      </c>
      <c r="I778" s="2" t="s">
        <v>2093</v>
      </c>
      <c r="J778" s="2">
        <v>0.013888888888888888</v>
      </c>
      <c r="K778" s="1" t="s">
        <v>22</v>
      </c>
      <c r="L778" s="1">
        <v>0.013888888888888888</v>
      </c>
      <c r="M778" s="1" t="s">
        <v>22</v>
      </c>
      <c r="N778" s="1" t="s">
        <v>53</v>
      </c>
      <c r="O778" s="1" t="s">
        <v>22</v>
      </c>
      <c r="P778" s="1" t="s">
        <v>484</v>
      </c>
      <c r="Q778" s="1">
        <v>44071</v>
      </c>
      <c r="R778" s="14">
        <v>5</v>
      </c>
      <c r="S778" s="1" t="s">
        <v>22</v>
      </c>
      <c r="T778" s="1" t="s">
        <v>22</v>
      </c>
      <c r="U778" s="1" t="s">
        <v>22</v>
      </c>
    </row>
    <row r="779" spans="1:21" x14ac:dyDescent="0.25">
      <c r="A779" s="1" t="s">
        <v>2072</v>
      </c>
      <c r="B779" s="2" t="s">
        <v>185</v>
      </c>
      <c r="C779" s="1" t="s">
        <v>1924</v>
      </c>
      <c r="D779" s="1" t="s">
        <v>2094</v>
      </c>
      <c r="E779" s="1" t="s">
        <v>27</v>
      </c>
      <c r="F779" s="1">
        <v>44074</v>
      </c>
      <c r="G779" s="14" t="s">
        <v>38</v>
      </c>
      <c r="H779" t="s">
        <v>2095</v>
      </c>
      <c r="I779" s="2" t="s">
        <v>2096</v>
      </c>
      <c r="J779" s="2">
        <v>0.020833333333333332</v>
      </c>
      <c r="K779" s="1">
        <v>0.08333333333333333</v>
      </c>
      <c r="L779" s="1">
        <v>0.10416666666666666</v>
      </c>
      <c r="M779" s="1" t="s">
        <v>22</v>
      </c>
      <c r="N779" s="1" t="s">
        <v>53</v>
      </c>
      <c r="O779" s="1" t="s">
        <v>574</v>
      </c>
      <c r="P779" s="1" t="s">
        <v>488</v>
      </c>
      <c r="Q779" s="1">
        <v>44074</v>
      </c>
      <c r="R779" s="14">
        <v>5</v>
      </c>
      <c r="S779" s="1" t="s">
        <v>22</v>
      </c>
      <c r="T779" s="1" t="s">
        <v>22</v>
      </c>
      <c r="U779" s="1" t="s">
        <v>22</v>
      </c>
    </row>
    <row r="780" spans="1:21" x14ac:dyDescent="0.25">
      <c r="A780" s="1" t="s">
        <v>2072</v>
      </c>
      <c r="B780" s="2" t="s">
        <v>122</v>
      </c>
      <c r="C780" s="1" t="s">
        <v>123</v>
      </c>
      <c r="D780" s="1" t="s">
        <v>2097</v>
      </c>
      <c r="E780" s="1" t="s">
        <v>27</v>
      </c>
      <c r="F780" s="1">
        <v>44074</v>
      </c>
      <c r="G780" s="14" t="s">
        <v>38</v>
      </c>
      <c r="H780" t="s">
        <v>2098</v>
      </c>
      <c r="I780" s="2" t="s">
        <v>2099</v>
      </c>
      <c r="J780" s="2">
        <v>0.013888888888888888</v>
      </c>
      <c r="K780" s="1" t="s">
        <v>22</v>
      </c>
      <c r="L780" s="1">
        <v>0.013888888888888888</v>
      </c>
      <c r="M780" s="1" t="s">
        <v>22</v>
      </c>
      <c r="N780" s="1" t="s">
        <v>31</v>
      </c>
      <c r="O780" s="1" t="s">
        <v>22</v>
      </c>
      <c r="P780" s="1" t="s">
        <v>484</v>
      </c>
      <c r="Q780" s="1">
        <v>44074</v>
      </c>
      <c r="R780" s="14">
        <v>5</v>
      </c>
      <c r="S780" s="1" t="s">
        <v>22</v>
      </c>
      <c r="T780" s="1" t="s">
        <v>22</v>
      </c>
      <c r="U780" s="1" t="s">
        <v>22</v>
      </c>
    </row>
    <row r="781" spans="1:21" x14ac:dyDescent="0.25">
      <c r="A781" s="1" t="s">
        <v>2100</v>
      </c>
      <c r="B781" s="2" t="s">
        <v>2101</v>
      </c>
      <c r="C781" s="1" t="s">
        <v>1359</v>
      </c>
      <c r="D781" s="1" t="s">
        <v>2102</v>
      </c>
      <c r="E781" s="1" t="s">
        <v>27</v>
      </c>
      <c r="F781" s="1">
        <v>44076</v>
      </c>
      <c r="G781" s="14" t="s">
        <v>696</v>
      </c>
      <c r="H781" t="s">
        <v>2103</v>
      </c>
      <c r="I781" s="2" t="s">
        <v>2104</v>
      </c>
      <c r="J781" s="2">
        <v>0.020833333333333332</v>
      </c>
      <c r="K781" s="1" t="s">
        <v>22</v>
      </c>
      <c r="L781" s="1">
        <v>0.020833333333333332</v>
      </c>
      <c r="M781" s="1" t="s">
        <v>22</v>
      </c>
      <c r="N781" s="1" t="s">
        <v>31</v>
      </c>
      <c r="O781" s="1" t="s">
        <v>22</v>
      </c>
      <c r="P781" s="1" t="s">
        <v>42</v>
      </c>
      <c r="Q781" s="1">
        <v>44076</v>
      </c>
      <c r="R781" s="14">
        <v>5</v>
      </c>
      <c r="S781" s="1" t="s">
        <v>22</v>
      </c>
      <c r="T781" s="1" t="s">
        <v>22</v>
      </c>
      <c r="U781" s="1" t="s">
        <v>22</v>
      </c>
    </row>
    <row r="782" spans="1:21" x14ac:dyDescent="0.25">
      <c r="A782" s="1" t="s">
        <v>2100</v>
      </c>
      <c r="B782" s="2" t="s">
        <v>146</v>
      </c>
      <c r="C782" s="1" t="s">
        <v>186</v>
      </c>
      <c r="D782" s="1" t="s">
        <v>2105</v>
      </c>
      <c r="E782" s="1" t="s">
        <v>27</v>
      </c>
      <c r="F782" s="1">
        <v>44076</v>
      </c>
      <c r="G782" s="14" t="s">
        <v>1073</v>
      </c>
      <c r="H782" t="s">
        <v>2106</v>
      </c>
      <c r="I782" s="2" t="s">
        <v>2107</v>
      </c>
      <c r="J782" s="2">
        <v>0.03333333333333333</v>
      </c>
      <c r="K782" s="1">
        <v>0.013888888888888888</v>
      </c>
      <c r="L782" s="1">
        <v>0.04722222222222222</v>
      </c>
      <c r="M782" s="1" t="s">
        <v>22</v>
      </c>
      <c r="N782" s="1" t="s">
        <v>574</v>
      </c>
      <c r="O782" s="1" t="s">
        <v>31</v>
      </c>
      <c r="P782" s="1" t="s">
        <v>488</v>
      </c>
      <c r="Q782" s="1">
        <v>44076</v>
      </c>
      <c r="R782" s="14">
        <v>5</v>
      </c>
      <c r="S782" s="1" t="s">
        <v>22</v>
      </c>
      <c r="T782" s="1" t="s">
        <v>22</v>
      </c>
      <c r="U782" s="1" t="s">
        <v>22</v>
      </c>
    </row>
    <row r="783" spans="1:21" x14ac:dyDescent="0.25">
      <c r="A783" s="1" t="s">
        <v>2100</v>
      </c>
      <c r="B783" s="2" t="s">
        <v>146</v>
      </c>
      <c r="C783" s="1" t="s">
        <v>186</v>
      </c>
      <c r="D783" s="1" t="s">
        <v>2108</v>
      </c>
      <c r="E783" s="1" t="s">
        <v>27</v>
      </c>
      <c r="F783" s="1">
        <v>44077</v>
      </c>
      <c r="G783" s="14" t="s">
        <v>28</v>
      </c>
      <c r="H783" t="s">
        <v>2109</v>
      </c>
      <c r="I783" s="2" t="s">
        <v>2110</v>
      </c>
      <c r="J783" s="2">
        <v>0.027777777777777776</v>
      </c>
      <c r="K783" s="1" t="s">
        <v>22</v>
      </c>
      <c r="L783" s="1">
        <v>0.027777777777777776</v>
      </c>
      <c r="M783" s="1" t="s">
        <v>22</v>
      </c>
      <c r="N783" s="1" t="s">
        <v>574</v>
      </c>
      <c r="O783" s="1" t="s">
        <v>31</v>
      </c>
      <c r="P783" s="1" t="s">
        <v>488</v>
      </c>
      <c r="Q783" s="1">
        <v>44077</v>
      </c>
      <c r="R783" s="14">
        <v>5</v>
      </c>
      <c r="S783" s="1" t="s">
        <v>22</v>
      </c>
      <c r="T783" s="1" t="s">
        <v>22</v>
      </c>
      <c r="U783" s="1" t="s">
        <v>22</v>
      </c>
    </row>
    <row r="784" spans="1:21" x14ac:dyDescent="0.25">
      <c r="A784" s="1" t="s">
        <v>2100</v>
      </c>
      <c r="B784" s="2" t="s">
        <v>1442</v>
      </c>
      <c r="C784" s="1" t="s">
        <v>186</v>
      </c>
      <c r="D784" s="1" t="s">
        <v>2111</v>
      </c>
      <c r="E784" s="1" t="s">
        <v>27</v>
      </c>
      <c r="F784" s="1">
        <v>44077</v>
      </c>
      <c r="G784" s="14" t="s">
        <v>38</v>
      </c>
      <c r="H784" t="s">
        <v>2112</v>
      </c>
      <c r="I784" s="2" t="s">
        <v>2113</v>
      </c>
      <c r="J784" s="2">
        <v>0.027777777777777776</v>
      </c>
      <c r="K784" s="1">
        <v>0.0625</v>
      </c>
      <c r="L784" s="1">
        <v>0.09027777777777778</v>
      </c>
      <c r="M784" s="1" t="s">
        <v>22</v>
      </c>
      <c r="N784" s="1" t="s">
        <v>31</v>
      </c>
      <c r="O784" s="1" t="s">
        <v>574</v>
      </c>
      <c r="P784" s="1" t="s">
        <v>488</v>
      </c>
      <c r="Q784" s="1">
        <v>44077</v>
      </c>
      <c r="R784" s="14">
        <v>5</v>
      </c>
      <c r="S784" s="1" t="s">
        <v>22</v>
      </c>
      <c r="T784" s="1" t="s">
        <v>22</v>
      </c>
      <c r="U784" s="1" t="s">
        <v>22</v>
      </c>
    </row>
    <row r="785" spans="1:21" x14ac:dyDescent="0.25">
      <c r="A785" s="1" t="s">
        <v>2100</v>
      </c>
      <c r="B785" s="2" t="s">
        <v>2114</v>
      </c>
      <c r="C785" s="1" t="s">
        <v>186</v>
      </c>
      <c r="D785" s="1" t="s">
        <v>2115</v>
      </c>
      <c r="E785" s="1" t="s">
        <v>27</v>
      </c>
      <c r="F785" s="1">
        <v>44085</v>
      </c>
      <c r="G785" s="14" t="s">
        <v>38</v>
      </c>
      <c r="H785" t="s">
        <v>2116</v>
      </c>
      <c r="I785" s="2" t="s">
        <v>2117</v>
      </c>
      <c r="J785" s="2">
        <v>0.020833333333333332</v>
      </c>
      <c r="K785" s="1" t="s">
        <v>22</v>
      </c>
      <c r="L785" s="1">
        <v>0.020833333333333332</v>
      </c>
      <c r="M785" s="1" t="s">
        <v>22</v>
      </c>
      <c r="N785" s="1" t="s">
        <v>53</v>
      </c>
      <c r="O785" s="1" t="s">
        <v>22</v>
      </c>
      <c r="P785" s="1" t="s">
        <v>488</v>
      </c>
      <c r="Q785" s="1">
        <v>44085</v>
      </c>
      <c r="R785" s="14">
        <v>5</v>
      </c>
      <c r="S785" s="1" t="s">
        <v>22</v>
      </c>
      <c r="T785" s="1" t="s">
        <v>22</v>
      </c>
      <c r="U785" s="1" t="s">
        <v>22</v>
      </c>
    </row>
    <row r="786" spans="1:21" x14ac:dyDescent="0.25">
      <c r="A786" s="1" t="s">
        <v>2100</v>
      </c>
      <c r="B786" s="2" t="s">
        <v>99</v>
      </c>
      <c r="C786" s="1" t="s">
        <v>25</v>
      </c>
      <c r="D786" s="1" t="s">
        <v>2118</v>
      </c>
      <c r="E786" s="1" t="s">
        <v>37</v>
      </c>
      <c r="F786" s="1">
        <v>44085</v>
      </c>
      <c r="G786" s="14" t="s">
        <v>28</v>
      </c>
      <c r="H786" t="s">
        <v>2119</v>
      </c>
      <c r="I786" s="2" t="s">
        <v>2120</v>
      </c>
      <c r="J786" s="2">
        <v>0.03125</v>
      </c>
      <c r="K786" s="1">
        <v>0.08472222222222221</v>
      </c>
      <c r="L786" s="1">
        <v>0.11597222222222221</v>
      </c>
      <c r="M786" s="1" t="s">
        <v>22</v>
      </c>
      <c r="N786" s="1" t="s">
        <v>31</v>
      </c>
      <c r="O786" s="1" t="s">
        <v>32</v>
      </c>
      <c r="P786" s="1" t="s">
        <v>484</v>
      </c>
      <c r="Q786" s="1">
        <v>44085</v>
      </c>
      <c r="R786" s="14">
        <v>5</v>
      </c>
      <c r="S786" s="1" t="s">
        <v>22</v>
      </c>
      <c r="T786" s="1" t="s">
        <v>22</v>
      </c>
      <c r="U786" s="1" t="s">
        <v>22</v>
      </c>
    </row>
    <row r="787" spans="1:21" x14ac:dyDescent="0.25">
      <c r="A787" s="1" t="s">
        <v>2121</v>
      </c>
      <c r="B787" s="2" t="s">
        <v>1040</v>
      </c>
      <c r="C787" s="1" t="s">
        <v>1631</v>
      </c>
      <c r="D787" s="1" t="s">
        <v>2122</v>
      </c>
      <c r="E787" s="1" t="s">
        <v>37</v>
      </c>
      <c r="F787" s="1">
        <v>44110</v>
      </c>
      <c r="G787" s="14" t="s">
        <v>28</v>
      </c>
      <c r="H787" t="s">
        <v>2123</v>
      </c>
      <c r="I787" s="2" t="s">
        <v>2124</v>
      </c>
      <c r="J787" s="2">
        <v>0.04861111111111111</v>
      </c>
      <c r="K787" s="1">
        <v>0.05555555555555555</v>
      </c>
      <c r="L787" s="1">
        <v>0.10416666666666666</v>
      </c>
      <c r="M787" s="1" t="s">
        <v>22</v>
      </c>
      <c r="N787" s="1" t="s">
        <v>31</v>
      </c>
      <c r="O787" s="1" t="s">
        <v>483</v>
      </c>
      <c r="P787" s="1" t="s">
        <v>1405</v>
      </c>
      <c r="Q787" s="1">
        <v>44110</v>
      </c>
      <c r="R787" s="14">
        <v>5</v>
      </c>
      <c r="S787" s="1" t="s">
        <v>22</v>
      </c>
      <c r="T787" s="1" t="s">
        <v>22</v>
      </c>
      <c r="U787" s="1" t="s">
        <v>22</v>
      </c>
    </row>
    <row r="788" spans="1:21" x14ac:dyDescent="0.25">
      <c r="A788" s="1" t="s">
        <v>2121</v>
      </c>
      <c r="B788" s="2" t="s">
        <v>2125</v>
      </c>
      <c r="C788" s="1" t="s">
        <v>186</v>
      </c>
      <c r="D788" s="1" t="s">
        <v>2126</v>
      </c>
      <c r="E788" s="1" t="s">
        <v>27</v>
      </c>
      <c r="F788" s="1">
        <v>44111</v>
      </c>
      <c r="G788" s="14" t="s">
        <v>38</v>
      </c>
      <c r="H788" t="s">
        <v>2127</v>
      </c>
      <c r="I788" s="2" t="s">
        <v>2128</v>
      </c>
      <c r="J788" s="2">
        <v>0.013888888888888888</v>
      </c>
      <c r="K788" s="1">
        <v>0.03125</v>
      </c>
      <c r="L788" s="1">
        <v>0.04513888888888889</v>
      </c>
      <c r="M788" s="1" t="s">
        <v>22</v>
      </c>
      <c r="N788" s="1" t="s">
        <v>31</v>
      </c>
      <c r="O788" s="1" t="s">
        <v>32</v>
      </c>
      <c r="P788" s="1" t="s">
        <v>488</v>
      </c>
      <c r="Q788" s="1">
        <v>44111</v>
      </c>
      <c r="R788" s="14">
        <v>5</v>
      </c>
      <c r="S788" s="1" t="s">
        <v>22</v>
      </c>
      <c r="T788" s="1" t="s">
        <v>22</v>
      </c>
      <c r="U788" s="1" t="s">
        <v>22</v>
      </c>
    </row>
    <row r="789" spans="1:21" x14ac:dyDescent="0.25">
      <c r="A789" s="1" t="s">
        <v>2121</v>
      </c>
      <c r="B789" s="2" t="s">
        <v>1532</v>
      </c>
      <c r="C789" s="1" t="s">
        <v>1533</v>
      </c>
      <c r="D789" s="1" t="s">
        <v>2129</v>
      </c>
      <c r="E789" s="1" t="s">
        <v>952</v>
      </c>
      <c r="F789" s="1">
        <v>44112</v>
      </c>
      <c r="G789" s="14" t="s">
        <v>38</v>
      </c>
      <c r="H789" t="s">
        <v>2130</v>
      </c>
      <c r="I789" s="2" t="s">
        <v>2131</v>
      </c>
      <c r="J789" s="2">
        <v>0.0625</v>
      </c>
      <c r="K789" s="1">
        <v>0.0625</v>
      </c>
      <c r="L789" s="1">
        <v>0.125</v>
      </c>
      <c r="M789" s="1">
        <v>0</v>
      </c>
      <c r="N789" s="1" t="s">
        <v>31</v>
      </c>
      <c r="O789" s="1" t="s">
        <v>503</v>
      </c>
      <c r="P789" s="1" t="s">
        <v>42</v>
      </c>
      <c r="Q789" s="1">
        <v>44112</v>
      </c>
      <c r="R789" s="14">
        <v>5</v>
      </c>
      <c r="S789" s="1" t="s">
        <v>22</v>
      </c>
      <c r="T789" s="1" t="s">
        <v>22</v>
      </c>
      <c r="U789" s="1" t="s">
        <v>22</v>
      </c>
    </row>
    <row r="790" spans="1:21" x14ac:dyDescent="0.25">
      <c r="A790" s="1" t="s">
        <v>2121</v>
      </c>
      <c r="B790" s="2" t="s">
        <v>1473</v>
      </c>
      <c r="C790" s="1" t="s">
        <v>951</v>
      </c>
      <c r="D790" s="1" t="s">
        <v>2132</v>
      </c>
      <c r="E790" s="1" t="s">
        <v>27</v>
      </c>
      <c r="F790" s="1">
        <v>44117</v>
      </c>
      <c r="G790" s="14" t="s">
        <v>953</v>
      </c>
      <c r="H790" t="s">
        <v>2133</v>
      </c>
      <c r="I790" s="2" t="s">
        <v>2134</v>
      </c>
      <c r="J790" s="2">
        <v>0.020833333333333332</v>
      </c>
      <c r="K790" s="1">
        <v>0.052083333333333336</v>
      </c>
      <c r="L790" s="1">
        <v>0.07291666666666667</v>
      </c>
      <c r="M790" s="1" t="s">
        <v>22</v>
      </c>
      <c r="N790" s="1" t="s">
        <v>2135</v>
      </c>
      <c r="O790" s="1" t="s">
        <v>2136</v>
      </c>
      <c r="P790" s="1" t="s">
        <v>488</v>
      </c>
      <c r="Q790" s="1">
        <v>44117</v>
      </c>
      <c r="R790" s="14">
        <v>5</v>
      </c>
      <c r="S790" s="1" t="s">
        <v>22</v>
      </c>
      <c r="T790" s="1" t="s">
        <v>22</v>
      </c>
      <c r="U790" s="1" t="s">
        <v>22</v>
      </c>
    </row>
    <row r="791" spans="1:21" x14ac:dyDescent="0.25">
      <c r="A791" s="1" t="s">
        <v>2121</v>
      </c>
      <c r="B791" s="2" t="s">
        <v>1635</v>
      </c>
      <c r="C791" s="1" t="s">
        <v>989</v>
      </c>
      <c r="D791" s="1" t="s">
        <v>2137</v>
      </c>
      <c r="E791" s="1" t="s">
        <v>952</v>
      </c>
      <c r="F791" s="1">
        <v>44120</v>
      </c>
      <c r="G791" s="14" t="s">
        <v>38</v>
      </c>
      <c r="H791" t="s">
        <v>2138</v>
      </c>
      <c r="I791" s="2" t="s">
        <v>2139</v>
      </c>
      <c r="J791" s="2">
        <v>0.04861111111111111</v>
      </c>
      <c r="K791" s="1">
        <v>0.08333333333333333</v>
      </c>
      <c r="L791" s="1">
        <v>0.13194444444444445</v>
      </c>
      <c r="M791" s="1" t="s">
        <v>22</v>
      </c>
      <c r="N791" s="1" t="s">
        <v>53</v>
      </c>
      <c r="O791" s="1" t="s">
        <v>483</v>
      </c>
      <c r="P791" s="1" t="s">
        <v>117</v>
      </c>
      <c r="Q791" s="1">
        <v>44120</v>
      </c>
      <c r="R791" s="14">
        <v>5</v>
      </c>
      <c r="S791" s="1" t="s">
        <v>22</v>
      </c>
      <c r="T791" s="1" t="s">
        <v>22</v>
      </c>
      <c r="U791" s="1" t="s">
        <v>22</v>
      </c>
    </row>
    <row r="792" spans="1:21" x14ac:dyDescent="0.25">
      <c r="A792" s="1" t="s">
        <v>2121</v>
      </c>
      <c r="B792" s="2" t="s">
        <v>796</v>
      </c>
      <c r="C792" s="1" t="s">
        <v>285</v>
      </c>
      <c r="D792" s="1" t="s">
        <v>2140</v>
      </c>
      <c r="E792" s="1" t="s">
        <v>952</v>
      </c>
      <c r="F792" s="1">
        <v>44121</v>
      </c>
      <c r="G792" s="14" t="s">
        <v>38</v>
      </c>
      <c r="H792" t="s">
        <v>2141</v>
      </c>
      <c r="I792" s="2" t="s">
        <v>2142</v>
      </c>
      <c r="J792" s="2">
        <v>0.020833333333333332</v>
      </c>
      <c r="K792" s="1">
        <v>0.041666666666666664</v>
      </c>
      <c r="L792" s="1">
        <v>0.0625</v>
      </c>
      <c r="M792" s="1" t="s">
        <v>22</v>
      </c>
      <c r="N792" s="1" t="s">
        <v>53</v>
      </c>
      <c r="O792" s="1" t="s">
        <v>483</v>
      </c>
      <c r="P792" s="1" t="s">
        <v>484</v>
      </c>
      <c r="Q792" s="1">
        <v>44121</v>
      </c>
      <c r="R792" s="14">
        <v>5</v>
      </c>
      <c r="S792" s="1" t="s">
        <v>22</v>
      </c>
      <c r="T792" s="1" t="s">
        <v>22</v>
      </c>
      <c r="U792" s="1" t="s">
        <v>22</v>
      </c>
    </row>
    <row r="793" spans="1:21" x14ac:dyDescent="0.25">
      <c r="A793" s="1" t="s">
        <v>2121</v>
      </c>
      <c r="B793" s="2" t="s">
        <v>288</v>
      </c>
      <c r="C793" s="1" t="s">
        <v>25</v>
      </c>
      <c r="D793" s="1" t="s">
        <v>2143</v>
      </c>
      <c r="E793" s="1" t="s">
        <v>27</v>
      </c>
      <c r="F793" s="1">
        <v>44131</v>
      </c>
      <c r="G793" s="14" t="s">
        <v>38</v>
      </c>
      <c r="H793" t="s">
        <v>2144</v>
      </c>
      <c r="I793" s="2" t="s">
        <v>2145</v>
      </c>
      <c r="J793" s="2">
        <v>0.020833333333333332</v>
      </c>
      <c r="K793" s="1">
        <v>0.015277777777777777</v>
      </c>
      <c r="L793" s="1">
        <v>0.03611111111111111</v>
      </c>
      <c r="M793" s="1" t="s">
        <v>22</v>
      </c>
      <c r="N793" s="1" t="s">
        <v>31</v>
      </c>
      <c r="O793" s="1" t="s">
        <v>2136</v>
      </c>
      <c r="P793" s="1" t="s">
        <v>488</v>
      </c>
      <c r="Q793" s="1">
        <v>44131</v>
      </c>
      <c r="R793" s="14">
        <v>5</v>
      </c>
      <c r="S793" s="1" t="s">
        <v>22</v>
      </c>
      <c r="T793" s="1" t="s">
        <v>22</v>
      </c>
      <c r="U793" s="1" t="s">
        <v>22</v>
      </c>
    </row>
    <row r="794" spans="1:21" x14ac:dyDescent="0.25">
      <c r="A794" s="1" t="s">
        <v>2146</v>
      </c>
      <c r="B794" s="2" t="s">
        <v>99</v>
      </c>
      <c r="C794" s="1" t="s">
        <v>25</v>
      </c>
      <c r="D794" s="1" t="s">
        <v>2147</v>
      </c>
      <c r="E794" s="1" t="s">
        <v>952</v>
      </c>
      <c r="F794" s="1">
        <v>44139</v>
      </c>
      <c r="G794" s="14" t="s">
        <v>28</v>
      </c>
      <c r="H794" t="s">
        <v>2148</v>
      </c>
      <c r="I794" s="2" t="s">
        <v>2149</v>
      </c>
      <c r="J794" s="2">
        <v>0.020833333333333332</v>
      </c>
      <c r="K794" s="1">
        <v>0.03125</v>
      </c>
      <c r="L794" s="1">
        <v>0.05208333333333333</v>
      </c>
      <c r="M794" s="1" t="s">
        <v>22</v>
      </c>
      <c r="N794" s="1" t="s">
        <v>53</v>
      </c>
      <c r="O794" s="1" t="s">
        <v>2136</v>
      </c>
      <c r="P794" s="1" t="s">
        <v>484</v>
      </c>
      <c r="Q794" s="1">
        <v>44139</v>
      </c>
      <c r="R794" s="14">
        <v>5</v>
      </c>
      <c r="S794" s="1" t="s">
        <v>22</v>
      </c>
      <c r="T794" s="1" t="s">
        <v>22</v>
      </c>
      <c r="U794" s="1" t="s">
        <v>22</v>
      </c>
    </row>
    <row r="795" spans="1:21" x14ac:dyDescent="0.25">
      <c r="A795" s="1" t="s">
        <v>2146</v>
      </c>
      <c r="B795" s="2" t="s">
        <v>2150</v>
      </c>
      <c r="C795" s="1" t="s">
        <v>186</v>
      </c>
      <c r="D795" s="1" t="s">
        <v>2151</v>
      </c>
      <c r="E795" s="1" t="s">
        <v>27</v>
      </c>
      <c r="F795" s="1">
        <v>44145</v>
      </c>
      <c r="G795" s="14" t="s">
        <v>38</v>
      </c>
      <c r="H795" t="s">
        <v>2152</v>
      </c>
      <c r="I795" s="2" t="s">
        <v>2153</v>
      </c>
      <c r="J795" s="2">
        <v>0.027777777777777776</v>
      </c>
      <c r="K795" s="1" t="s">
        <v>22</v>
      </c>
      <c r="L795" s="1">
        <v>0.027777777777777776</v>
      </c>
      <c r="M795" s="1" t="s">
        <v>22</v>
      </c>
      <c r="N795" s="1" t="s">
        <v>574</v>
      </c>
      <c r="O795" s="1" t="s">
        <v>22</v>
      </c>
      <c r="P795" s="1" t="s">
        <v>488</v>
      </c>
      <c r="Q795" s="1">
        <v>44145</v>
      </c>
      <c r="R795" s="14">
        <v>5</v>
      </c>
      <c r="S795" s="1" t="s">
        <v>22</v>
      </c>
      <c r="T795" s="1" t="s">
        <v>22</v>
      </c>
      <c r="U795" s="1" t="s">
        <v>22</v>
      </c>
    </row>
    <row r="796" spans="1:21" x14ac:dyDescent="0.25">
      <c r="A796" s="1" t="s">
        <v>2146</v>
      </c>
      <c r="B796" s="2" t="s">
        <v>1451</v>
      </c>
      <c r="C796" s="1" t="s">
        <v>287</v>
      </c>
      <c r="D796" s="1" t="s">
        <v>2154</v>
      </c>
      <c r="E796" s="1" t="s">
        <v>27</v>
      </c>
      <c r="F796" s="1">
        <v>44146</v>
      </c>
      <c r="G796" s="14" t="s">
        <v>38</v>
      </c>
      <c r="H796" t="s">
        <v>2155</v>
      </c>
      <c r="I796" s="2" t="s">
        <v>2156</v>
      </c>
      <c r="J796" s="2">
        <v>0.020833333333333332</v>
      </c>
      <c r="K796" s="1">
        <v>0.030555555555555555</v>
      </c>
      <c r="L796" s="1">
        <v>0.05138888888888889</v>
      </c>
      <c r="M796" s="1" t="s">
        <v>22</v>
      </c>
      <c r="N796" s="1" t="s">
        <v>574</v>
      </c>
      <c r="O796" s="1" t="s">
        <v>32</v>
      </c>
      <c r="P796" s="1" t="s">
        <v>484</v>
      </c>
      <c r="Q796" s="1">
        <v>44146</v>
      </c>
      <c r="R796" s="14">
        <v>5</v>
      </c>
      <c r="S796" s="1" t="s">
        <v>22</v>
      </c>
      <c r="T796" s="1" t="s">
        <v>22</v>
      </c>
      <c r="U796" s="1" t="s">
        <v>22</v>
      </c>
    </row>
    <row r="797" spans="1:21" x14ac:dyDescent="0.25">
      <c r="A797" s="1" t="s">
        <v>2146</v>
      </c>
      <c r="B797" s="2" t="s">
        <v>616</v>
      </c>
      <c r="C797" s="1" t="s">
        <v>617</v>
      </c>
      <c r="D797" s="1" t="s">
        <v>2157</v>
      </c>
      <c r="E797" s="1" t="s">
        <v>37</v>
      </c>
      <c r="F797" s="1">
        <v>44149</v>
      </c>
      <c r="G797" s="14" t="s">
        <v>696</v>
      </c>
      <c r="H797" t="s">
        <v>2158</v>
      </c>
      <c r="I797" s="2" t="s">
        <v>2159</v>
      </c>
      <c r="J797" s="2">
        <v>0.020833333333333332</v>
      </c>
      <c r="K797" s="1">
        <v>0.030555555555555555</v>
      </c>
      <c r="L797" s="1">
        <v>0.05138888888888889</v>
      </c>
      <c r="M797" s="1" t="s">
        <v>22</v>
      </c>
      <c r="N797" s="1" t="s">
        <v>54</v>
      </c>
      <c r="O797" s="1" t="s">
        <v>54</v>
      </c>
      <c r="P797" s="1" t="s">
        <v>2160</v>
      </c>
      <c r="Q797" s="1">
        <v>44149</v>
      </c>
      <c r="R797" s="14">
        <v>4</v>
      </c>
      <c r="S797" s="1" t="s">
        <v>22</v>
      </c>
      <c r="T797" s="1" t="s">
        <v>22</v>
      </c>
      <c r="U797" s="1" t="s">
        <v>22</v>
      </c>
    </row>
    <row r="798" spans="1:21" x14ac:dyDescent="0.25">
      <c r="A798" s="1" t="s">
        <v>2146</v>
      </c>
      <c r="B798" s="2" t="s">
        <v>1635</v>
      </c>
      <c r="C798" s="1" t="s">
        <v>186</v>
      </c>
      <c r="D798" s="1" t="s">
        <v>2161</v>
      </c>
      <c r="E798" s="1" t="s">
        <v>27</v>
      </c>
      <c r="F798" s="1">
        <v>44152</v>
      </c>
      <c r="G798" s="14" t="s">
        <v>28</v>
      </c>
      <c r="H798" t="s">
        <v>2162</v>
      </c>
      <c r="I798" s="2" t="s">
        <v>2163</v>
      </c>
      <c r="J798" s="2">
        <v>0.03125</v>
      </c>
      <c r="K798" s="1">
        <v>0.08333333333333333</v>
      </c>
      <c r="L798" s="1">
        <v>0.11458333333333333</v>
      </c>
      <c r="M798" s="1" t="s">
        <v>22</v>
      </c>
      <c r="N798" s="1" t="s">
        <v>32</v>
      </c>
      <c r="O798" s="1" t="s">
        <v>483</v>
      </c>
      <c r="P798" s="1" t="s">
        <v>488</v>
      </c>
      <c r="Q798" s="1">
        <v>44153</v>
      </c>
      <c r="R798" s="14">
        <v>5</v>
      </c>
      <c r="S798" s="1" t="s">
        <v>22</v>
      </c>
      <c r="T798" s="1" t="s">
        <v>22</v>
      </c>
      <c r="U798" s="1" t="s">
        <v>22</v>
      </c>
    </row>
    <row r="799" spans="1:21" x14ac:dyDescent="0.25">
      <c r="A799" s="1" t="s">
        <v>2146</v>
      </c>
      <c r="B799" s="2" t="s">
        <v>529</v>
      </c>
      <c r="C799" s="1" t="s">
        <v>1924</v>
      </c>
      <c r="D799" s="1" t="s">
        <v>2164</v>
      </c>
      <c r="E799" s="1" t="s">
        <v>27</v>
      </c>
      <c r="F799" s="1">
        <v>44152</v>
      </c>
      <c r="G799" s="14" t="s">
        <v>28</v>
      </c>
      <c r="H799" t="s">
        <v>2165</v>
      </c>
      <c r="I799" s="2" t="s">
        <v>2166</v>
      </c>
      <c r="J799" s="2">
        <v>0.04861111111111111</v>
      </c>
      <c r="K799" s="1">
        <v>0.08680555555555557</v>
      </c>
      <c r="L799" s="1">
        <v>0.13541666666666669</v>
      </c>
      <c r="M799" s="1" t="s">
        <v>22</v>
      </c>
      <c r="N799" s="1" t="s">
        <v>32</v>
      </c>
      <c r="O799" s="1" t="s">
        <v>483</v>
      </c>
      <c r="P799" s="1" t="s">
        <v>2160</v>
      </c>
      <c r="Q799" s="1">
        <v>44153</v>
      </c>
      <c r="R799" s="14">
        <v>5</v>
      </c>
      <c r="S799" s="1" t="s">
        <v>22</v>
      </c>
      <c r="T799" s="1" t="s">
        <v>22</v>
      </c>
      <c r="U799" s="1" t="s">
        <v>22</v>
      </c>
    </row>
    <row r="800" spans="1:21" x14ac:dyDescent="0.25">
      <c r="A800" s="1" t="s">
        <v>2146</v>
      </c>
      <c r="B800" s="2" t="s">
        <v>113</v>
      </c>
      <c r="C800" s="1" t="s">
        <v>25</v>
      </c>
      <c r="D800" s="1" t="s">
        <v>2167</v>
      </c>
      <c r="E800" s="1" t="s">
        <v>37</v>
      </c>
      <c r="F800" s="1">
        <v>44153</v>
      </c>
      <c r="G800" s="14" t="s">
        <v>38</v>
      </c>
      <c r="H800" t="s">
        <v>2168</v>
      </c>
      <c r="I800" s="2" t="s">
        <v>2169</v>
      </c>
      <c r="J800" s="2">
        <v>0.0625</v>
      </c>
      <c r="K800" s="1">
        <v>0.06944444444444443</v>
      </c>
      <c r="L800" s="1">
        <v>0.13194444444444442</v>
      </c>
      <c r="M800" s="1" t="s">
        <v>22</v>
      </c>
      <c r="N800" s="1" t="s">
        <v>31</v>
      </c>
      <c r="O800" s="1" t="s">
        <v>483</v>
      </c>
      <c r="P800" s="1" t="s">
        <v>484</v>
      </c>
      <c r="Q800" s="1">
        <v>44153</v>
      </c>
      <c r="R800" s="14">
        <v>5</v>
      </c>
      <c r="S800" s="1" t="s">
        <v>22</v>
      </c>
      <c r="T800" s="1" t="s">
        <v>22</v>
      </c>
      <c r="U800" s="1" t="s">
        <v>22</v>
      </c>
    </row>
    <row r="801" spans="1:21" x14ac:dyDescent="0.25">
      <c r="A801" s="1" t="s">
        <v>2146</v>
      </c>
      <c r="B801" s="2" t="s">
        <v>185</v>
      </c>
      <c r="C801" s="1" t="s">
        <v>1924</v>
      </c>
      <c r="D801" s="1" t="s">
        <v>2170</v>
      </c>
      <c r="E801" s="1" t="s">
        <v>27</v>
      </c>
      <c r="F801" s="1">
        <v>44153</v>
      </c>
      <c r="G801" s="14" t="s">
        <v>38</v>
      </c>
      <c r="H801" t="s">
        <v>2171</v>
      </c>
      <c r="I801" s="2" t="s">
        <v>2171</v>
      </c>
      <c r="J801" s="2">
        <v>0.013888888888888888</v>
      </c>
      <c r="K801" s="1" t="s">
        <v>22</v>
      </c>
      <c r="L801" s="1">
        <v>0.013888888888888888</v>
      </c>
      <c r="M801" s="1" t="s">
        <v>22</v>
      </c>
      <c r="N801" s="1" t="s">
        <v>574</v>
      </c>
      <c r="O801" s="1" t="s">
        <v>22</v>
      </c>
      <c r="P801" s="1" t="s">
        <v>488</v>
      </c>
      <c r="Q801" s="1">
        <v>44153</v>
      </c>
      <c r="R801" s="14">
        <v>5</v>
      </c>
      <c r="S801" s="1" t="s">
        <v>22</v>
      </c>
      <c r="T801" s="1" t="s">
        <v>22</v>
      </c>
      <c r="U801" s="1" t="s">
        <v>22</v>
      </c>
    </row>
    <row r="802" spans="1:21" x14ac:dyDescent="0.25">
      <c r="A802" s="1" t="s">
        <v>2146</v>
      </c>
      <c r="B802" s="2" t="s">
        <v>616</v>
      </c>
      <c r="C802" s="1" t="s">
        <v>617</v>
      </c>
      <c r="D802" s="1" t="s">
        <v>2172</v>
      </c>
      <c r="E802" s="1" t="s">
        <v>27</v>
      </c>
      <c r="F802" s="1">
        <v>44158</v>
      </c>
      <c r="G802" s="14" t="s">
        <v>38</v>
      </c>
      <c r="H802" t="s">
        <v>2173</v>
      </c>
      <c r="I802" s="2" t="s">
        <v>2173</v>
      </c>
      <c r="J802" s="2">
        <v>0.020833333333333332</v>
      </c>
      <c r="K802" s="1">
        <v>0.041666666666666664</v>
      </c>
      <c r="L802" s="1">
        <v>0.0625</v>
      </c>
      <c r="M802" s="1" t="s">
        <v>22</v>
      </c>
      <c r="N802" s="1" t="s">
        <v>574</v>
      </c>
      <c r="O802" s="1" t="s">
        <v>483</v>
      </c>
      <c r="P802" s="1" t="s">
        <v>484</v>
      </c>
      <c r="Q802" s="1">
        <v>44158</v>
      </c>
      <c r="R802" s="14">
        <v>5</v>
      </c>
      <c r="S802" s="1" t="s">
        <v>22</v>
      </c>
      <c r="T802" s="1" t="s">
        <v>22</v>
      </c>
      <c r="U802" s="1" t="s">
        <v>22</v>
      </c>
    </row>
    <row r="803" spans="1:21" x14ac:dyDescent="0.25">
      <c r="A803" s="1" t="s">
        <v>2146</v>
      </c>
      <c r="B803" s="2" t="s">
        <v>1635</v>
      </c>
      <c r="C803" s="1" t="s">
        <v>186</v>
      </c>
      <c r="D803" s="1" t="s">
        <v>2174</v>
      </c>
      <c r="E803" s="1" t="s">
        <v>27</v>
      </c>
      <c r="F803" s="1">
        <v>44161</v>
      </c>
      <c r="G803" s="14" t="s">
        <v>38</v>
      </c>
      <c r="H803" t="s">
        <v>2175</v>
      </c>
      <c r="I803" s="2" t="s">
        <v>2176</v>
      </c>
      <c r="J803" s="2">
        <v>0.020833333333333332</v>
      </c>
      <c r="K803" s="1">
        <v>0.020833333333333332</v>
      </c>
      <c r="L803" s="1">
        <v>0.041666666666666664</v>
      </c>
      <c r="M803" s="1" t="s">
        <v>22</v>
      </c>
      <c r="N803" s="1" t="s">
        <v>54</v>
      </c>
      <c r="O803" s="1" t="s">
        <v>54</v>
      </c>
      <c r="P803" s="1" t="s">
        <v>488</v>
      </c>
      <c r="Q803" s="1">
        <v>44161</v>
      </c>
      <c r="R803" s="14">
        <v>5</v>
      </c>
      <c r="S803" s="1" t="s">
        <v>22</v>
      </c>
      <c r="T803" s="1" t="s">
        <v>22</v>
      </c>
      <c r="U803" s="1" t="s">
        <v>22</v>
      </c>
    </row>
    <row r="804" spans="1:21" x14ac:dyDescent="0.25">
      <c r="A804" s="1" t="s">
        <v>2177</v>
      </c>
      <c r="B804" s="2" t="s">
        <v>286</v>
      </c>
      <c r="C804" s="1" t="s">
        <v>974</v>
      </c>
      <c r="D804" s="1" t="s">
        <v>2178</v>
      </c>
      <c r="E804" s="1" t="s">
        <v>27</v>
      </c>
      <c r="F804" s="1">
        <v>44173</v>
      </c>
      <c r="G804" s="14" t="s">
        <v>38</v>
      </c>
      <c r="H804" t="s">
        <v>2179</v>
      </c>
      <c r="I804" s="2" t="s">
        <v>2180</v>
      </c>
      <c r="J804" s="2">
        <v>0.020833333333333332</v>
      </c>
      <c r="K804" s="1">
        <v>0.027083333333333334</v>
      </c>
      <c r="L804" s="1">
        <v>0.04791666666666666</v>
      </c>
      <c r="M804" s="1" t="s">
        <v>22</v>
      </c>
      <c r="N804" s="1" t="s">
        <v>31</v>
      </c>
      <c r="O804" s="1" t="s">
        <v>32</v>
      </c>
      <c r="P804" s="1" t="s">
        <v>484</v>
      </c>
      <c r="Q804" s="1">
        <v>44173</v>
      </c>
      <c r="R804" s="14">
        <v>5</v>
      </c>
      <c r="S804" s="1" t="s">
        <v>22</v>
      </c>
      <c r="T804" s="1" t="s">
        <v>22</v>
      </c>
      <c r="U804" s="1" t="s">
        <v>22</v>
      </c>
    </row>
    <row r="805" spans="1:21" x14ac:dyDescent="0.25">
      <c r="A805" s="1" t="s">
        <v>2177</v>
      </c>
      <c r="B805" s="2" t="s">
        <v>1635</v>
      </c>
      <c r="C805" s="1" t="s">
        <v>186</v>
      </c>
      <c r="D805" s="1" t="s">
        <v>2181</v>
      </c>
      <c r="E805" s="1" t="s">
        <v>27</v>
      </c>
      <c r="F805" s="1">
        <v>44182</v>
      </c>
      <c r="G805" s="14" t="s">
        <v>38</v>
      </c>
      <c r="H805" t="s">
        <v>2182</v>
      </c>
      <c r="I805" s="2" t="s">
        <v>2183</v>
      </c>
      <c r="J805" s="2">
        <v>0</v>
      </c>
      <c r="K805" s="1">
        <v>0.03888888888888889</v>
      </c>
      <c r="L805" s="1">
        <v>0.03888888888888889</v>
      </c>
      <c r="M805" s="1" t="s">
        <v>22</v>
      </c>
      <c r="N805" s="1" t="s">
        <v>31</v>
      </c>
      <c r="O805" s="1" t="s">
        <v>32</v>
      </c>
      <c r="P805" s="1" t="s">
        <v>488</v>
      </c>
      <c r="Q805" s="1">
        <v>44182</v>
      </c>
      <c r="R805" s="14">
        <v>5</v>
      </c>
      <c r="S805" s="1" t="s">
        <v>22</v>
      </c>
      <c r="T805" s="1" t="s">
        <v>22</v>
      </c>
      <c r="U805" s="1" t="s">
        <v>22</v>
      </c>
    </row>
    <row r="806" spans="1:21" x14ac:dyDescent="0.25">
      <c r="A806" s="1" t="s">
        <v>2177</v>
      </c>
      <c r="B806" s="2" t="s">
        <v>1093</v>
      </c>
      <c r="C806" s="1" t="s">
        <v>2184</v>
      </c>
      <c r="D806" s="1" t="s">
        <v>2185</v>
      </c>
      <c r="E806" s="1" t="s">
        <v>27</v>
      </c>
      <c r="F806" s="1">
        <v>44182</v>
      </c>
      <c r="G806" s="14" t="s">
        <v>38</v>
      </c>
      <c r="H806" t="s">
        <v>2186</v>
      </c>
      <c r="I806" s="2" t="s">
        <v>2187</v>
      </c>
      <c r="J806" s="2">
        <v>0.015277777777777777</v>
      </c>
      <c r="K806" s="1">
        <v>0.020833333333333332</v>
      </c>
      <c r="L806" s="1">
        <v>0.03611111111111111</v>
      </c>
      <c r="M806" s="1" t="s">
        <v>22</v>
      </c>
      <c r="N806" s="1" t="s">
        <v>32</v>
      </c>
      <c r="O806" s="1" t="s">
        <v>483</v>
      </c>
      <c r="P806" s="1" t="s">
        <v>488</v>
      </c>
      <c r="Q806" s="1">
        <v>44182</v>
      </c>
      <c r="R806" s="14">
        <v>5</v>
      </c>
      <c r="S806" s="1" t="s">
        <v>22</v>
      </c>
      <c r="T806" s="1" t="s">
        <v>22</v>
      </c>
      <c r="U806" s="1" t="s">
        <v>22</v>
      </c>
    </row>
    <row r="807" spans="1:21" x14ac:dyDescent="0.25">
      <c r="A807" s="1" t="s">
        <v>2177</v>
      </c>
      <c r="B807" s="2" t="s">
        <v>260</v>
      </c>
      <c r="C807" s="1" t="s">
        <v>1433</v>
      </c>
      <c r="D807" s="1" t="s">
        <v>2188</v>
      </c>
      <c r="E807" s="1" t="s">
        <v>27</v>
      </c>
      <c r="F807" s="1">
        <v>44188</v>
      </c>
      <c r="G807" s="14" t="s">
        <v>38</v>
      </c>
      <c r="H807" t="s">
        <v>2189</v>
      </c>
      <c r="I807" s="2" t="s">
        <v>2190</v>
      </c>
      <c r="J807" s="2">
        <v>0.006944444444444444</v>
      </c>
      <c r="K807" s="1">
        <v>0.017361111111111112</v>
      </c>
      <c r="L807" s="1">
        <v>0.024305555555555556</v>
      </c>
      <c r="M807" s="1" t="s">
        <v>22</v>
      </c>
      <c r="N807" s="1" t="s">
        <v>32</v>
      </c>
      <c r="O807" s="1" t="s">
        <v>483</v>
      </c>
      <c r="P807" s="1" t="s">
        <v>42</v>
      </c>
      <c r="Q807" s="1">
        <v>44188</v>
      </c>
      <c r="R807" s="14">
        <v>5</v>
      </c>
      <c r="S807" s="1" t="s">
        <v>22</v>
      </c>
      <c r="T807" s="1" t="s">
        <v>22</v>
      </c>
      <c r="U807" s="1" t="s">
        <v>22</v>
      </c>
    </row>
    <row r="808" spans="1:21" x14ac:dyDescent="0.25">
      <c r="A808" s="1" t="s">
        <v>2177</v>
      </c>
      <c r="B808" s="2" t="s">
        <v>1040</v>
      </c>
      <c r="C808" s="1" t="s">
        <v>951</v>
      </c>
      <c r="D808" s="1" t="s">
        <v>2191</v>
      </c>
      <c r="E808" s="1" t="s">
        <v>37</v>
      </c>
      <c r="F808" s="1">
        <v>44189</v>
      </c>
      <c r="G808" s="14" t="s">
        <v>38</v>
      </c>
      <c r="H808" t="s">
        <v>2192</v>
      </c>
      <c r="I808" s="2" t="s">
        <v>2193</v>
      </c>
      <c r="J808" s="2">
        <v>0.020833333333333332</v>
      </c>
      <c r="K808" s="1">
        <v>0.03125</v>
      </c>
      <c r="L808" s="1">
        <v>0.05208333333333333</v>
      </c>
      <c r="M808" s="1" t="s">
        <v>22</v>
      </c>
      <c r="N808" s="1" t="s">
        <v>53</v>
      </c>
      <c r="O808" s="1" t="s">
        <v>32</v>
      </c>
      <c r="P808" s="1" t="s">
        <v>42</v>
      </c>
      <c r="Q808" s="1">
        <v>44189</v>
      </c>
      <c r="R808" s="14">
        <v>5</v>
      </c>
      <c r="S808" s="1" t="s">
        <v>22</v>
      </c>
      <c r="T808" s="1" t="s">
        <v>22</v>
      </c>
      <c r="U808" s="1" t="s">
        <v>22</v>
      </c>
    </row>
    <row r="809" spans="1:21" x14ac:dyDescent="0.25">
      <c r="A809" s="1" t="s">
        <v>2177</v>
      </c>
      <c r="B809" s="2" t="s">
        <v>185</v>
      </c>
      <c r="C809" s="1" t="s">
        <v>186</v>
      </c>
      <c r="D809" s="1" t="s">
        <v>2194</v>
      </c>
      <c r="E809" s="1" t="s">
        <v>27</v>
      </c>
      <c r="F809" s="1">
        <v>44196</v>
      </c>
      <c r="G809" s="14" t="s">
        <v>255</v>
      </c>
      <c r="H809" t="s">
        <v>2195</v>
      </c>
      <c r="I809" s="2" t="s">
        <v>2196</v>
      </c>
      <c r="J809" s="2">
        <v>0.03819444444444444</v>
      </c>
      <c r="K809" s="1">
        <v>0.09375</v>
      </c>
      <c r="L809" s="1">
        <v>0.13194444444444445</v>
      </c>
      <c r="M809" s="1" t="s">
        <v>22</v>
      </c>
      <c r="N809" s="1" t="s">
        <v>32</v>
      </c>
      <c r="O809" s="1" t="s">
        <v>483</v>
      </c>
      <c r="P809" s="1" t="s">
        <v>488</v>
      </c>
      <c r="Q809" s="1">
        <v>44196</v>
      </c>
      <c r="R809" s="14">
        <v>5</v>
      </c>
      <c r="S809" s="1" t="s">
        <v>22</v>
      </c>
      <c r="T809" s="1" t="s">
        <v>22</v>
      </c>
      <c r="U809" s="1" t="s">
        <v>22</v>
      </c>
    </row>
    <row r="810" spans="1:21" x14ac:dyDescent="0.25">
      <c r="A810" s="1" t="s">
        <v>2197</v>
      </c>
      <c r="B810" s="2" t="s">
        <v>35</v>
      </c>
      <c r="C810" s="1" t="s">
        <v>25</v>
      </c>
      <c r="D810" s="1" t="s">
        <v>2198</v>
      </c>
      <c r="E810" s="1" t="s">
        <v>37</v>
      </c>
      <c r="F810" s="1">
        <v>44200</v>
      </c>
      <c r="G810" s="14" t="s">
        <v>38</v>
      </c>
      <c r="H810" t="s">
        <v>2199</v>
      </c>
      <c r="I810" s="2" t="s">
        <v>2200</v>
      </c>
      <c r="J810" s="2">
        <v>0.0798611111111111</v>
      </c>
      <c r="K810" s="1">
        <v>0.08680555555555557</v>
      </c>
      <c r="L810" s="1">
        <v>0.16666666666666669</v>
      </c>
      <c r="M810" s="1" t="s">
        <v>22</v>
      </c>
      <c r="N810" s="1" t="s">
        <v>53</v>
      </c>
      <c r="O810" s="1" t="s">
        <v>32</v>
      </c>
      <c r="P810" s="1" t="s">
        <v>42</v>
      </c>
      <c r="Q810" s="1">
        <v>44200</v>
      </c>
      <c r="R810" s="14">
        <v>3</v>
      </c>
      <c r="S810" s="1" t="s">
        <v>22</v>
      </c>
      <c r="T810" s="1" t="s">
        <v>22</v>
      </c>
      <c r="U810" s="1" t="s">
        <v>22</v>
      </c>
    </row>
    <row r="811" spans="1:21" x14ac:dyDescent="0.25">
      <c r="A811" s="1" t="s">
        <v>2197</v>
      </c>
      <c r="B811" s="2" t="s">
        <v>185</v>
      </c>
      <c r="C811" s="1" t="s">
        <v>186</v>
      </c>
      <c r="D811" s="1" t="s">
        <v>2194</v>
      </c>
      <c r="E811" s="1" t="s">
        <v>37</v>
      </c>
      <c r="F811" s="1">
        <v>44202</v>
      </c>
      <c r="G811" s="14" t="s">
        <v>38</v>
      </c>
      <c r="H811" t="s">
        <v>2201</v>
      </c>
      <c r="I811" s="2" t="s">
        <v>2202</v>
      </c>
      <c r="J811" s="2">
        <v>0.004166666666666667</v>
      </c>
      <c r="K811" s="1">
        <v>0.027777777777777776</v>
      </c>
      <c r="L811" s="1">
        <v>0.03194444444444444</v>
      </c>
      <c r="M811" s="1" t="s">
        <v>22</v>
      </c>
      <c r="N811" s="1" t="s">
        <v>32</v>
      </c>
      <c r="O811" s="1" t="s">
        <v>483</v>
      </c>
      <c r="P811" s="1" t="s">
        <v>488</v>
      </c>
      <c r="Q811" s="1">
        <v>44202</v>
      </c>
      <c r="R811" s="14">
        <v>5</v>
      </c>
      <c r="S811" s="1" t="s">
        <v>22</v>
      </c>
      <c r="T811" s="1" t="s">
        <v>22</v>
      </c>
      <c r="U811" s="1" t="s">
        <v>22</v>
      </c>
    </row>
    <row r="812" spans="1:21" x14ac:dyDescent="0.25">
      <c r="A812" s="1" t="s">
        <v>2197</v>
      </c>
      <c r="B812" s="2" t="s">
        <v>545</v>
      </c>
      <c r="C812" s="1" t="s">
        <v>963</v>
      </c>
      <c r="D812" s="1" t="s">
        <v>2203</v>
      </c>
      <c r="E812" s="1" t="s">
        <v>37</v>
      </c>
      <c r="F812" s="1">
        <v>44204</v>
      </c>
      <c r="G812" s="14" t="s">
        <v>28</v>
      </c>
      <c r="H812" t="s">
        <v>2204</v>
      </c>
      <c r="I812" s="2" t="s">
        <v>2205</v>
      </c>
      <c r="J812" s="2">
        <v>0.015277777777777777</v>
      </c>
      <c r="K812" s="1">
        <v>0.04513888888888889</v>
      </c>
      <c r="L812" s="1">
        <v>0.06041666666666667</v>
      </c>
      <c r="M812" s="1" t="s">
        <v>22</v>
      </c>
      <c r="N812" s="1" t="s">
        <v>32</v>
      </c>
      <c r="O812" s="1" t="s">
        <v>483</v>
      </c>
      <c r="P812" s="1" t="s">
        <v>484</v>
      </c>
      <c r="Q812" s="1">
        <v>44204</v>
      </c>
      <c r="R812" s="14">
        <v>5</v>
      </c>
      <c r="S812" s="1" t="s">
        <v>22</v>
      </c>
      <c r="T812" s="1" t="s">
        <v>22</v>
      </c>
      <c r="U812" s="1" t="s">
        <v>22</v>
      </c>
    </row>
    <row r="813" spans="1:21" x14ac:dyDescent="0.25">
      <c r="A813" s="1" t="s">
        <v>2197</v>
      </c>
      <c r="B813" s="2" t="s">
        <v>113</v>
      </c>
      <c r="C813" s="1" t="s">
        <v>25</v>
      </c>
      <c r="D813" s="1" t="s">
        <v>2206</v>
      </c>
      <c r="E813" s="1" t="s">
        <v>37</v>
      </c>
      <c r="F813" s="1">
        <v>44204</v>
      </c>
      <c r="G813" s="14" t="s">
        <v>38</v>
      </c>
      <c r="H813" t="s">
        <v>2207</v>
      </c>
      <c r="I813" s="2" t="s">
        <v>2208</v>
      </c>
      <c r="J813" s="2">
        <v>0.041666666666666664</v>
      </c>
      <c r="K813" s="1" t="s">
        <v>22</v>
      </c>
      <c r="L813" s="1">
        <v>0.041666666666666664</v>
      </c>
      <c r="M813" s="1" t="s">
        <v>22</v>
      </c>
      <c r="N813" s="1" t="s">
        <v>574</v>
      </c>
      <c r="O813" s="1" t="s">
        <v>22</v>
      </c>
      <c r="P813" s="1" t="s">
        <v>484</v>
      </c>
      <c r="Q813" s="1">
        <v>44204</v>
      </c>
      <c r="R813" s="14">
        <v>5</v>
      </c>
      <c r="S813" s="1" t="s">
        <v>22</v>
      </c>
      <c r="T813" s="1" t="s">
        <v>22</v>
      </c>
      <c r="U813" s="1" t="s">
        <v>22</v>
      </c>
    </row>
    <row r="814" spans="1:21" x14ac:dyDescent="0.25">
      <c r="A814" s="1" t="s">
        <v>2197</v>
      </c>
      <c r="B814" s="2" t="s">
        <v>1451</v>
      </c>
      <c r="C814" s="1" t="s">
        <v>287</v>
      </c>
      <c r="D814" s="1" t="s">
        <v>2209</v>
      </c>
      <c r="E814" s="1" t="s">
        <v>37</v>
      </c>
      <c r="F814" s="1">
        <v>44208</v>
      </c>
      <c r="G814" s="14" t="s">
        <v>1368</v>
      </c>
      <c r="H814" t="s">
        <v>2210</v>
      </c>
      <c r="I814" s="2" t="s">
        <v>2211</v>
      </c>
      <c r="J814" s="2">
        <v>0.004861111111111111</v>
      </c>
      <c r="K814" s="1">
        <v>0.027777777777777776</v>
      </c>
      <c r="L814" s="1">
        <v>0.032638888888888884</v>
      </c>
      <c r="M814" s="1" t="s">
        <v>22</v>
      </c>
      <c r="N814" s="1" t="s">
        <v>32</v>
      </c>
      <c r="O814" s="1" t="s">
        <v>483</v>
      </c>
      <c r="P814" s="1" t="s">
        <v>484</v>
      </c>
      <c r="Q814" s="1">
        <v>44208</v>
      </c>
      <c r="R814" s="14">
        <v>5</v>
      </c>
      <c r="S814" s="1" t="s">
        <v>22</v>
      </c>
      <c r="T814" s="1" t="s">
        <v>22</v>
      </c>
      <c r="U814" s="1" t="s">
        <v>22</v>
      </c>
    </row>
    <row r="815" spans="1:21" x14ac:dyDescent="0.25">
      <c r="A815" s="1" t="s">
        <v>2197</v>
      </c>
      <c r="B815" s="2" t="s">
        <v>525</v>
      </c>
      <c r="C815" s="1" t="s">
        <v>25</v>
      </c>
      <c r="D815" s="1" t="s">
        <v>2212</v>
      </c>
      <c r="E815" s="1" t="s">
        <v>37</v>
      </c>
      <c r="F815" s="1">
        <v>44211</v>
      </c>
      <c r="G815" s="14" t="s">
        <v>28</v>
      </c>
      <c r="H815" t="s">
        <v>2213</v>
      </c>
      <c r="I815" s="2" t="s">
        <v>2214</v>
      </c>
      <c r="J815" s="2">
        <v>0.01875</v>
      </c>
      <c r="K815" s="1">
        <v>0.05902777777777778</v>
      </c>
      <c r="L815" s="1">
        <v>0.07777777777777778</v>
      </c>
      <c r="M815" s="1" t="s">
        <v>22</v>
      </c>
      <c r="N815" s="1" t="s">
        <v>32</v>
      </c>
      <c r="O815" s="1" t="s">
        <v>483</v>
      </c>
      <c r="P815" s="1" t="s">
        <v>484</v>
      </c>
      <c r="Q815" s="1">
        <v>44211</v>
      </c>
      <c r="R815" s="14">
        <v>5</v>
      </c>
      <c r="S815" s="1" t="s">
        <v>22</v>
      </c>
      <c r="T815" s="1" t="s">
        <v>22</v>
      </c>
      <c r="U815" s="1" t="s">
        <v>22</v>
      </c>
    </row>
    <row r="816" spans="1:21" x14ac:dyDescent="0.25">
      <c r="A816" s="1" t="s">
        <v>2197</v>
      </c>
      <c r="B816" s="2" t="s">
        <v>616</v>
      </c>
      <c r="C816" s="1" t="s">
        <v>617</v>
      </c>
      <c r="D816" s="1" t="s">
        <v>2172</v>
      </c>
      <c r="E816" s="1" t="s">
        <v>27</v>
      </c>
      <c r="F816" s="1">
        <v>44211</v>
      </c>
      <c r="G816" s="14" t="s">
        <v>38</v>
      </c>
      <c r="H816" t="s">
        <v>2215</v>
      </c>
      <c r="I816" s="2" t="s">
        <v>2216</v>
      </c>
      <c r="J816" s="2">
        <v>0.10416666666666667</v>
      </c>
      <c r="K816" s="1">
        <v>0.03680555555555556</v>
      </c>
      <c r="L816" s="1">
        <v>0.14097222222222222</v>
      </c>
      <c r="M816" s="1" t="s">
        <v>22</v>
      </c>
      <c r="N816" s="1" t="s">
        <v>31</v>
      </c>
      <c r="O816" s="1" t="s">
        <v>32</v>
      </c>
      <c r="P816" s="1" t="s">
        <v>484</v>
      </c>
      <c r="Q816" s="1">
        <v>44211</v>
      </c>
      <c r="R816" s="14">
        <v>5</v>
      </c>
      <c r="S816" s="1" t="s">
        <v>22</v>
      </c>
      <c r="T816" s="1" t="s">
        <v>22</v>
      </c>
      <c r="U816" s="1" t="s">
        <v>22</v>
      </c>
    </row>
    <row r="817" spans="1:21" x14ac:dyDescent="0.25">
      <c r="A817" s="1" t="s">
        <v>2197</v>
      </c>
      <c r="B817" s="2" t="s">
        <v>219</v>
      </c>
      <c r="C817" s="1" t="s">
        <v>186</v>
      </c>
      <c r="D817" s="1" t="s">
        <v>2217</v>
      </c>
      <c r="E817" s="1" t="s">
        <v>27</v>
      </c>
      <c r="F817" s="1">
        <v>44213</v>
      </c>
      <c r="G817" s="14" t="s">
        <v>50</v>
      </c>
      <c r="H817" t="s">
        <v>2218</v>
      </c>
      <c r="I817" s="2" t="s">
        <v>2219</v>
      </c>
      <c r="J817" s="2">
        <v>0.020833333333333332</v>
      </c>
      <c r="K817" s="1">
        <v>0.02361111111111111</v>
      </c>
      <c r="L817" s="1">
        <v>0.04444444444444444</v>
      </c>
      <c r="M817" s="1" t="s">
        <v>22</v>
      </c>
      <c r="N817" s="1" t="s">
        <v>574</v>
      </c>
      <c r="O817" s="1" t="s">
        <v>32</v>
      </c>
      <c r="P817" s="1" t="s">
        <v>488</v>
      </c>
      <c r="Q817" s="1">
        <v>44213</v>
      </c>
      <c r="R817" s="14">
        <v>5</v>
      </c>
      <c r="S817" s="1" t="s">
        <v>22</v>
      </c>
      <c r="T817" s="1" t="s">
        <v>22</v>
      </c>
      <c r="U817" s="1" t="s">
        <v>22</v>
      </c>
    </row>
    <row r="818" spans="1:21" x14ac:dyDescent="0.25">
      <c r="A818" s="1" t="s">
        <v>2197</v>
      </c>
      <c r="B818" s="2" t="s">
        <v>99</v>
      </c>
      <c r="C818" s="1" t="s">
        <v>25</v>
      </c>
      <c r="D818" s="1" t="s">
        <v>2220</v>
      </c>
      <c r="E818" s="1" t="s">
        <v>27</v>
      </c>
      <c r="F818" s="1">
        <v>44216</v>
      </c>
      <c r="G818" s="14" t="s">
        <v>28</v>
      </c>
      <c r="H818" t="s">
        <v>2221</v>
      </c>
      <c r="I818" s="2" t="s">
        <v>2222</v>
      </c>
      <c r="J818" s="2">
        <v>0.027777777777777776</v>
      </c>
      <c r="K818" s="1">
        <v>0.05555555555555555</v>
      </c>
      <c r="L818" s="1">
        <v>0.08333333333333333</v>
      </c>
      <c r="M818" s="1" t="s">
        <v>22</v>
      </c>
      <c r="N818" s="1" t="s">
        <v>32</v>
      </c>
      <c r="O818" s="1" t="s">
        <v>483</v>
      </c>
      <c r="P818" s="1" t="s">
        <v>484</v>
      </c>
      <c r="Q818" s="1">
        <v>44216</v>
      </c>
      <c r="R818" s="14">
        <v>5</v>
      </c>
      <c r="S818" s="1" t="s">
        <v>22</v>
      </c>
      <c r="T818" s="1" t="s">
        <v>22</v>
      </c>
      <c r="U818" s="1" t="s">
        <v>22</v>
      </c>
    </row>
    <row r="819" spans="1:21" x14ac:dyDescent="0.25">
      <c r="A819" s="1" t="s">
        <v>2197</v>
      </c>
      <c r="B819" s="2" t="s">
        <v>1635</v>
      </c>
      <c r="C819" s="1" t="s">
        <v>186</v>
      </c>
      <c r="D819" s="1" t="s">
        <v>2223</v>
      </c>
      <c r="E819" s="1" t="s">
        <v>27</v>
      </c>
      <c r="F819" s="1">
        <v>44216</v>
      </c>
      <c r="G819" s="14" t="s">
        <v>28</v>
      </c>
      <c r="H819" t="s">
        <v>2224</v>
      </c>
      <c r="I819" s="2" t="s">
        <v>2224</v>
      </c>
      <c r="J819" s="2">
        <v>0.041666666666666664</v>
      </c>
      <c r="K819" s="1">
        <v>0.0625</v>
      </c>
      <c r="L819" s="1">
        <v>0.10416666666666666</v>
      </c>
      <c r="M819" s="1" t="s">
        <v>22</v>
      </c>
      <c r="N819" s="1" t="s">
        <v>574</v>
      </c>
      <c r="O819" s="1" t="s">
        <v>379</v>
      </c>
      <c r="P819" s="1" t="s">
        <v>488</v>
      </c>
      <c r="Q819" s="1">
        <v>44216</v>
      </c>
      <c r="R819" s="14">
        <v>5</v>
      </c>
      <c r="S819" s="1" t="s">
        <v>22</v>
      </c>
      <c r="T819" s="1" t="s">
        <v>22</v>
      </c>
      <c r="U819" s="1" t="s">
        <v>22</v>
      </c>
    </row>
    <row r="820" spans="1:21" x14ac:dyDescent="0.25">
      <c r="A820" s="1" t="s">
        <v>2197</v>
      </c>
      <c r="B820" s="2" t="s">
        <v>35</v>
      </c>
      <c r="C820" s="1" t="s">
        <v>25</v>
      </c>
      <c r="D820" s="1" t="s">
        <v>2225</v>
      </c>
      <c r="E820" s="1" t="s">
        <v>27</v>
      </c>
      <c r="F820" s="1">
        <v>44216</v>
      </c>
      <c r="G820" s="14" t="s">
        <v>28</v>
      </c>
      <c r="H820" t="s">
        <v>2226</v>
      </c>
      <c r="I820" s="2" t="s">
        <v>2227</v>
      </c>
      <c r="J820" s="2">
        <v>0.024305555555555556</v>
      </c>
      <c r="K820" s="1">
        <v>0.0625</v>
      </c>
      <c r="L820" s="1">
        <v>0.08680555555555555</v>
      </c>
      <c r="M820" s="1" t="s">
        <v>22</v>
      </c>
      <c r="N820" s="1" t="s">
        <v>32</v>
      </c>
      <c r="O820" s="1" t="s">
        <v>483</v>
      </c>
      <c r="P820" s="1" t="s">
        <v>42</v>
      </c>
      <c r="Q820" s="1">
        <v>44216</v>
      </c>
      <c r="R820" s="14">
        <v>5</v>
      </c>
      <c r="S820" s="1" t="s">
        <v>22</v>
      </c>
      <c r="T820" s="1" t="s">
        <v>22</v>
      </c>
      <c r="U820" s="1" t="s">
        <v>22</v>
      </c>
    </row>
    <row r="821" spans="1:21" x14ac:dyDescent="0.25">
      <c r="A821" s="1" t="s">
        <v>2197</v>
      </c>
      <c r="B821" s="2" t="s">
        <v>43</v>
      </c>
      <c r="C821" s="1" t="s">
        <v>44</v>
      </c>
      <c r="D821" s="1" t="s">
        <v>2228</v>
      </c>
      <c r="E821" s="1" t="s">
        <v>27</v>
      </c>
      <c r="F821" s="1">
        <v>44218</v>
      </c>
      <c r="G821" s="14" t="s">
        <v>50</v>
      </c>
      <c r="H821" t="s">
        <v>2229</v>
      </c>
      <c r="I821" s="2" t="s">
        <v>2230</v>
      </c>
      <c r="J821" s="2">
        <v>0.006944444444444444</v>
      </c>
      <c r="K821" s="1">
        <v>0.010416666666666666</v>
      </c>
      <c r="L821" s="1">
        <v>0.017361111111111112</v>
      </c>
      <c r="M821" s="1" t="s">
        <v>22</v>
      </c>
      <c r="N821" s="1" t="s">
        <v>54</v>
      </c>
      <c r="O821" s="1" t="s">
        <v>32</v>
      </c>
      <c r="P821" s="1" t="s">
        <v>488</v>
      </c>
      <c r="Q821" s="1">
        <v>44218</v>
      </c>
      <c r="R821" s="14">
        <v>5</v>
      </c>
      <c r="S821" s="1" t="s">
        <v>22</v>
      </c>
      <c r="T821" s="1" t="s">
        <v>22</v>
      </c>
      <c r="U821" s="1" t="s">
        <v>22</v>
      </c>
    </row>
    <row r="822" spans="1:21" x14ac:dyDescent="0.25">
      <c r="A822" s="1" t="s">
        <v>2197</v>
      </c>
      <c r="B822" s="2" t="s">
        <v>35</v>
      </c>
      <c r="C822" s="1" t="s">
        <v>25</v>
      </c>
      <c r="D822" s="1" t="s">
        <v>2231</v>
      </c>
      <c r="E822" s="1" t="s">
        <v>27</v>
      </c>
      <c r="F822" s="1">
        <v>44219</v>
      </c>
      <c r="G822" s="14" t="s">
        <v>50</v>
      </c>
      <c r="H822" t="s">
        <v>2232</v>
      </c>
      <c r="I822" s="2" t="s">
        <v>2233</v>
      </c>
      <c r="J822" s="2">
        <v>0.041666666666666664</v>
      </c>
      <c r="K822" s="1">
        <v>0.05833333333333333</v>
      </c>
      <c r="L822" s="1">
        <v>0.09999999999999999</v>
      </c>
      <c r="M822" s="1" t="s">
        <v>22</v>
      </c>
      <c r="N822" s="1" t="s">
        <v>53</v>
      </c>
      <c r="O822" s="1" t="s">
        <v>32</v>
      </c>
      <c r="P822" s="1" t="s">
        <v>42</v>
      </c>
      <c r="Q822" s="1">
        <v>44219</v>
      </c>
      <c r="R822" s="14">
        <v>5</v>
      </c>
      <c r="S822" s="1" t="s">
        <v>22</v>
      </c>
      <c r="T822" s="1" t="s">
        <v>22</v>
      </c>
      <c r="U822" s="1" t="s">
        <v>22</v>
      </c>
    </row>
    <row r="823" spans="1:21" x14ac:dyDescent="0.25">
      <c r="A823" s="1" t="s">
        <v>2197</v>
      </c>
      <c r="B823" s="2" t="s">
        <v>170</v>
      </c>
      <c r="C823" s="1" t="s">
        <v>25</v>
      </c>
      <c r="D823" s="1" t="s">
        <v>2234</v>
      </c>
      <c r="E823" s="1" t="s">
        <v>27</v>
      </c>
      <c r="F823" s="1">
        <v>44222</v>
      </c>
      <c r="G823" s="14" t="s">
        <v>50</v>
      </c>
      <c r="H823" t="s">
        <v>2235</v>
      </c>
      <c r="I823" s="2" t="s">
        <v>2235</v>
      </c>
      <c r="J823" s="2">
        <v>0.017361111111111112</v>
      </c>
      <c r="K823" s="1">
        <v>0.017361111111111112</v>
      </c>
      <c r="L823" s="1">
        <v>0.034722222222222224</v>
      </c>
      <c r="M823" s="1" t="s">
        <v>22</v>
      </c>
      <c r="N823" s="1" t="s">
        <v>574</v>
      </c>
      <c r="O823" s="1" t="s">
        <v>483</v>
      </c>
      <c r="P823" s="1" t="s">
        <v>488</v>
      </c>
      <c r="Q823" s="1">
        <v>44222</v>
      </c>
      <c r="R823" s="14">
        <v>5</v>
      </c>
      <c r="S823" s="1" t="s">
        <v>22</v>
      </c>
      <c r="T823" s="1" t="s">
        <v>22</v>
      </c>
      <c r="U823" s="1" t="s">
        <v>22</v>
      </c>
    </row>
    <row r="824" spans="1:21" x14ac:dyDescent="0.25">
      <c r="A824" s="1" t="s">
        <v>2197</v>
      </c>
      <c r="B824" s="2" t="s">
        <v>35</v>
      </c>
      <c r="C824" s="1" t="s">
        <v>25</v>
      </c>
      <c r="D824" s="1" t="s">
        <v>2236</v>
      </c>
      <c r="E824" s="1" t="s">
        <v>27</v>
      </c>
      <c r="F824" s="1">
        <v>44223</v>
      </c>
      <c r="G824" s="14" t="s">
        <v>74</v>
      </c>
      <c r="H824" t="s">
        <v>2237</v>
      </c>
      <c r="I824" s="2" t="s">
        <v>2238</v>
      </c>
      <c r="J824" s="2">
        <v>0.04097222222222222</v>
      </c>
      <c r="K824" s="1">
        <v>0.05902777777777778</v>
      </c>
      <c r="L824" s="1">
        <v>0.1</v>
      </c>
      <c r="M824" s="1" t="s">
        <v>22</v>
      </c>
      <c r="N824" s="1" t="s">
        <v>32</v>
      </c>
      <c r="O824" s="1" t="s">
        <v>483</v>
      </c>
      <c r="P824" s="1" t="s">
        <v>42</v>
      </c>
      <c r="Q824" s="1">
        <v>44223</v>
      </c>
      <c r="R824" s="14">
        <v>5</v>
      </c>
      <c r="S824" s="1" t="s">
        <v>22</v>
      </c>
      <c r="T824" s="1" t="s">
        <v>22</v>
      </c>
      <c r="U824" s="1" t="s">
        <v>22</v>
      </c>
    </row>
    <row r="825" spans="1:21" x14ac:dyDescent="0.25">
      <c r="A825" s="1" t="s">
        <v>2197</v>
      </c>
      <c r="B825" s="2" t="s">
        <v>99</v>
      </c>
      <c r="C825" s="1" t="s">
        <v>25</v>
      </c>
      <c r="D825" s="1" t="s">
        <v>2239</v>
      </c>
      <c r="E825" s="1" t="s">
        <v>27</v>
      </c>
      <c r="F825" s="1">
        <v>44224</v>
      </c>
      <c r="G825" s="14" t="s">
        <v>28</v>
      </c>
      <c r="H825" t="s">
        <v>2240</v>
      </c>
      <c r="I825" s="2" t="s">
        <v>2241</v>
      </c>
      <c r="J825" s="2">
        <v>0.02013888888888889</v>
      </c>
      <c r="K825" s="1">
        <v>0.0625</v>
      </c>
      <c r="L825" s="1">
        <v>0.08263888888888889</v>
      </c>
      <c r="M825" s="1" t="s">
        <v>22</v>
      </c>
      <c r="N825" s="1" t="s">
        <v>32</v>
      </c>
      <c r="O825" s="1" t="s">
        <v>483</v>
      </c>
      <c r="P825" s="1" t="s">
        <v>484</v>
      </c>
      <c r="Q825" s="1">
        <v>44224</v>
      </c>
      <c r="R825" s="14">
        <v>5</v>
      </c>
      <c r="S825" s="1" t="s">
        <v>22</v>
      </c>
      <c r="T825" s="1" t="s">
        <v>22</v>
      </c>
      <c r="U825" s="1" t="s">
        <v>22</v>
      </c>
    </row>
    <row r="826" spans="1:21" x14ac:dyDescent="0.25">
      <c r="A826" s="1" t="s">
        <v>2242</v>
      </c>
      <c r="B826" s="2" t="s">
        <v>616</v>
      </c>
      <c r="C826" s="1" t="s">
        <v>617</v>
      </c>
      <c r="D826" s="1" t="s">
        <v>2243</v>
      </c>
      <c r="E826" s="1" t="s">
        <v>27</v>
      </c>
      <c r="F826" s="1">
        <v>44228</v>
      </c>
      <c r="G826" s="14" t="s">
        <v>1073</v>
      </c>
      <c r="H826" t="s">
        <v>2244</v>
      </c>
      <c r="I826" s="2" t="s">
        <v>2245</v>
      </c>
      <c r="J826" s="2">
        <v>0.02013888888888889</v>
      </c>
      <c r="K826" s="1" t="s">
        <v>22</v>
      </c>
      <c r="L826" s="1">
        <v>0.02013888888888889</v>
      </c>
      <c r="M826" s="1" t="s">
        <v>22</v>
      </c>
      <c r="N826" s="1" t="s">
        <v>53</v>
      </c>
      <c r="O826" s="1" t="s">
        <v>22</v>
      </c>
      <c r="P826" s="1" t="s">
        <v>484</v>
      </c>
      <c r="Q826" s="1">
        <v>44228</v>
      </c>
      <c r="R826" s="14">
        <v>5</v>
      </c>
      <c r="S826" s="1" t="s">
        <v>22</v>
      </c>
      <c r="T826" s="1" t="s">
        <v>22</v>
      </c>
      <c r="U826" s="1" t="s">
        <v>22</v>
      </c>
    </row>
    <row r="827" spans="1:21" x14ac:dyDescent="0.25">
      <c r="A827" s="1" t="s">
        <v>2242</v>
      </c>
      <c r="B827" s="2" t="s">
        <v>616</v>
      </c>
      <c r="C827" s="1" t="s">
        <v>617</v>
      </c>
      <c r="D827" s="1" t="s">
        <v>2246</v>
      </c>
      <c r="E827" s="1" t="s">
        <v>27</v>
      </c>
      <c r="F827" s="1">
        <v>44228</v>
      </c>
      <c r="G827" s="14" t="s">
        <v>50</v>
      </c>
      <c r="H827" t="s">
        <v>2247</v>
      </c>
      <c r="I827" s="2" t="s">
        <v>2248</v>
      </c>
      <c r="J827" s="2">
        <v>0.0020833333333333333</v>
      </c>
      <c r="K827" s="1">
        <v>0.010416666666666666</v>
      </c>
      <c r="L827" s="1">
        <v>0.012499999999999999</v>
      </c>
      <c r="M827" s="1" t="s">
        <v>22</v>
      </c>
      <c r="N827" s="1" t="s">
        <v>32</v>
      </c>
      <c r="O827" s="1" t="s">
        <v>483</v>
      </c>
      <c r="P827" s="1" t="s">
        <v>484</v>
      </c>
      <c r="Q827" s="1">
        <v>44228</v>
      </c>
      <c r="R827" s="14">
        <v>5</v>
      </c>
      <c r="S827" s="1" t="s">
        <v>22</v>
      </c>
      <c r="T827" s="1" t="s">
        <v>22</v>
      </c>
      <c r="U827" s="1" t="s">
        <v>22</v>
      </c>
    </row>
    <row r="828" spans="1:21" x14ac:dyDescent="0.25">
      <c r="A828" s="1" t="s">
        <v>2242</v>
      </c>
      <c r="B828" s="2" t="s">
        <v>616</v>
      </c>
      <c r="C828" s="1" t="s">
        <v>617</v>
      </c>
      <c r="D828" s="1" t="s">
        <v>2249</v>
      </c>
      <c r="E828" s="1" t="s">
        <v>37</v>
      </c>
      <c r="F828" s="1">
        <v>44230</v>
      </c>
      <c r="G828" s="14" t="s">
        <v>953</v>
      </c>
      <c r="H828" t="s">
        <v>2250</v>
      </c>
      <c r="I828" s="2" t="s">
        <v>2251</v>
      </c>
      <c r="J828" s="2">
        <v>0.10416666666666667</v>
      </c>
      <c r="K828" s="1">
        <v>0.06944444444444443</v>
      </c>
      <c r="L828" s="1">
        <v>0.1736111111111111</v>
      </c>
      <c r="M828" s="1" t="s">
        <v>22</v>
      </c>
      <c r="N828" s="1" t="s">
        <v>31</v>
      </c>
      <c r="O828" s="1" t="s">
        <v>483</v>
      </c>
      <c r="P828" s="1" t="s">
        <v>484</v>
      </c>
      <c r="Q828" s="1">
        <v>44230</v>
      </c>
      <c r="R828" s="14">
        <v>5</v>
      </c>
      <c r="S828" s="1" t="s">
        <v>22</v>
      </c>
      <c r="T828" s="1" t="s">
        <v>22</v>
      </c>
      <c r="U828" s="1" t="s">
        <v>22</v>
      </c>
    </row>
    <row r="829" spans="1:21" x14ac:dyDescent="0.25">
      <c r="A829" s="1" t="s">
        <v>2242</v>
      </c>
      <c r="B829" s="2" t="s">
        <v>1603</v>
      </c>
      <c r="C829" s="1" t="s">
        <v>1659</v>
      </c>
      <c r="D829" s="1" t="s">
        <v>2252</v>
      </c>
      <c r="E829" s="1" t="s">
        <v>37</v>
      </c>
      <c r="F829" s="1">
        <v>44231</v>
      </c>
      <c r="G829" s="14" t="s">
        <v>670</v>
      </c>
      <c r="H829" t="s">
        <v>2253</v>
      </c>
      <c r="I829" s="2" t="s">
        <v>2254</v>
      </c>
      <c r="J829" s="2">
        <v>0.0625</v>
      </c>
      <c r="K829" s="1">
        <v>0.027777777777777776</v>
      </c>
      <c r="L829" s="1">
        <v>0.09027777777777778</v>
      </c>
      <c r="M829" s="1" t="s">
        <v>22</v>
      </c>
      <c r="N829" s="1" t="s">
        <v>574</v>
      </c>
      <c r="O829" s="1" t="s">
        <v>483</v>
      </c>
      <c r="P829" s="1" t="s">
        <v>488</v>
      </c>
      <c r="Q829" s="1">
        <v>44231</v>
      </c>
      <c r="R829" s="14">
        <v>5</v>
      </c>
      <c r="S829" s="1" t="s">
        <v>22</v>
      </c>
      <c r="T829" s="1" t="s">
        <v>22</v>
      </c>
      <c r="U829" s="1" t="s">
        <v>22</v>
      </c>
    </row>
    <row r="830" spans="1:21" x14ac:dyDescent="0.25">
      <c r="A830" s="1" t="s">
        <v>2242</v>
      </c>
      <c r="B830" s="2" t="s">
        <v>525</v>
      </c>
      <c r="C830" s="1" t="s">
        <v>25</v>
      </c>
      <c r="D830" s="1" t="s">
        <v>2255</v>
      </c>
      <c r="E830" s="1" t="s">
        <v>27</v>
      </c>
      <c r="F830" s="1">
        <v>44233</v>
      </c>
      <c r="G830" s="14" t="s">
        <v>28</v>
      </c>
      <c r="H830" t="s">
        <v>2256</v>
      </c>
      <c r="I830" s="2" t="s">
        <v>2257</v>
      </c>
      <c r="J830" s="2">
        <v>0.015277777777777777</v>
      </c>
      <c r="K830" s="1">
        <v>0.06944444444444443</v>
      </c>
      <c r="L830" s="1">
        <v>0.08472222222222221</v>
      </c>
      <c r="M830" s="1" t="s">
        <v>22</v>
      </c>
      <c r="N830" s="1" t="s">
        <v>32</v>
      </c>
      <c r="O830" s="1" t="s">
        <v>483</v>
      </c>
      <c r="P830" s="1" t="s">
        <v>484</v>
      </c>
      <c r="Q830" s="1">
        <v>44233</v>
      </c>
      <c r="R830" s="14">
        <v>5</v>
      </c>
      <c r="S830" s="1" t="s">
        <v>22</v>
      </c>
      <c r="T830" s="1" t="s">
        <v>22</v>
      </c>
      <c r="U830" s="1" t="s">
        <v>22</v>
      </c>
    </row>
    <row r="831" spans="1:21" x14ac:dyDescent="0.25">
      <c r="A831" s="1" t="s">
        <v>2242</v>
      </c>
      <c r="B831" s="2" t="s">
        <v>43</v>
      </c>
      <c r="C831" s="1" t="s">
        <v>44</v>
      </c>
      <c r="D831" s="1" t="s">
        <v>2258</v>
      </c>
      <c r="E831" s="1" t="s">
        <v>27</v>
      </c>
      <c r="F831" s="1">
        <v>44237</v>
      </c>
      <c r="G831" s="14" t="s">
        <v>28</v>
      </c>
      <c r="H831" t="s">
        <v>2259</v>
      </c>
      <c r="I831" s="2" t="s">
        <v>2260</v>
      </c>
      <c r="J831" s="2">
        <v>0.08333333333333333</v>
      </c>
      <c r="K831" s="1">
        <v>0.0798611111111111</v>
      </c>
      <c r="L831" s="1">
        <v>0.16319444444444442</v>
      </c>
      <c r="M831" s="1" t="s">
        <v>22</v>
      </c>
      <c r="N831" s="1" t="s">
        <v>31</v>
      </c>
      <c r="O831" s="1" t="s">
        <v>483</v>
      </c>
      <c r="P831" s="1" t="s">
        <v>488</v>
      </c>
      <c r="Q831" s="1" t="s">
        <v>22</v>
      </c>
      <c r="R831" s="1">
        <v>5</v>
      </c>
      <c r="S831" s="1" t="s">
        <v>22</v>
      </c>
      <c r="T831" s="1" t="s">
        <v>22</v>
      </c>
      <c r="U831" s="1" t="s">
        <v>22</v>
      </c>
    </row>
    <row r="832" spans="1:21" x14ac:dyDescent="0.25">
      <c r="A832" s="1" t="s">
        <v>2242</v>
      </c>
      <c r="B832" s="2" t="s">
        <v>529</v>
      </c>
      <c r="C832" s="1" t="s">
        <v>1924</v>
      </c>
      <c r="D832" s="1" t="s">
        <v>2261</v>
      </c>
      <c r="E832" s="1" t="s">
        <v>27</v>
      </c>
      <c r="F832" s="1">
        <v>44246</v>
      </c>
      <c r="G832" s="14" t="s">
        <v>28</v>
      </c>
      <c r="H832" t="s">
        <v>2262</v>
      </c>
      <c r="I832" s="2" t="s">
        <v>2263</v>
      </c>
      <c r="J832" s="2">
        <v>0.004166666666666667</v>
      </c>
      <c r="K832" s="1">
        <v>0.027777777777777776</v>
      </c>
      <c r="L832" s="1">
        <v>0.03194444444444444</v>
      </c>
      <c r="M832" s="1" t="s">
        <v>22</v>
      </c>
      <c r="N832" s="1" t="s">
        <v>32</v>
      </c>
      <c r="O832" s="1" t="s">
        <v>483</v>
      </c>
      <c r="P832" s="1" t="s">
        <v>488</v>
      </c>
      <c r="Q832" s="1">
        <v>44246</v>
      </c>
      <c r="R832" s="14">
        <v>5</v>
      </c>
      <c r="S832" s="1" t="s">
        <v>22</v>
      </c>
      <c r="T832" s="1" t="s">
        <v>22</v>
      </c>
      <c r="U832" s="1" t="s">
        <v>22</v>
      </c>
    </row>
    <row r="833" spans="1:21" x14ac:dyDescent="0.25">
      <c r="A833" s="1" t="s">
        <v>2242</v>
      </c>
      <c r="B833" s="2" t="s">
        <v>118</v>
      </c>
      <c r="C833" s="1" t="s">
        <v>25</v>
      </c>
      <c r="D833" s="1" t="s">
        <v>2264</v>
      </c>
      <c r="E833" s="1" t="s">
        <v>27</v>
      </c>
      <c r="F833" s="1">
        <v>44246</v>
      </c>
      <c r="G833" s="14" t="s">
        <v>38</v>
      </c>
      <c r="H833" t="s">
        <v>2265</v>
      </c>
      <c r="I833" s="2" t="s">
        <v>2266</v>
      </c>
      <c r="J833" s="2">
        <v>0.4166666666666667</v>
      </c>
      <c r="K833" s="1" t="s">
        <v>22</v>
      </c>
      <c r="L833" s="1">
        <v>0.4166666666666667</v>
      </c>
      <c r="M833" s="1" t="s">
        <v>22</v>
      </c>
      <c r="N833" s="1" t="s">
        <v>31</v>
      </c>
      <c r="O833" s="1" t="s">
        <v>483</v>
      </c>
      <c r="P833" s="1" t="s">
        <v>484</v>
      </c>
      <c r="Q833" s="1">
        <v>44246</v>
      </c>
      <c r="R833" s="14">
        <v>5</v>
      </c>
      <c r="S833" s="1" t="s">
        <v>22</v>
      </c>
      <c r="T833" s="1" t="s">
        <v>22</v>
      </c>
      <c r="U833" s="1" t="s">
        <v>22</v>
      </c>
    </row>
    <row r="834" spans="1:21" x14ac:dyDescent="0.25">
      <c r="A834" s="1" t="s">
        <v>2242</v>
      </c>
      <c r="B834" s="2" t="s">
        <v>616</v>
      </c>
      <c r="C834" s="1" t="s">
        <v>617</v>
      </c>
      <c r="D834" s="1" t="s">
        <v>2267</v>
      </c>
      <c r="E834" s="1" t="s">
        <v>37</v>
      </c>
      <c r="F834" s="1">
        <v>44246</v>
      </c>
      <c r="G834" s="14" t="s">
        <v>28</v>
      </c>
      <c r="H834" t="s">
        <v>2268</v>
      </c>
      <c r="I834" s="2" t="s">
        <v>2269</v>
      </c>
      <c r="J834" s="2">
        <v>0.013888888888888888</v>
      </c>
      <c r="K834" s="1">
        <v>0.017361111111111112</v>
      </c>
      <c r="L834" s="1">
        <v>0.03125</v>
      </c>
      <c r="M834" s="1" t="s">
        <v>22</v>
      </c>
      <c r="N834" s="1" t="s">
        <v>31</v>
      </c>
      <c r="O834" s="1" t="s">
        <v>483</v>
      </c>
      <c r="P834" s="1" t="s">
        <v>484</v>
      </c>
      <c r="Q834" s="1">
        <v>44246</v>
      </c>
      <c r="R834" s="14">
        <v>5</v>
      </c>
      <c r="S834" s="1" t="s">
        <v>22</v>
      </c>
      <c r="T834" s="1" t="s">
        <v>22</v>
      </c>
      <c r="U834" s="1" t="s">
        <v>22</v>
      </c>
    </row>
    <row r="835" spans="1:21" x14ac:dyDescent="0.25">
      <c r="A835" s="1" t="s">
        <v>2242</v>
      </c>
      <c r="B835" s="2" t="s">
        <v>1038</v>
      </c>
      <c r="C835" s="1" t="s">
        <v>1659</v>
      </c>
      <c r="D835" s="1" t="s">
        <v>2270</v>
      </c>
      <c r="E835" s="1" t="s">
        <v>37</v>
      </c>
      <c r="F835" s="1">
        <v>44250</v>
      </c>
      <c r="G835" s="14" t="s">
        <v>2088</v>
      </c>
      <c r="H835" t="s">
        <v>2271</v>
      </c>
      <c r="I835" s="2" t="s">
        <v>2272</v>
      </c>
      <c r="J835" s="2">
        <v>0.027777777777777776</v>
      </c>
      <c r="K835" s="1" t="s">
        <v>22</v>
      </c>
      <c r="L835" s="1">
        <v>0.027777777777777776</v>
      </c>
      <c r="M835" s="1" t="s">
        <v>22</v>
      </c>
      <c r="N835" s="1" t="s">
        <v>53</v>
      </c>
      <c r="O835" s="1" t="s">
        <v>22</v>
      </c>
      <c r="P835" s="1" t="s">
        <v>488</v>
      </c>
      <c r="Q835" s="1">
        <v>44250</v>
      </c>
      <c r="R835" s="14">
        <v>5</v>
      </c>
      <c r="S835" s="1" t="s">
        <v>22</v>
      </c>
      <c r="T835" s="1" t="s">
        <v>22</v>
      </c>
      <c r="U835" s="1" t="s">
        <v>22</v>
      </c>
    </row>
    <row r="836" spans="1:21" x14ac:dyDescent="0.25">
      <c r="A836" s="1" t="s">
        <v>2242</v>
      </c>
      <c r="B836" s="2" t="s">
        <v>43</v>
      </c>
      <c r="C836" s="1" t="s">
        <v>44</v>
      </c>
      <c r="D836" s="1" t="s">
        <v>2273</v>
      </c>
      <c r="E836" s="1" t="s">
        <v>27</v>
      </c>
      <c r="F836" s="1">
        <v>44250</v>
      </c>
      <c r="G836" s="14" t="s">
        <v>28</v>
      </c>
      <c r="H836" t="s">
        <v>2274</v>
      </c>
      <c r="I836" s="2" t="s">
        <v>2275</v>
      </c>
      <c r="J836" s="2">
        <v>0.06597222222222222</v>
      </c>
      <c r="K836" s="1">
        <v>0.1076388888888889</v>
      </c>
      <c r="L836" s="1">
        <v>0.1736111111111111</v>
      </c>
      <c r="M836" s="1" t="s">
        <v>22</v>
      </c>
      <c r="N836" s="1" t="s">
        <v>32</v>
      </c>
      <c r="O836" s="1" t="s">
        <v>483</v>
      </c>
      <c r="P836" s="1" t="s">
        <v>488</v>
      </c>
      <c r="Q836" s="1">
        <v>44250</v>
      </c>
      <c r="R836" s="14">
        <v>5</v>
      </c>
      <c r="S836" s="1" t="s">
        <v>22</v>
      </c>
      <c r="T836" s="1" t="s">
        <v>22</v>
      </c>
      <c r="U836" s="1" t="s">
        <v>22</v>
      </c>
    </row>
    <row r="837" spans="1:21" x14ac:dyDescent="0.25">
      <c r="A837" s="1" t="s">
        <v>2242</v>
      </c>
      <c r="B837" s="2" t="s">
        <v>199</v>
      </c>
      <c r="C837" s="1" t="s">
        <v>541</v>
      </c>
      <c r="D837" s="1" t="s">
        <v>2276</v>
      </c>
      <c r="E837" s="1" t="s">
        <v>27</v>
      </c>
      <c r="F837" s="1">
        <v>44251</v>
      </c>
      <c r="G837" s="14" t="s">
        <v>74</v>
      </c>
      <c r="H837" t="s">
        <v>2277</v>
      </c>
      <c r="I837" s="2" t="s">
        <v>2278</v>
      </c>
      <c r="J837" s="2">
        <v>0.005555555555555556</v>
      </c>
      <c r="K837" s="1">
        <v>0.027777777777777776</v>
      </c>
      <c r="L837" s="1">
        <v>0.03333333333333333</v>
      </c>
      <c r="M837" s="1" t="s">
        <v>22</v>
      </c>
      <c r="N837" s="1" t="s">
        <v>32</v>
      </c>
      <c r="O837" s="1" t="s">
        <v>483</v>
      </c>
      <c r="P837" s="1" t="s">
        <v>488</v>
      </c>
      <c r="Q837" s="1">
        <v>44251</v>
      </c>
      <c r="R837" s="14">
        <v>5</v>
      </c>
      <c r="S837" s="1" t="s">
        <v>22</v>
      </c>
      <c r="T837" s="1" t="s">
        <v>22</v>
      </c>
      <c r="U837" s="1" t="s">
        <v>22</v>
      </c>
    </row>
    <row r="838" spans="1:21" x14ac:dyDescent="0.25">
      <c r="A838" s="1" t="s">
        <v>2242</v>
      </c>
      <c r="B838" s="2" t="s">
        <v>1635</v>
      </c>
      <c r="C838" s="1" t="s">
        <v>186</v>
      </c>
      <c r="D838" s="1" t="s">
        <v>2279</v>
      </c>
      <c r="E838" s="1" t="s">
        <v>37</v>
      </c>
      <c r="F838" s="1">
        <v>44251</v>
      </c>
      <c r="G838" s="14" t="s">
        <v>28</v>
      </c>
      <c r="H838" t="s">
        <v>2280</v>
      </c>
      <c r="I838" s="2" t="s">
        <v>2281</v>
      </c>
      <c r="J838" s="2">
        <v>0.027777777777777776</v>
      </c>
      <c r="K838" s="1">
        <v>0.0625</v>
      </c>
      <c r="L838" s="1">
        <v>0.09027777777777778</v>
      </c>
      <c r="M838" s="1" t="s">
        <v>22</v>
      </c>
      <c r="N838" s="1" t="s">
        <v>31</v>
      </c>
      <c r="O838" s="1" t="s">
        <v>483</v>
      </c>
      <c r="P838" s="1" t="s">
        <v>488</v>
      </c>
      <c r="Q838" s="1">
        <v>44251</v>
      </c>
      <c r="R838" s="14">
        <v>5</v>
      </c>
      <c r="S838" s="1" t="s">
        <v>22</v>
      </c>
      <c r="T838" s="1" t="s">
        <v>22</v>
      </c>
      <c r="U838" s="1" t="s">
        <v>22</v>
      </c>
    </row>
    <row r="839" spans="1:21" x14ac:dyDescent="0.25">
      <c r="A839" s="1" t="s">
        <v>2242</v>
      </c>
      <c r="B839" s="2" t="s">
        <v>199</v>
      </c>
      <c r="C839" s="1" t="s">
        <v>541</v>
      </c>
      <c r="D839" s="1" t="s">
        <v>2276</v>
      </c>
      <c r="E839" s="1" t="s">
        <v>37</v>
      </c>
      <c r="F839" s="1">
        <v>44251</v>
      </c>
      <c r="G839" s="14" t="s">
        <v>74</v>
      </c>
      <c r="H839" t="s">
        <v>2282</v>
      </c>
      <c r="I839" s="2" t="s">
        <v>2283</v>
      </c>
      <c r="J839" s="2">
        <v>0.027777777777777776</v>
      </c>
      <c r="K839" s="1">
        <v>0.036111111111111115</v>
      </c>
      <c r="L839" s="1">
        <v>0.06388888888888888</v>
      </c>
      <c r="M839" s="1" t="s">
        <v>22</v>
      </c>
      <c r="N839" s="1" t="s">
        <v>53</v>
      </c>
      <c r="O839" s="1" t="s">
        <v>483</v>
      </c>
      <c r="P839" s="1" t="s">
        <v>488</v>
      </c>
      <c r="Q839" s="1">
        <v>44251</v>
      </c>
      <c r="R839" s="14">
        <v>5</v>
      </c>
      <c r="S839" s="1" t="s">
        <v>22</v>
      </c>
      <c r="T839" s="1" t="s">
        <v>22</v>
      </c>
      <c r="U839" s="1" t="s">
        <v>22</v>
      </c>
    </row>
    <row r="840" spans="1:21" x14ac:dyDescent="0.25">
      <c r="A840" s="1" t="s">
        <v>2242</v>
      </c>
      <c r="B840" s="2" t="s">
        <v>616</v>
      </c>
      <c r="C840" s="1" t="s">
        <v>617</v>
      </c>
      <c r="D840" s="1" t="s">
        <v>2284</v>
      </c>
      <c r="E840" s="1" t="s">
        <v>37</v>
      </c>
      <c r="F840" s="1">
        <v>44251</v>
      </c>
      <c r="G840" s="14" t="s">
        <v>28</v>
      </c>
      <c r="H840" t="s">
        <v>2285</v>
      </c>
      <c r="I840" s="2" t="s">
        <v>2286</v>
      </c>
      <c r="J840" s="2">
        <v>0.020833333333333332</v>
      </c>
      <c r="K840" s="1">
        <v>0.03125</v>
      </c>
      <c r="L840" s="1">
        <v>0.05208333333333333</v>
      </c>
      <c r="M840" s="1" t="s">
        <v>22</v>
      </c>
      <c r="N840" s="1" t="s">
        <v>53</v>
      </c>
      <c r="O840" s="1" t="s">
        <v>483</v>
      </c>
      <c r="P840" s="1" t="s">
        <v>484</v>
      </c>
      <c r="Q840" s="1">
        <v>44251</v>
      </c>
      <c r="R840" s="14">
        <v>5</v>
      </c>
      <c r="S840" s="1" t="s">
        <v>22</v>
      </c>
      <c r="T840" s="1" t="s">
        <v>22</v>
      </c>
      <c r="U840" s="1" t="s">
        <v>22</v>
      </c>
    </row>
    <row r="841" spans="1:21" x14ac:dyDescent="0.25">
      <c r="A841" s="1" t="s">
        <v>2287</v>
      </c>
      <c r="B841" s="2" t="s">
        <v>525</v>
      </c>
      <c r="C841" s="1" t="s">
        <v>25</v>
      </c>
      <c r="D841" s="1" t="s">
        <v>2288</v>
      </c>
      <c r="E841" s="1" t="s">
        <v>27</v>
      </c>
      <c r="F841" s="1">
        <v>44259</v>
      </c>
      <c r="G841" s="14" t="s">
        <v>28</v>
      </c>
      <c r="H841" t="s">
        <v>2289</v>
      </c>
      <c r="I841" s="2" t="s">
        <v>2290</v>
      </c>
      <c r="J841" s="2">
        <v>0.015277777777777777</v>
      </c>
      <c r="K841" s="1">
        <v>0.06944444444444443</v>
      </c>
      <c r="L841" s="1">
        <v>0.08472222222222221</v>
      </c>
      <c r="M841" s="1" t="s">
        <v>22</v>
      </c>
      <c r="N841" s="1" t="s">
        <v>32</v>
      </c>
      <c r="O841" s="1" t="s">
        <v>483</v>
      </c>
      <c r="P841" s="1" t="s">
        <v>484</v>
      </c>
      <c r="Q841" s="1">
        <v>44259</v>
      </c>
      <c r="R841" s="14">
        <v>5</v>
      </c>
      <c r="S841" s="1" t="s">
        <v>22</v>
      </c>
      <c r="T841" s="1" t="s">
        <v>22</v>
      </c>
      <c r="U841" s="1" t="s">
        <v>22</v>
      </c>
    </row>
    <row r="842" spans="1:21" x14ac:dyDescent="0.25">
      <c r="A842" s="1" t="s">
        <v>2287</v>
      </c>
      <c r="B842" s="2" t="s">
        <v>43</v>
      </c>
      <c r="C842" s="1" t="s">
        <v>44</v>
      </c>
      <c r="D842" s="1" t="s">
        <v>2291</v>
      </c>
      <c r="E842" s="1" t="s">
        <v>27</v>
      </c>
      <c r="F842" s="1">
        <v>44259</v>
      </c>
      <c r="G842" s="14" t="s">
        <v>255</v>
      </c>
      <c r="H842" t="s">
        <v>2292</v>
      </c>
      <c r="I842" s="2" t="s">
        <v>2293</v>
      </c>
      <c r="J842" s="2">
        <v>0.020833333333333332</v>
      </c>
      <c r="K842" s="1">
        <v>0.027777777777777776</v>
      </c>
      <c r="L842" s="1">
        <v>0.048611111111111105</v>
      </c>
      <c r="M842" s="1" t="s">
        <v>22</v>
      </c>
      <c r="N842" s="1" t="s">
        <v>574</v>
      </c>
      <c r="O842" s="1" t="s">
        <v>483</v>
      </c>
      <c r="P842" s="1" t="s">
        <v>488</v>
      </c>
      <c r="Q842" s="1">
        <v>44258</v>
      </c>
      <c r="R842" s="14">
        <v>5</v>
      </c>
      <c r="S842" s="1" t="s">
        <v>22</v>
      </c>
      <c r="T842" s="1" t="s">
        <v>22</v>
      </c>
      <c r="U842" s="1" t="s">
        <v>22</v>
      </c>
    </row>
    <row r="843" spans="1:21" x14ac:dyDescent="0.25">
      <c r="A843" s="1" t="s">
        <v>2287</v>
      </c>
      <c r="B843" s="2" t="s">
        <v>796</v>
      </c>
      <c r="C843" s="1" t="s">
        <v>186</v>
      </c>
      <c r="D843" s="1" t="s">
        <v>2294</v>
      </c>
      <c r="E843" s="1" t="s">
        <v>27</v>
      </c>
      <c r="F843" s="1">
        <v>44259</v>
      </c>
      <c r="G843" s="14" t="s">
        <v>670</v>
      </c>
      <c r="H843" t="s">
        <v>2295</v>
      </c>
      <c r="I843" s="2" t="s">
        <v>2296</v>
      </c>
      <c r="J843" s="2">
        <v>0.10416666666666667</v>
      </c>
      <c r="K843" s="1">
        <v>0.041666666666666664</v>
      </c>
      <c r="L843" s="1">
        <v>0.14583333333333334</v>
      </c>
      <c r="M843" s="1" t="s">
        <v>22</v>
      </c>
      <c r="N843" s="1" t="s">
        <v>574</v>
      </c>
      <c r="O843" s="1" t="s">
        <v>31</v>
      </c>
      <c r="P843" s="1" t="s">
        <v>484</v>
      </c>
      <c r="Q843" s="1">
        <v>44259</v>
      </c>
      <c r="R843" s="14">
        <v>5</v>
      </c>
      <c r="S843" s="1" t="s">
        <v>22</v>
      </c>
      <c r="T843" s="1" t="s">
        <v>22</v>
      </c>
      <c r="U843" s="1" t="s">
        <v>22</v>
      </c>
    </row>
    <row r="844" spans="1:21" x14ac:dyDescent="0.25">
      <c r="A844" s="1" t="s">
        <v>2287</v>
      </c>
      <c r="B844" s="2" t="s">
        <v>35</v>
      </c>
      <c r="C844" s="1" t="s">
        <v>25</v>
      </c>
      <c r="D844" s="1" t="s">
        <v>2297</v>
      </c>
      <c r="E844" s="1" t="s">
        <v>27</v>
      </c>
      <c r="F844" s="1">
        <v>44259</v>
      </c>
      <c r="G844" s="14" t="s">
        <v>28</v>
      </c>
      <c r="H844" t="s">
        <v>2298</v>
      </c>
      <c r="I844" s="2" t="s">
        <v>2299</v>
      </c>
      <c r="J844" s="2">
        <v>0.16666666666666666</v>
      </c>
      <c r="K844" s="1">
        <v>0.10416666666666667</v>
      </c>
      <c r="L844" s="1">
        <v>0.2708333333333333</v>
      </c>
      <c r="M844" s="1" t="s">
        <v>22</v>
      </c>
      <c r="N844" s="1" t="s">
        <v>53</v>
      </c>
      <c r="O844" s="1" t="s">
        <v>32</v>
      </c>
      <c r="P844" s="1" t="s">
        <v>42</v>
      </c>
      <c r="Q844" s="1">
        <v>44260</v>
      </c>
      <c r="R844" s="14">
        <v>5</v>
      </c>
      <c r="S844" s="1" t="s">
        <v>22</v>
      </c>
      <c r="T844" s="1" t="s">
        <v>22</v>
      </c>
      <c r="U844" s="1" t="s">
        <v>22</v>
      </c>
    </row>
    <row r="845" spans="1:21" x14ac:dyDescent="0.25">
      <c r="A845" s="1" t="s">
        <v>2287</v>
      </c>
      <c r="B845" s="2" t="s">
        <v>118</v>
      </c>
      <c r="C845" s="1" t="s">
        <v>25</v>
      </c>
      <c r="D845" s="1" t="s">
        <v>2300</v>
      </c>
      <c r="E845" s="1" t="s">
        <v>37</v>
      </c>
      <c r="F845" s="1">
        <v>44264</v>
      </c>
      <c r="G845" s="14" t="s">
        <v>96</v>
      </c>
      <c r="H845" t="s">
        <v>2301</v>
      </c>
      <c r="I845" s="2" t="s">
        <v>2302</v>
      </c>
      <c r="J845" s="2">
        <v>0.03125</v>
      </c>
      <c r="K845" s="1">
        <v>0.08680555555555557</v>
      </c>
      <c r="L845" s="1">
        <v>0.11805555555555557</v>
      </c>
      <c r="M845" s="1" t="s">
        <v>22</v>
      </c>
      <c r="N845" s="1" t="s">
        <v>31</v>
      </c>
      <c r="O845" s="1" t="s">
        <v>483</v>
      </c>
      <c r="P845" s="1" t="s">
        <v>484</v>
      </c>
      <c r="Q845" s="1">
        <v>44264</v>
      </c>
      <c r="R845" s="14">
        <v>5</v>
      </c>
      <c r="S845" s="1" t="s">
        <v>22</v>
      </c>
      <c r="T845" s="1" t="s">
        <v>22</v>
      </c>
      <c r="U845" s="1" t="s">
        <v>22</v>
      </c>
    </row>
    <row r="846" spans="1:21" x14ac:dyDescent="0.25">
      <c r="A846" s="1" t="s">
        <v>2287</v>
      </c>
      <c r="B846" s="2" t="s">
        <v>35</v>
      </c>
      <c r="C846" s="1" t="s">
        <v>25</v>
      </c>
      <c r="D846" s="1" t="s">
        <v>2303</v>
      </c>
      <c r="E846" s="1" t="s">
        <v>27</v>
      </c>
      <c r="F846" s="1">
        <v>44265</v>
      </c>
      <c r="G846" s="14" t="s">
        <v>255</v>
      </c>
      <c r="H846" t="s">
        <v>2304</v>
      </c>
      <c r="I846" s="2" t="s">
        <v>2305</v>
      </c>
      <c r="J846" s="2">
        <v>0.041666666666666664</v>
      </c>
      <c r="K846" s="1">
        <v>0.10416666666666667</v>
      </c>
      <c r="L846" s="1">
        <v>0.14583333333333334</v>
      </c>
      <c r="M846" s="1" t="s">
        <v>22</v>
      </c>
      <c r="N846" s="1" t="s">
        <v>54</v>
      </c>
      <c r="O846" s="1" t="s">
        <v>379</v>
      </c>
      <c r="P846" s="1" t="s">
        <v>42</v>
      </c>
      <c r="Q846" s="1">
        <v>44266</v>
      </c>
      <c r="R846" s="14">
        <v>5</v>
      </c>
      <c r="S846" s="1" t="s">
        <v>22</v>
      </c>
      <c r="T846" s="1" t="s">
        <v>22</v>
      </c>
      <c r="U846" s="1" t="s">
        <v>22</v>
      </c>
    </row>
    <row r="847" spans="1:21" x14ac:dyDescent="0.25">
      <c r="A847" s="1" t="s">
        <v>2287</v>
      </c>
      <c r="B847" s="2" t="s">
        <v>2306</v>
      </c>
      <c r="C847" s="1" t="s">
        <v>25</v>
      </c>
      <c r="D847" s="1" t="s">
        <v>2307</v>
      </c>
      <c r="E847" s="1" t="s">
        <v>27</v>
      </c>
      <c r="F847" s="1">
        <v>44270</v>
      </c>
      <c r="G847" s="14" t="s">
        <v>74</v>
      </c>
      <c r="H847" t="s">
        <v>2308</v>
      </c>
      <c r="I847" s="2" t="s">
        <v>2309</v>
      </c>
      <c r="J847" s="2">
        <v>0.013888888888888888</v>
      </c>
      <c r="K847" s="1">
        <v>0.024305555555555556</v>
      </c>
      <c r="L847" s="1">
        <v>0.03819444444444445</v>
      </c>
      <c r="M847" s="1" t="s">
        <v>22</v>
      </c>
      <c r="N847" s="1" t="s">
        <v>31</v>
      </c>
      <c r="O847" s="1" t="s">
        <v>483</v>
      </c>
      <c r="P847" s="1" t="s">
        <v>488</v>
      </c>
      <c r="Q847" s="1">
        <v>44270</v>
      </c>
      <c r="R847" s="14">
        <v>5</v>
      </c>
      <c r="S847" s="1" t="s">
        <v>22</v>
      </c>
      <c r="T847" s="1" t="s">
        <v>22</v>
      </c>
      <c r="U847" s="1" t="s">
        <v>22</v>
      </c>
    </row>
    <row r="848" spans="1:21" x14ac:dyDescent="0.25">
      <c r="A848" s="1" t="s">
        <v>2287</v>
      </c>
      <c r="B848" s="2" t="s">
        <v>43</v>
      </c>
      <c r="C848" s="1" t="s">
        <v>44</v>
      </c>
      <c r="D848" s="1" t="s">
        <v>2291</v>
      </c>
      <c r="E848" s="1" t="s">
        <v>27</v>
      </c>
      <c r="F848" s="1">
        <v>44271</v>
      </c>
      <c r="G848" s="14" t="s">
        <v>255</v>
      </c>
      <c r="H848" t="s">
        <v>2310</v>
      </c>
      <c r="I848" s="2" t="s">
        <v>2311</v>
      </c>
      <c r="J848" s="2">
        <v>0.013888888888888888</v>
      </c>
      <c r="K848" s="1">
        <v>0.027777777777777776</v>
      </c>
      <c r="L848" s="1">
        <v>0.041666666666666664</v>
      </c>
      <c r="M848" s="1" t="s">
        <v>22</v>
      </c>
      <c r="N848" s="1" t="s">
        <v>31</v>
      </c>
      <c r="O848" s="1" t="s">
        <v>483</v>
      </c>
      <c r="P848" s="1" t="s">
        <v>488</v>
      </c>
      <c r="Q848" s="1">
        <v>44271</v>
      </c>
      <c r="R848" s="14">
        <v>5</v>
      </c>
      <c r="S848" s="1" t="s">
        <v>22</v>
      </c>
      <c r="T848" s="1" t="s">
        <v>22</v>
      </c>
      <c r="U848" s="1" t="s">
        <v>22</v>
      </c>
    </row>
    <row r="849" spans="1:21" x14ac:dyDescent="0.25">
      <c r="A849" s="1" t="s">
        <v>2287</v>
      </c>
      <c r="B849" s="2" t="s">
        <v>2306</v>
      </c>
      <c r="C849" s="1" t="s">
        <v>25</v>
      </c>
      <c r="D849" s="1" t="s">
        <v>2312</v>
      </c>
      <c r="E849" s="1" t="s">
        <v>27</v>
      </c>
      <c r="F849" s="1">
        <v>44272</v>
      </c>
      <c r="G849" s="14" t="s">
        <v>28</v>
      </c>
      <c r="H849" t="s">
        <v>2313</v>
      </c>
      <c r="I849" s="2" t="s">
        <v>2314</v>
      </c>
      <c r="J849" s="2">
        <v>0.09722222222222222</v>
      </c>
      <c r="K849" s="1">
        <v>0.10069444444444443</v>
      </c>
      <c r="L849" s="1">
        <v>0.19791666666666666</v>
      </c>
      <c r="M849" s="1" t="s">
        <v>22</v>
      </c>
      <c r="N849" s="1" t="s">
        <v>31</v>
      </c>
      <c r="O849" s="1" t="s">
        <v>483</v>
      </c>
      <c r="P849" s="1" t="s">
        <v>488</v>
      </c>
      <c r="Q849" s="1">
        <v>44272</v>
      </c>
      <c r="R849" s="14">
        <v>5</v>
      </c>
      <c r="S849" s="1" t="s">
        <v>22</v>
      </c>
      <c r="T849" s="1" t="s">
        <v>22</v>
      </c>
      <c r="U849" s="1" t="s">
        <v>22</v>
      </c>
    </row>
    <row r="850" spans="1:21" x14ac:dyDescent="0.25">
      <c r="A850" s="1" t="s">
        <v>2287</v>
      </c>
      <c r="B850" s="2" t="s">
        <v>2315</v>
      </c>
      <c r="C850" s="1" t="s">
        <v>25</v>
      </c>
      <c r="D850" s="1" t="s">
        <v>2316</v>
      </c>
      <c r="E850" s="1" t="s">
        <v>37</v>
      </c>
      <c r="F850" s="1">
        <v>44274</v>
      </c>
      <c r="G850" s="14" t="s">
        <v>28</v>
      </c>
      <c r="H850" t="s">
        <v>2317</v>
      </c>
      <c r="I850" s="2" t="s">
        <v>2318</v>
      </c>
      <c r="J850" s="2">
        <v>0.125</v>
      </c>
      <c r="K850" s="1">
        <v>0.1076388888888889</v>
      </c>
      <c r="L850" s="1">
        <v>0.2326388888888889</v>
      </c>
      <c r="M850" s="1" t="s">
        <v>22</v>
      </c>
      <c r="N850" s="1" t="s">
        <v>31</v>
      </c>
      <c r="O850" s="1" t="s">
        <v>483</v>
      </c>
      <c r="P850" s="1" t="s">
        <v>488</v>
      </c>
      <c r="Q850" s="1">
        <v>44274</v>
      </c>
      <c r="R850" s="14">
        <v>5</v>
      </c>
      <c r="S850" s="1" t="s">
        <v>22</v>
      </c>
      <c r="T850" s="1" t="s">
        <v>22</v>
      </c>
      <c r="U850" s="1" t="s">
        <v>22</v>
      </c>
    </row>
    <row r="851" spans="1:21" x14ac:dyDescent="0.25">
      <c r="A851" s="1" t="s">
        <v>2287</v>
      </c>
      <c r="B851" s="2" t="s">
        <v>2315</v>
      </c>
      <c r="C851" s="1" t="s">
        <v>25</v>
      </c>
      <c r="D851" s="1" t="s">
        <v>2319</v>
      </c>
      <c r="E851" s="1" t="s">
        <v>37</v>
      </c>
      <c r="F851" s="1">
        <v>44278</v>
      </c>
      <c r="G851" s="14" t="s">
        <v>28</v>
      </c>
      <c r="H851" t="s">
        <v>2320</v>
      </c>
      <c r="I851" s="2" t="s">
        <v>2321</v>
      </c>
      <c r="J851" s="2">
        <v>0.020833333333333332</v>
      </c>
      <c r="K851" s="1">
        <v>0.06944444444444443</v>
      </c>
      <c r="L851" s="1">
        <v>0.09027777777777776</v>
      </c>
      <c r="M851" s="1" t="s">
        <v>22</v>
      </c>
      <c r="N851" s="1" t="s">
        <v>31</v>
      </c>
      <c r="O851" s="1" t="s">
        <v>483</v>
      </c>
      <c r="P851" s="1" t="s">
        <v>488</v>
      </c>
      <c r="Q851" s="1">
        <v>44278</v>
      </c>
      <c r="R851" s="14">
        <v>5</v>
      </c>
      <c r="S851" s="1" t="s">
        <v>22</v>
      </c>
      <c r="T851" s="1" t="s">
        <v>22</v>
      </c>
      <c r="U851" s="1" t="s">
        <v>22</v>
      </c>
    </row>
    <row r="852" spans="1:21" x14ac:dyDescent="0.25">
      <c r="A852" s="1" t="s">
        <v>2287</v>
      </c>
      <c r="B852" s="2" t="s">
        <v>1451</v>
      </c>
      <c r="C852" s="1" t="s">
        <v>287</v>
      </c>
      <c r="D852" s="1" t="s">
        <v>2322</v>
      </c>
      <c r="E852" s="1" t="s">
        <v>27</v>
      </c>
      <c r="F852" s="1">
        <v>44279</v>
      </c>
      <c r="G852" s="14" t="s">
        <v>133</v>
      </c>
      <c r="H852" t="s">
        <v>2323</v>
      </c>
      <c r="I852" s="2" t="s">
        <v>2324</v>
      </c>
      <c r="J852" s="2">
        <v>0.017361111111111112</v>
      </c>
      <c r="K852" s="1">
        <v>0.04513888888888889</v>
      </c>
      <c r="L852" s="1">
        <v>0.0625</v>
      </c>
      <c r="M852" s="1" t="s">
        <v>22</v>
      </c>
      <c r="N852" s="1" t="s">
        <v>32</v>
      </c>
      <c r="O852" s="1" t="s">
        <v>483</v>
      </c>
      <c r="P852" s="1" t="s">
        <v>484</v>
      </c>
      <c r="Q852" s="1">
        <v>44279</v>
      </c>
      <c r="R852" s="14">
        <v>5</v>
      </c>
      <c r="S852" s="1" t="s">
        <v>22</v>
      </c>
      <c r="T852" s="1" t="s">
        <v>22</v>
      </c>
      <c r="U852" s="1" t="s">
        <v>22</v>
      </c>
    </row>
    <row r="853" spans="1:21" x14ac:dyDescent="0.25">
      <c r="A853" s="1" t="s">
        <v>2287</v>
      </c>
      <c r="B853" s="2" t="s">
        <v>286</v>
      </c>
      <c r="C853" s="1" t="s">
        <v>974</v>
      </c>
      <c r="D853" s="1" t="s">
        <v>2325</v>
      </c>
      <c r="E853" s="1" t="s">
        <v>27</v>
      </c>
      <c r="F853" s="1">
        <v>44279</v>
      </c>
      <c r="G853" s="14" t="s">
        <v>28</v>
      </c>
      <c r="H853" t="s">
        <v>2326</v>
      </c>
      <c r="I853" s="2" t="s">
        <v>2327</v>
      </c>
      <c r="J853" s="2">
        <v>0.041666666666666664</v>
      </c>
      <c r="K853" s="1">
        <v>0.06597222222222222</v>
      </c>
      <c r="L853" s="1">
        <v>0.1076388888888889</v>
      </c>
      <c r="M853" s="1" t="s">
        <v>22</v>
      </c>
      <c r="N853" s="1" t="s">
        <v>574</v>
      </c>
      <c r="O853" s="1" t="s">
        <v>483</v>
      </c>
      <c r="P853" s="1" t="s">
        <v>484</v>
      </c>
      <c r="Q853" s="1">
        <v>44279</v>
      </c>
      <c r="R853" s="14">
        <v>5</v>
      </c>
      <c r="S853" s="1" t="s">
        <v>22</v>
      </c>
      <c r="T853" s="1" t="s">
        <v>22</v>
      </c>
      <c r="U853" s="1" t="s">
        <v>22</v>
      </c>
    </row>
    <row r="854" spans="1:21" x14ac:dyDescent="0.25">
      <c r="A854" s="1" t="s">
        <v>2287</v>
      </c>
      <c r="B854" s="2" t="s">
        <v>1038</v>
      </c>
      <c r="C854" s="1" t="s">
        <v>1659</v>
      </c>
      <c r="D854" s="1" t="s">
        <v>2328</v>
      </c>
      <c r="E854" s="1" t="s">
        <v>27</v>
      </c>
      <c r="F854" s="1">
        <v>44285</v>
      </c>
      <c r="G854" s="14" t="s">
        <v>28</v>
      </c>
      <c r="H854" t="s">
        <v>2329</v>
      </c>
      <c r="I854" s="2" t="s">
        <v>2330</v>
      </c>
      <c r="J854" s="2">
        <v>0.020833333333333332</v>
      </c>
      <c r="K854" s="1">
        <v>0.04861111111111111</v>
      </c>
      <c r="L854" s="1">
        <v>0.06944444444444445</v>
      </c>
      <c r="M854" s="1" t="s">
        <v>22</v>
      </c>
      <c r="N854" s="1" t="s">
        <v>574</v>
      </c>
      <c r="O854" s="1" t="s">
        <v>483</v>
      </c>
      <c r="P854" s="1" t="s">
        <v>488</v>
      </c>
      <c r="Q854" s="1">
        <v>44285</v>
      </c>
      <c r="R854" s="14">
        <v>5</v>
      </c>
      <c r="S854" s="1" t="s">
        <v>22</v>
      </c>
      <c r="T854" s="1" t="s">
        <v>22</v>
      </c>
      <c r="U854" s="1" t="s">
        <v>22</v>
      </c>
    </row>
    <row r="855" spans="1:21" x14ac:dyDescent="0.25">
      <c r="A855" s="1" t="s">
        <v>2287</v>
      </c>
      <c r="B855" s="2" t="s">
        <v>43</v>
      </c>
      <c r="C855" s="1" t="s">
        <v>44</v>
      </c>
      <c r="D855" s="1" t="s">
        <v>2331</v>
      </c>
      <c r="E855" s="1" t="s">
        <v>27</v>
      </c>
      <c r="F855" s="1">
        <v>44285</v>
      </c>
      <c r="G855" s="14" t="s">
        <v>133</v>
      </c>
      <c r="H855" t="s">
        <v>2332</v>
      </c>
      <c r="I855" s="2" t="s">
        <v>2333</v>
      </c>
      <c r="J855" s="2">
        <v>0.011111111111111112</v>
      </c>
      <c r="K855" s="1">
        <v>0.04513888888888889</v>
      </c>
      <c r="L855" s="1">
        <v>0.05625</v>
      </c>
      <c r="M855" s="1" t="s">
        <v>22</v>
      </c>
      <c r="N855" s="1" t="s">
        <v>32</v>
      </c>
      <c r="O855" s="1" t="s">
        <v>483</v>
      </c>
      <c r="P855" s="1" t="s">
        <v>488</v>
      </c>
      <c r="Q855" s="1">
        <v>44285</v>
      </c>
      <c r="R855" s="14">
        <v>5</v>
      </c>
      <c r="S855" s="1" t="s">
        <v>22</v>
      </c>
      <c r="T855" s="1" t="s">
        <v>22</v>
      </c>
      <c r="U855" s="1" t="s">
        <v>22</v>
      </c>
    </row>
    <row r="856" spans="1:21" x14ac:dyDescent="0.25">
      <c r="A856" s="1" t="s">
        <v>2334</v>
      </c>
      <c r="B856" s="2" t="s">
        <v>43</v>
      </c>
      <c r="C856" s="1" t="s">
        <v>44</v>
      </c>
      <c r="D856" s="1" t="s">
        <v>2335</v>
      </c>
      <c r="E856" s="1" t="s">
        <v>37</v>
      </c>
      <c r="F856" s="1">
        <v>44291</v>
      </c>
      <c r="G856" s="14" t="s">
        <v>28</v>
      </c>
      <c r="H856" t="s">
        <v>2336</v>
      </c>
      <c r="I856" s="2" t="s">
        <v>2337</v>
      </c>
      <c r="J856" s="2">
        <v>0.03125</v>
      </c>
      <c r="K856" s="1">
        <v>0.05902777777777778</v>
      </c>
      <c r="L856" s="1">
        <v>0.09027777777777779</v>
      </c>
      <c r="M856" s="1" t="s">
        <v>22</v>
      </c>
      <c r="N856" s="1" t="s">
        <v>32</v>
      </c>
      <c r="O856" s="1" t="s">
        <v>483</v>
      </c>
      <c r="P856" s="1" t="s">
        <v>488</v>
      </c>
      <c r="Q856" s="1">
        <v>44291</v>
      </c>
      <c r="R856" s="14">
        <v>5</v>
      </c>
      <c r="S856" s="1" t="s">
        <v>22</v>
      </c>
      <c r="T856" s="1" t="s">
        <v>22</v>
      </c>
      <c r="U856" s="1" t="s">
        <v>22</v>
      </c>
    </row>
    <row r="857" spans="1:21" x14ac:dyDescent="0.25">
      <c r="A857" s="1" t="s">
        <v>2334</v>
      </c>
      <c r="B857" s="2" t="s">
        <v>43</v>
      </c>
      <c r="C857" s="1" t="s">
        <v>44</v>
      </c>
      <c r="D857" s="1" t="s">
        <v>2338</v>
      </c>
      <c r="E857" s="1" t="s">
        <v>37</v>
      </c>
      <c r="F857" s="1">
        <v>44295</v>
      </c>
      <c r="G857" s="14" t="s">
        <v>38</v>
      </c>
      <c r="H857" t="s">
        <v>2339</v>
      </c>
      <c r="I857" s="2" t="s">
        <v>2340</v>
      </c>
      <c r="J857" s="2">
        <v>0.027777777777777776</v>
      </c>
      <c r="K857" s="1">
        <v>0.08680555555555557</v>
      </c>
      <c r="L857" s="1">
        <v>0.11458333333333334</v>
      </c>
      <c r="M857" s="1" t="s">
        <v>22</v>
      </c>
      <c r="N857" s="1" t="s">
        <v>31</v>
      </c>
      <c r="O857" s="1" t="s">
        <v>32</v>
      </c>
      <c r="P857" s="1" t="s">
        <v>488</v>
      </c>
      <c r="Q857" s="1">
        <v>44295</v>
      </c>
      <c r="R857" s="14">
        <v>5</v>
      </c>
      <c r="S857" s="1" t="s">
        <v>22</v>
      </c>
      <c r="T857" s="1" t="s">
        <v>22</v>
      </c>
      <c r="U857" s="1" t="s">
        <v>22</v>
      </c>
    </row>
    <row r="858" spans="1:21" x14ac:dyDescent="0.25">
      <c r="A858" s="1" t="s">
        <v>2334</v>
      </c>
      <c r="B858" s="2" t="s">
        <v>2315</v>
      </c>
      <c r="C858" s="1" t="s">
        <v>25</v>
      </c>
      <c r="D858" s="1" t="s">
        <v>2341</v>
      </c>
      <c r="E858" s="1" t="s">
        <v>37</v>
      </c>
      <c r="F858" s="1">
        <v>44301</v>
      </c>
      <c r="G858" s="14" t="s">
        <v>255</v>
      </c>
      <c r="H858" t="s">
        <v>2342</v>
      </c>
      <c r="I858" s="2" t="s">
        <v>2343</v>
      </c>
      <c r="J858" s="2">
        <v>0.034722222222222224</v>
      </c>
      <c r="K858" s="1">
        <v>0.05902777777777778</v>
      </c>
      <c r="L858" s="1">
        <v>0.09375</v>
      </c>
      <c r="M858" s="1" t="s">
        <v>22</v>
      </c>
      <c r="N858" s="1" t="s">
        <v>31</v>
      </c>
      <c r="O858" s="1" t="s">
        <v>483</v>
      </c>
      <c r="P858" s="1" t="s">
        <v>488</v>
      </c>
      <c r="Q858" s="1">
        <v>44301</v>
      </c>
      <c r="R858" s="14">
        <v>5</v>
      </c>
      <c r="S858" s="1" t="s">
        <v>22</v>
      </c>
      <c r="T858" s="1" t="s">
        <v>22</v>
      </c>
      <c r="U858" s="1" t="s">
        <v>22</v>
      </c>
    </row>
    <row r="859" spans="1:21" x14ac:dyDescent="0.25">
      <c r="A859" s="1" t="s">
        <v>2334</v>
      </c>
      <c r="B859" s="2" t="s">
        <v>1635</v>
      </c>
      <c r="C859" s="1" t="s">
        <v>186</v>
      </c>
      <c r="D859" s="1" t="s">
        <v>2344</v>
      </c>
      <c r="E859" s="1" t="s">
        <v>27</v>
      </c>
      <c r="F859" s="1">
        <v>44313</v>
      </c>
      <c r="G859" s="14" t="s">
        <v>2088</v>
      </c>
      <c r="H859" t="s">
        <v>2345</v>
      </c>
      <c r="I859" s="2" t="s">
        <v>2346</v>
      </c>
      <c r="J859" s="2">
        <v>0.041666666666666664</v>
      </c>
      <c r="K859" s="1">
        <v>0.015972222222222224</v>
      </c>
      <c r="L859" s="1">
        <v>0.05763888888888889</v>
      </c>
      <c r="M859" s="1" t="s">
        <v>22</v>
      </c>
      <c r="N859" s="1" t="s">
        <v>574</v>
      </c>
      <c r="O859" s="1" t="s">
        <v>32</v>
      </c>
      <c r="P859" s="1" t="s">
        <v>488</v>
      </c>
      <c r="Q859" s="1">
        <v>44313</v>
      </c>
      <c r="R859" s="14">
        <v>5</v>
      </c>
      <c r="S859" s="1" t="s">
        <v>22</v>
      </c>
      <c r="T859" s="1" t="s">
        <v>22</v>
      </c>
      <c r="U859" s="1" t="s">
        <v>22</v>
      </c>
    </row>
    <row r="860" spans="1:21" x14ac:dyDescent="0.25">
      <c r="A860" s="1" t="s">
        <v>2334</v>
      </c>
      <c r="B860" s="2" t="s">
        <v>43</v>
      </c>
      <c r="C860" s="1" t="s">
        <v>44</v>
      </c>
      <c r="D860" s="1" t="s">
        <v>2347</v>
      </c>
      <c r="E860" s="1" t="s">
        <v>27</v>
      </c>
      <c r="F860" s="1">
        <v>44315</v>
      </c>
      <c r="G860" s="14" t="s">
        <v>74</v>
      </c>
      <c r="H860" t="s">
        <v>2348</v>
      </c>
      <c r="I860" s="2" t="s">
        <v>2349</v>
      </c>
      <c r="J860" s="2">
        <v>0.041666666666666664</v>
      </c>
      <c r="K860" s="1">
        <v>0.041666666666666664</v>
      </c>
      <c r="L860" s="1">
        <v>0.08333333333333333</v>
      </c>
      <c r="M860" s="1" t="s">
        <v>22</v>
      </c>
      <c r="N860" s="1" t="s">
        <v>2350</v>
      </c>
      <c r="O860" s="1" t="s">
        <v>483</v>
      </c>
      <c r="P860" s="1" t="s">
        <v>484</v>
      </c>
      <c r="Q860" s="1">
        <v>44315</v>
      </c>
      <c r="R860" s="14">
        <v>5</v>
      </c>
      <c r="S860" s="1" t="s">
        <v>22</v>
      </c>
      <c r="T860" s="1" t="s">
        <v>22</v>
      </c>
      <c r="U860" s="1" t="s">
        <v>22</v>
      </c>
    </row>
    <row r="861" spans="1:21" x14ac:dyDescent="0.25">
      <c r="A861" s="1" t="s">
        <v>2334</v>
      </c>
      <c r="B861" s="2" t="s">
        <v>99</v>
      </c>
      <c r="C861" s="1" t="s">
        <v>25</v>
      </c>
      <c r="D861" s="1" t="s">
        <v>2351</v>
      </c>
      <c r="E861" s="1" t="s">
        <v>37</v>
      </c>
      <c r="F861" s="1">
        <v>44315</v>
      </c>
      <c r="G861" s="14" t="s">
        <v>74</v>
      </c>
      <c r="H861" t="s">
        <v>2352</v>
      </c>
      <c r="I861" s="2" t="s">
        <v>2353</v>
      </c>
      <c r="J861" s="2">
        <v>0.0625</v>
      </c>
      <c r="K861" s="1">
        <v>0.07083333333333333</v>
      </c>
      <c r="L861" s="1">
        <v>0.13333333333333333</v>
      </c>
      <c r="M861" s="1" t="s">
        <v>22</v>
      </c>
      <c r="N861" s="1" t="s">
        <v>574</v>
      </c>
      <c r="O861" s="1" t="s">
        <v>32</v>
      </c>
      <c r="P861" s="1" t="s">
        <v>484</v>
      </c>
      <c r="Q861" s="1">
        <v>44315</v>
      </c>
      <c r="R861" s="14">
        <v>5</v>
      </c>
      <c r="S861" s="1" t="s">
        <v>22</v>
      </c>
      <c r="T861" s="1" t="s">
        <v>22</v>
      </c>
      <c r="U861" s="1" t="s">
        <v>22</v>
      </c>
    </row>
    <row r="862" spans="1:21" x14ac:dyDescent="0.25">
      <c r="A862" s="1" t="s">
        <v>2354</v>
      </c>
      <c r="B862" s="2" t="s">
        <v>1038</v>
      </c>
      <c r="C862" s="1" t="s">
        <v>1659</v>
      </c>
      <c r="D862" s="1" t="s">
        <v>2355</v>
      </c>
      <c r="E862" s="1" t="s">
        <v>37</v>
      </c>
      <c r="F862" s="1">
        <v>44320</v>
      </c>
      <c r="G862" s="14" t="s">
        <v>74</v>
      </c>
      <c r="H862" t="s">
        <v>2356</v>
      </c>
      <c r="I862" s="2" t="s">
        <v>2357</v>
      </c>
      <c r="J862" s="2">
        <v>0.03125</v>
      </c>
      <c r="K862" s="1">
        <v>0.027777777777777776</v>
      </c>
      <c r="L862" s="1">
        <v>0.059027777777777776</v>
      </c>
      <c r="M862" s="1" t="s">
        <v>22</v>
      </c>
      <c r="N862" s="1" t="s">
        <v>574</v>
      </c>
      <c r="O862" s="1" t="s">
        <v>2358</v>
      </c>
      <c r="P862" s="1" t="s">
        <v>488</v>
      </c>
      <c r="Q862" s="1">
        <v>44320</v>
      </c>
      <c r="R862" s="14">
        <v>5</v>
      </c>
      <c r="S862" s="1" t="s">
        <v>22</v>
      </c>
      <c r="T862" s="1" t="s">
        <v>22</v>
      </c>
      <c r="U862" s="1" t="s">
        <v>22</v>
      </c>
    </row>
    <row r="863" spans="1:21" x14ac:dyDescent="0.25">
      <c r="A863" s="1" t="s">
        <v>2354</v>
      </c>
      <c r="B863" s="2" t="s">
        <v>99</v>
      </c>
      <c r="C863" s="1" t="s">
        <v>25</v>
      </c>
      <c r="D863" s="1" t="s">
        <v>2359</v>
      </c>
      <c r="E863" s="1" t="s">
        <v>37</v>
      </c>
      <c r="F863" s="1">
        <v>44321</v>
      </c>
      <c r="G863" s="14" t="s">
        <v>28</v>
      </c>
      <c r="H863" t="s">
        <v>2360</v>
      </c>
      <c r="I863" s="2" t="s">
        <v>2361</v>
      </c>
      <c r="J863" s="2">
        <v>0.01875</v>
      </c>
      <c r="K863" s="1">
        <v>0.07013888888888889</v>
      </c>
      <c r="L863" s="1">
        <v>0.08888888888888889</v>
      </c>
      <c r="M863" s="1" t="s">
        <v>22</v>
      </c>
      <c r="N863" s="1" t="s">
        <v>32</v>
      </c>
      <c r="O863" s="1" t="s">
        <v>483</v>
      </c>
      <c r="P863" s="1" t="s">
        <v>484</v>
      </c>
      <c r="Q863" s="1">
        <v>44321</v>
      </c>
      <c r="R863" s="14">
        <v>5</v>
      </c>
      <c r="S863" s="1" t="s">
        <v>22</v>
      </c>
      <c r="T863" s="1" t="s">
        <v>22</v>
      </c>
      <c r="U863" s="1" t="s">
        <v>22</v>
      </c>
    </row>
    <row r="864" spans="1:21" x14ac:dyDescent="0.25">
      <c r="A864" s="1" t="s">
        <v>2354</v>
      </c>
      <c r="B864" s="2" t="s">
        <v>185</v>
      </c>
      <c r="C864" s="1" t="s">
        <v>186</v>
      </c>
      <c r="D864" s="1" t="s">
        <v>2362</v>
      </c>
      <c r="E864" s="1" t="s">
        <v>27</v>
      </c>
      <c r="F864" s="1">
        <v>44327</v>
      </c>
      <c r="G864" s="14" t="s">
        <v>28</v>
      </c>
      <c r="H864" t="s">
        <v>2363</v>
      </c>
      <c r="I864" s="2" t="s">
        <v>2364</v>
      </c>
      <c r="J864" s="2">
        <v>0.03125</v>
      </c>
      <c r="K864" s="1">
        <v>0.03888888888888889</v>
      </c>
      <c r="L864" s="1">
        <v>0.07013888888888889</v>
      </c>
      <c r="M864" s="1" t="s">
        <v>22</v>
      </c>
      <c r="N864" s="1" t="s">
        <v>574</v>
      </c>
      <c r="O864" s="1" t="s">
        <v>32</v>
      </c>
      <c r="P864" s="1" t="s">
        <v>488</v>
      </c>
      <c r="Q864" s="1">
        <v>44327</v>
      </c>
      <c r="R864" s="14">
        <v>5</v>
      </c>
      <c r="S864" s="1" t="s">
        <v>22</v>
      </c>
      <c r="T864" s="1" t="s">
        <v>22</v>
      </c>
      <c r="U864" s="1" t="s">
        <v>22</v>
      </c>
    </row>
    <row r="865" spans="1:21" x14ac:dyDescent="0.25">
      <c r="A865" s="1" t="s">
        <v>2354</v>
      </c>
      <c r="B865" s="2" t="s">
        <v>259</v>
      </c>
      <c r="C865" s="1" t="s">
        <v>25</v>
      </c>
      <c r="D865" s="1" t="s">
        <v>2365</v>
      </c>
      <c r="E865" s="1" t="s">
        <v>27</v>
      </c>
      <c r="F865" s="1">
        <v>44327</v>
      </c>
      <c r="G865" s="14" t="s">
        <v>953</v>
      </c>
      <c r="H865" t="s">
        <v>2366</v>
      </c>
      <c r="I865" s="2" t="s">
        <v>2367</v>
      </c>
      <c r="J865" s="2">
        <v>0.08333333333333333</v>
      </c>
      <c r="K865" s="1">
        <v>0.0625</v>
      </c>
      <c r="L865" s="1">
        <v>0.14583333333333331</v>
      </c>
      <c r="M865" s="1" t="s">
        <v>22</v>
      </c>
      <c r="N865" s="1" t="s">
        <v>574</v>
      </c>
      <c r="O865" s="1" t="s">
        <v>31</v>
      </c>
      <c r="P865" s="1" t="s">
        <v>488</v>
      </c>
      <c r="Q865" s="1">
        <v>44327</v>
      </c>
      <c r="R865" s="14">
        <v>5</v>
      </c>
      <c r="S865" s="1" t="s">
        <v>22</v>
      </c>
      <c r="T865" s="1" t="s">
        <v>22</v>
      </c>
      <c r="U865" s="1" t="s">
        <v>22</v>
      </c>
    </row>
    <row r="866" spans="1:21" x14ac:dyDescent="0.25">
      <c r="A866" s="1" t="s">
        <v>2354</v>
      </c>
      <c r="B866" s="2" t="s">
        <v>2315</v>
      </c>
      <c r="C866" s="1" t="s">
        <v>25</v>
      </c>
      <c r="D866" s="1" t="s">
        <v>2368</v>
      </c>
      <c r="E866" s="1" t="s">
        <v>27</v>
      </c>
      <c r="F866" s="1">
        <v>44330</v>
      </c>
      <c r="G866" s="14" t="s">
        <v>74</v>
      </c>
      <c r="H866" t="s">
        <v>2369</v>
      </c>
      <c r="I866" s="2" t="s">
        <v>2370</v>
      </c>
      <c r="J866" s="2">
        <v>0.009722222222222222</v>
      </c>
      <c r="K866" s="1">
        <v>0.03125</v>
      </c>
      <c r="L866" s="1">
        <v>0.04097222222222222</v>
      </c>
      <c r="M866" s="1" t="s">
        <v>22</v>
      </c>
      <c r="N866" s="1" t="s">
        <v>32</v>
      </c>
      <c r="O866" s="1" t="s">
        <v>483</v>
      </c>
      <c r="P866" s="1" t="s">
        <v>488</v>
      </c>
      <c r="Q866" s="1">
        <v>44330</v>
      </c>
      <c r="R866" s="14">
        <v>5</v>
      </c>
      <c r="S866" s="1" t="s">
        <v>22</v>
      </c>
      <c r="T866" s="1" t="s">
        <v>22</v>
      </c>
      <c r="U866" s="1" t="s">
        <v>22</v>
      </c>
    </row>
    <row r="867" spans="1:21" x14ac:dyDescent="0.25">
      <c r="A867" s="1" t="s">
        <v>2354</v>
      </c>
      <c r="B867" s="2" t="s">
        <v>2315</v>
      </c>
      <c r="C867" s="1" t="s">
        <v>25</v>
      </c>
      <c r="D867" s="1" t="s">
        <v>2371</v>
      </c>
      <c r="E867" s="1" t="s">
        <v>27</v>
      </c>
      <c r="F867" s="1">
        <v>44330</v>
      </c>
      <c r="G867" s="14" t="s">
        <v>953</v>
      </c>
      <c r="H867" t="s">
        <v>2372</v>
      </c>
      <c r="I867" s="2" t="s">
        <v>2373</v>
      </c>
      <c r="J867" s="2">
        <v>0.013888888888888888</v>
      </c>
      <c r="K867" s="1">
        <v>0.017361111111111112</v>
      </c>
      <c r="L867" s="1">
        <v>0.03125</v>
      </c>
      <c r="M867" s="1" t="s">
        <v>22</v>
      </c>
      <c r="N867" s="1" t="s">
        <v>54</v>
      </c>
      <c r="O867" s="1" t="s">
        <v>2358</v>
      </c>
      <c r="P867" s="1" t="s">
        <v>488</v>
      </c>
      <c r="Q867" s="1">
        <v>44330</v>
      </c>
      <c r="R867" s="14">
        <v>5</v>
      </c>
      <c r="S867" s="1" t="s">
        <v>22</v>
      </c>
      <c r="T867" s="1" t="s">
        <v>22</v>
      </c>
      <c r="U867" s="1" t="s">
        <v>22</v>
      </c>
    </row>
    <row r="868" spans="1:21" x14ac:dyDescent="0.25">
      <c r="A868" s="1" t="s">
        <v>2354</v>
      </c>
      <c r="B868" s="2" t="s">
        <v>99</v>
      </c>
      <c r="C868" s="1" t="s">
        <v>25</v>
      </c>
      <c r="D868" s="1" t="s">
        <v>2374</v>
      </c>
      <c r="E868" s="1" t="s">
        <v>27</v>
      </c>
      <c r="F868" s="1">
        <v>44335</v>
      </c>
      <c r="G868" s="14" t="s">
        <v>28</v>
      </c>
      <c r="H868" t="s">
        <v>2375</v>
      </c>
      <c r="I868" s="2" t="s">
        <v>2376</v>
      </c>
      <c r="J868" s="2">
        <v>0.041666666666666664</v>
      </c>
      <c r="K868" s="1">
        <v>0.04722222222222222</v>
      </c>
      <c r="L868" s="1">
        <v>0.08888888888888888</v>
      </c>
      <c r="M868" s="1" t="s">
        <v>22</v>
      </c>
      <c r="N868" s="1" t="s">
        <v>574</v>
      </c>
      <c r="O868" s="1" t="s">
        <v>32</v>
      </c>
      <c r="P868" s="1" t="s">
        <v>484</v>
      </c>
      <c r="Q868" s="1">
        <v>44335</v>
      </c>
      <c r="R868" s="14">
        <v>5</v>
      </c>
      <c r="S868" s="1" t="s">
        <v>22</v>
      </c>
      <c r="T868" s="1" t="s">
        <v>22</v>
      </c>
      <c r="U868" s="1" t="s">
        <v>22</v>
      </c>
    </row>
    <row r="869" spans="1:21" x14ac:dyDescent="0.25">
      <c r="A869" s="1" t="s">
        <v>2354</v>
      </c>
      <c r="B869" s="2" t="s">
        <v>525</v>
      </c>
      <c r="C869" s="1" t="s">
        <v>25</v>
      </c>
      <c r="D869" s="1" t="s">
        <v>2377</v>
      </c>
      <c r="E869" s="1" t="s">
        <v>27</v>
      </c>
      <c r="F869" s="1">
        <v>44335</v>
      </c>
      <c r="G869" s="14" t="s">
        <v>28</v>
      </c>
      <c r="H869" t="s">
        <v>2378</v>
      </c>
      <c r="I869" s="2" t="s">
        <v>2379</v>
      </c>
      <c r="J869" s="2">
        <v>0.041666666666666664</v>
      </c>
      <c r="K869" s="1">
        <v>0.043750000000000004</v>
      </c>
      <c r="L869" s="1">
        <v>0.08541666666666667</v>
      </c>
      <c r="M869" s="1" t="s">
        <v>22</v>
      </c>
      <c r="N869" s="1" t="s">
        <v>574</v>
      </c>
      <c r="O869" s="1" t="s">
        <v>32</v>
      </c>
      <c r="P869" s="1" t="s">
        <v>484</v>
      </c>
      <c r="Q869" s="1">
        <v>44335</v>
      </c>
      <c r="R869" s="14">
        <v>5</v>
      </c>
      <c r="S869" s="1" t="s">
        <v>22</v>
      </c>
      <c r="T869" s="1" t="s">
        <v>22</v>
      </c>
      <c r="U869" s="1" t="s">
        <v>22</v>
      </c>
    </row>
    <row r="870" spans="1:21" x14ac:dyDescent="0.25">
      <c r="A870" s="1" t="s">
        <v>2354</v>
      </c>
      <c r="B870" s="2" t="s">
        <v>199</v>
      </c>
      <c r="C870" s="1" t="s">
        <v>541</v>
      </c>
      <c r="D870" s="1" t="s">
        <v>2380</v>
      </c>
      <c r="E870" s="1" t="s">
        <v>27</v>
      </c>
      <c r="F870" s="1">
        <v>44336</v>
      </c>
      <c r="G870" s="14" t="s">
        <v>28</v>
      </c>
      <c r="H870" t="s">
        <v>2381</v>
      </c>
      <c r="I870" s="2" t="s">
        <v>2382</v>
      </c>
      <c r="J870" s="2">
        <v>0.041666666666666664</v>
      </c>
      <c r="K870" s="1">
        <v>0.075</v>
      </c>
      <c r="L870" s="1">
        <v>0.11666666666666667</v>
      </c>
      <c r="M870" s="1" t="s">
        <v>22</v>
      </c>
      <c r="N870" s="1" t="s">
        <v>574</v>
      </c>
      <c r="O870" s="1" t="s">
        <v>483</v>
      </c>
      <c r="P870" s="1" t="s">
        <v>488</v>
      </c>
      <c r="Q870" s="1">
        <v>44336</v>
      </c>
      <c r="R870" s="14">
        <v>5</v>
      </c>
      <c r="S870" s="1" t="s">
        <v>22</v>
      </c>
      <c r="T870" s="1" t="s">
        <v>22</v>
      </c>
      <c r="U870" s="1" t="s">
        <v>22</v>
      </c>
    </row>
    <row r="871" spans="1:21" x14ac:dyDescent="0.25">
      <c r="A871" s="1" t="s">
        <v>2354</v>
      </c>
      <c r="B871" s="2" t="s">
        <v>113</v>
      </c>
      <c r="C871" s="1" t="s">
        <v>25</v>
      </c>
      <c r="D871" s="1" t="s">
        <v>2383</v>
      </c>
      <c r="E871" s="1" t="s">
        <v>27</v>
      </c>
      <c r="F871" s="1">
        <v>44340</v>
      </c>
      <c r="G871" s="14" t="s">
        <v>133</v>
      </c>
      <c r="H871" t="s">
        <v>2384</v>
      </c>
      <c r="I871" s="2" t="s">
        <v>2385</v>
      </c>
      <c r="J871" s="2">
        <v>0.004861111111111111</v>
      </c>
      <c r="K871" s="1">
        <v>0.03194444444444445</v>
      </c>
      <c r="L871" s="1">
        <v>0.036805555555555564</v>
      </c>
      <c r="M871" s="1" t="s">
        <v>22</v>
      </c>
      <c r="N871" s="1" t="s">
        <v>32</v>
      </c>
      <c r="O871" s="1" t="s">
        <v>483</v>
      </c>
      <c r="P871" s="1" t="s">
        <v>484</v>
      </c>
      <c r="Q871" s="1">
        <v>44340</v>
      </c>
      <c r="R871" s="14">
        <v>5</v>
      </c>
      <c r="S871" s="1" t="s">
        <v>22</v>
      </c>
      <c r="T871" s="1" t="s">
        <v>22</v>
      </c>
      <c r="U871" s="1" t="s">
        <v>22</v>
      </c>
    </row>
    <row r="872" spans="1:21" x14ac:dyDescent="0.25">
      <c r="A872" s="1" t="s">
        <v>2354</v>
      </c>
      <c r="B872" s="2" t="s">
        <v>284</v>
      </c>
      <c r="C872" s="1" t="s">
        <v>285</v>
      </c>
      <c r="D872" s="1" t="s">
        <v>2386</v>
      </c>
      <c r="E872" s="1" t="s">
        <v>27</v>
      </c>
      <c r="F872" s="1">
        <v>44341</v>
      </c>
      <c r="G872" s="14" t="s">
        <v>28</v>
      </c>
      <c r="H872" t="s">
        <v>2387</v>
      </c>
      <c r="I872" s="2" t="s">
        <v>2388</v>
      </c>
      <c r="J872" s="2">
        <v>0.03125</v>
      </c>
      <c r="K872" s="1">
        <v>0.0375</v>
      </c>
      <c r="L872" s="1">
        <v>0.06875</v>
      </c>
      <c r="M872" s="1" t="s">
        <v>22</v>
      </c>
      <c r="N872" s="1" t="s">
        <v>574</v>
      </c>
      <c r="O872" s="1" t="s">
        <v>483</v>
      </c>
      <c r="P872" s="1" t="s">
        <v>484</v>
      </c>
      <c r="Q872" s="1">
        <v>44341</v>
      </c>
      <c r="R872" s="14">
        <v>5</v>
      </c>
      <c r="S872" s="1" t="s">
        <v>22</v>
      </c>
      <c r="T872" s="1" t="s">
        <v>22</v>
      </c>
      <c r="U872" s="1" t="s">
        <v>22</v>
      </c>
    </row>
    <row r="873" spans="1:21" x14ac:dyDescent="0.25">
      <c r="A873" s="1" t="s">
        <v>2354</v>
      </c>
      <c r="B873" s="2" t="s">
        <v>99</v>
      </c>
      <c r="C873" s="1" t="s">
        <v>25</v>
      </c>
      <c r="D873" s="1" t="s">
        <v>2389</v>
      </c>
      <c r="E873" s="1" t="s">
        <v>27</v>
      </c>
      <c r="F873" s="1">
        <v>44342</v>
      </c>
      <c r="G873" s="14" t="s">
        <v>28</v>
      </c>
      <c r="H873" t="s">
        <v>2390</v>
      </c>
      <c r="I873" s="2" t="s">
        <v>2391</v>
      </c>
      <c r="J873" s="2">
        <v>0.041666666666666664</v>
      </c>
      <c r="K873" s="1">
        <v>0.04305555555555556</v>
      </c>
      <c r="L873" s="1">
        <v>0.08472222222222223</v>
      </c>
      <c r="M873" s="1" t="s">
        <v>22</v>
      </c>
      <c r="N873" s="1" t="s">
        <v>574</v>
      </c>
      <c r="O873" s="1" t="s">
        <v>32</v>
      </c>
      <c r="P873" s="1" t="s">
        <v>484</v>
      </c>
      <c r="Q873" s="1">
        <v>44342</v>
      </c>
      <c r="R873" s="14">
        <v>5</v>
      </c>
      <c r="S873" s="1" t="s">
        <v>22</v>
      </c>
      <c r="T873" s="1" t="s">
        <v>22</v>
      </c>
      <c r="U873" s="1" t="s">
        <v>22</v>
      </c>
    </row>
    <row r="874" spans="1:21" x14ac:dyDescent="0.25">
      <c r="A874" s="1" t="s">
        <v>2354</v>
      </c>
      <c r="B874" s="2" t="s">
        <v>35</v>
      </c>
      <c r="C874" s="1" t="s">
        <v>25</v>
      </c>
      <c r="D874" s="1" t="s">
        <v>2392</v>
      </c>
      <c r="E874" s="1" t="s">
        <v>27</v>
      </c>
      <c r="F874" s="1">
        <v>44343</v>
      </c>
      <c r="G874" s="14" t="s">
        <v>255</v>
      </c>
      <c r="H874" t="s">
        <v>2393</v>
      </c>
      <c r="I874" s="2" t="s">
        <v>2394</v>
      </c>
      <c r="J874" s="2">
        <v>0.002777777777777778</v>
      </c>
      <c r="K874" s="1">
        <v>0.013888888888888888</v>
      </c>
      <c r="L874" s="1">
        <v>0.016666666666666666</v>
      </c>
      <c r="M874" s="1" t="s">
        <v>22</v>
      </c>
      <c r="N874" s="1" t="s">
        <v>32</v>
      </c>
      <c r="O874" s="1" t="s">
        <v>483</v>
      </c>
      <c r="P874" s="1" t="s">
        <v>42</v>
      </c>
      <c r="Q874" s="1">
        <v>44343</v>
      </c>
      <c r="R874" s="14">
        <v>5</v>
      </c>
      <c r="S874" s="1" t="s">
        <v>22</v>
      </c>
      <c r="T874" s="1" t="s">
        <v>22</v>
      </c>
      <c r="U874" s="1" t="s">
        <v>22</v>
      </c>
    </row>
    <row r="875" spans="1:21" x14ac:dyDescent="0.25">
      <c r="A875" s="1" t="s">
        <v>2354</v>
      </c>
      <c r="B875" s="2" t="s">
        <v>113</v>
      </c>
      <c r="C875" s="1" t="s">
        <v>25</v>
      </c>
      <c r="D875" s="1" t="s">
        <v>2395</v>
      </c>
      <c r="E875" s="1" t="s">
        <v>27</v>
      </c>
      <c r="F875" s="1">
        <v>44343</v>
      </c>
      <c r="G875" s="14" t="s">
        <v>953</v>
      </c>
      <c r="H875" t="s">
        <v>2396</v>
      </c>
      <c r="I875" s="2" t="s">
        <v>2396</v>
      </c>
      <c r="J875" s="2">
        <v>0.020833333333333332</v>
      </c>
      <c r="K875" s="1">
        <v>0.018055555555555557</v>
      </c>
      <c r="L875" s="1">
        <v>0.03888888888888889</v>
      </c>
      <c r="M875" s="1" t="s">
        <v>22</v>
      </c>
      <c r="N875" s="1" t="s">
        <v>574</v>
      </c>
      <c r="O875" s="1" t="s">
        <v>483</v>
      </c>
      <c r="P875" s="1" t="s">
        <v>484</v>
      </c>
      <c r="Q875" s="1">
        <v>44344</v>
      </c>
      <c r="R875" s="14">
        <v>5</v>
      </c>
      <c r="S875" s="1" t="s">
        <v>22</v>
      </c>
      <c r="T875" s="1" t="s">
        <v>22</v>
      </c>
      <c r="U875" s="1" t="s">
        <v>22</v>
      </c>
    </row>
    <row r="876" spans="1:21" x14ac:dyDescent="0.25">
      <c r="A876" s="1" t="s">
        <v>2354</v>
      </c>
      <c r="B876" s="2" t="s">
        <v>2315</v>
      </c>
      <c r="C876" s="1" t="s">
        <v>25</v>
      </c>
      <c r="D876" s="1" t="s">
        <v>2397</v>
      </c>
      <c r="E876" s="1" t="s">
        <v>27</v>
      </c>
      <c r="F876" s="1">
        <v>44344</v>
      </c>
      <c r="G876" s="14" t="s">
        <v>28</v>
      </c>
      <c r="H876" t="s">
        <v>2398</v>
      </c>
      <c r="I876" s="2" t="s">
        <v>2399</v>
      </c>
      <c r="J876" s="2">
        <v>0.019444444444444445</v>
      </c>
      <c r="K876" s="1">
        <v>0.05555555555555555</v>
      </c>
      <c r="L876" s="1">
        <v>0.075</v>
      </c>
      <c r="M876" s="1" t="s">
        <v>22</v>
      </c>
      <c r="N876" s="1" t="s">
        <v>32</v>
      </c>
      <c r="O876" s="1" t="s">
        <v>483</v>
      </c>
      <c r="P876" s="1" t="s">
        <v>488</v>
      </c>
      <c r="Q876" s="1">
        <v>44344</v>
      </c>
      <c r="R876" s="14">
        <v>5</v>
      </c>
      <c r="S876" s="1" t="s">
        <v>22</v>
      </c>
      <c r="T876" s="1" t="s">
        <v>22</v>
      </c>
      <c r="U876" s="1" t="s">
        <v>22</v>
      </c>
    </row>
    <row r="877" spans="1:21" x14ac:dyDescent="0.25">
      <c r="A877" s="1" t="s">
        <v>2354</v>
      </c>
      <c r="B877" s="2" t="s">
        <v>2315</v>
      </c>
      <c r="C877" s="1" t="s">
        <v>25</v>
      </c>
      <c r="D877" s="1" t="s">
        <v>2400</v>
      </c>
      <c r="E877" s="1" t="s">
        <v>27</v>
      </c>
      <c r="F877" s="1">
        <v>44345</v>
      </c>
      <c r="G877" s="14" t="s">
        <v>50</v>
      </c>
      <c r="H877" t="s">
        <v>2401</v>
      </c>
      <c r="I877" s="2" t="s">
        <v>2402</v>
      </c>
      <c r="J877" s="2">
        <v>0.029166666666666664</v>
      </c>
      <c r="K877" s="1">
        <v>0.08055555555555556</v>
      </c>
      <c r="L877" s="1">
        <v>0.10972222222222222</v>
      </c>
      <c r="M877" s="1" t="s">
        <v>22</v>
      </c>
      <c r="N877" s="1" t="s">
        <v>32</v>
      </c>
      <c r="O877" s="1" t="s">
        <v>483</v>
      </c>
      <c r="P877" s="1" t="s">
        <v>488</v>
      </c>
      <c r="Q877" s="1">
        <v>44345</v>
      </c>
      <c r="R877" s="14">
        <v>5</v>
      </c>
      <c r="S877" s="1" t="s">
        <v>22</v>
      </c>
      <c r="T877" s="1" t="s">
        <v>22</v>
      </c>
      <c r="U877" s="1" t="s">
        <v>22</v>
      </c>
    </row>
    <row r="878" spans="1:21" x14ac:dyDescent="0.25">
      <c r="A878" s="1" t="s">
        <v>2403</v>
      </c>
      <c r="B878" s="2" t="s">
        <v>1040</v>
      </c>
      <c r="C878" s="1" t="s">
        <v>951</v>
      </c>
      <c r="D878" s="1" t="s">
        <v>2404</v>
      </c>
      <c r="E878" s="1" t="s">
        <v>27</v>
      </c>
      <c r="F878" s="1">
        <v>44350</v>
      </c>
      <c r="G878" s="14" t="s">
        <v>50</v>
      </c>
      <c r="H878" t="s">
        <v>2405</v>
      </c>
      <c r="I878" s="2" t="s">
        <v>2406</v>
      </c>
      <c r="J878" s="2">
        <v>0.03125</v>
      </c>
      <c r="K878" s="1">
        <v>0.049999999999999996</v>
      </c>
      <c r="L878" s="1">
        <v>0.08124999999999999</v>
      </c>
      <c r="M878" s="1" t="s">
        <v>22</v>
      </c>
      <c r="N878" s="1" t="s">
        <v>716</v>
      </c>
      <c r="O878" s="1" t="s">
        <v>32</v>
      </c>
      <c r="P878" s="1" t="s">
        <v>2022</v>
      </c>
      <c r="Q878" s="1">
        <v>44350</v>
      </c>
      <c r="R878" s="14">
        <v>5</v>
      </c>
      <c r="S878" s="1" t="s">
        <v>22</v>
      </c>
      <c r="T878" s="1" t="s">
        <v>22</v>
      </c>
      <c r="U878" s="1" t="s">
        <v>22</v>
      </c>
    </row>
    <row r="879" spans="1:21" x14ac:dyDescent="0.25">
      <c r="A879" s="1" t="s">
        <v>2403</v>
      </c>
      <c r="B879" s="2" t="s">
        <v>1451</v>
      </c>
      <c r="C879" s="1" t="s">
        <v>287</v>
      </c>
      <c r="D879" s="1" t="s">
        <v>2407</v>
      </c>
      <c r="E879" s="1" t="s">
        <v>27</v>
      </c>
      <c r="F879" s="1">
        <v>44354</v>
      </c>
      <c r="G879" s="14" t="s">
        <v>28</v>
      </c>
      <c r="H879" t="s">
        <v>2408</v>
      </c>
      <c r="I879" s="2" t="s">
        <v>2409</v>
      </c>
      <c r="J879" s="2">
        <v>0.016666666666666666</v>
      </c>
      <c r="K879" s="1">
        <v>0.05416666666666667</v>
      </c>
      <c r="L879" s="1">
        <v>0.07083333333333333</v>
      </c>
      <c r="M879" s="1" t="s">
        <v>22</v>
      </c>
      <c r="N879" s="1" t="s">
        <v>32</v>
      </c>
      <c r="O879" s="1" t="s">
        <v>483</v>
      </c>
      <c r="P879" s="1" t="s">
        <v>484</v>
      </c>
      <c r="Q879" s="1">
        <v>44354</v>
      </c>
      <c r="R879" s="14">
        <v>5</v>
      </c>
      <c r="S879" s="1" t="s">
        <v>22</v>
      </c>
      <c r="T879" s="1" t="s">
        <v>22</v>
      </c>
      <c r="U879" s="1" t="s">
        <v>22</v>
      </c>
    </row>
    <row r="880" spans="1:21" x14ac:dyDescent="0.25">
      <c r="A880" s="1" t="s">
        <v>2403</v>
      </c>
      <c r="B880" s="2" t="s">
        <v>43</v>
      </c>
      <c r="C880" s="1" t="s">
        <v>44</v>
      </c>
      <c r="D880" s="1" t="s">
        <v>2410</v>
      </c>
      <c r="E880" s="1" t="s">
        <v>27</v>
      </c>
      <c r="F880" s="1">
        <v>44355</v>
      </c>
      <c r="G880" s="14" t="s">
        <v>28</v>
      </c>
      <c r="H880" t="s">
        <v>2411</v>
      </c>
      <c r="I880" s="2" t="s">
        <v>2412</v>
      </c>
      <c r="J880" s="2">
        <v>0.02152777777777778</v>
      </c>
      <c r="K880" s="1" t="s">
        <v>22</v>
      </c>
      <c r="L880" s="1">
        <v>0.02152777777777778</v>
      </c>
      <c r="M880" s="1" t="s">
        <v>22</v>
      </c>
      <c r="N880" s="1" t="s">
        <v>2413</v>
      </c>
      <c r="O880" s="1" t="s">
        <v>2413</v>
      </c>
      <c r="P880" s="1" t="s">
        <v>484</v>
      </c>
      <c r="Q880" s="1">
        <v>44355</v>
      </c>
      <c r="R880" s="14">
        <v>5</v>
      </c>
      <c r="S880" s="1" t="s">
        <v>22</v>
      </c>
      <c r="T880" s="1" t="s">
        <v>22</v>
      </c>
      <c r="U880" s="1" t="s">
        <v>22</v>
      </c>
    </row>
    <row r="881" spans="1:21" x14ac:dyDescent="0.25">
      <c r="A881" s="1" t="s">
        <v>2403</v>
      </c>
      <c r="B881" s="2" t="s">
        <v>1442</v>
      </c>
      <c r="C881" s="1" t="s">
        <v>186</v>
      </c>
      <c r="D881" s="1" t="s">
        <v>2414</v>
      </c>
      <c r="E881" s="1" t="s">
        <v>27</v>
      </c>
      <c r="F881" s="1">
        <v>44358</v>
      </c>
      <c r="G881" s="14" t="s">
        <v>28</v>
      </c>
      <c r="H881" t="s">
        <v>2415</v>
      </c>
      <c r="I881" s="2" t="s">
        <v>2416</v>
      </c>
      <c r="J881" s="2">
        <v>0.125</v>
      </c>
      <c r="K881" s="1" t="s">
        <v>22</v>
      </c>
      <c r="L881" s="1">
        <v>0.125</v>
      </c>
      <c r="M881" s="1" t="s">
        <v>22</v>
      </c>
      <c r="N881" s="1" t="s">
        <v>31</v>
      </c>
      <c r="O881" s="1" t="s">
        <v>31</v>
      </c>
      <c r="P881" s="1" t="s">
        <v>488</v>
      </c>
      <c r="Q881" s="1">
        <v>44358</v>
      </c>
      <c r="R881" s="14">
        <v>5</v>
      </c>
      <c r="S881" s="1" t="s">
        <v>22</v>
      </c>
      <c r="T881" s="1" t="s">
        <v>22</v>
      </c>
      <c r="U881" s="1" t="s">
        <v>22</v>
      </c>
    </row>
    <row r="882" spans="1:21" x14ac:dyDescent="0.25">
      <c r="A882" s="1" t="s">
        <v>2403</v>
      </c>
      <c r="B882" s="2" t="s">
        <v>1040</v>
      </c>
      <c r="C882" s="1" t="s">
        <v>1631</v>
      </c>
      <c r="D882" s="1" t="s">
        <v>2417</v>
      </c>
      <c r="E882" s="1" t="s">
        <v>27</v>
      </c>
      <c r="F882" s="1">
        <v>44362</v>
      </c>
      <c r="G882" s="14" t="s">
        <v>28</v>
      </c>
      <c r="H882" t="s">
        <v>2418</v>
      </c>
      <c r="I882" s="2" t="s">
        <v>2419</v>
      </c>
      <c r="J882" s="2">
        <v>0.03125</v>
      </c>
      <c r="K882" s="1">
        <v>0.05555555555555555</v>
      </c>
      <c r="L882" s="1">
        <v>0.08680555555555555</v>
      </c>
      <c r="M882" s="1" t="s">
        <v>22</v>
      </c>
      <c r="N882" s="1" t="s">
        <v>53</v>
      </c>
      <c r="O882" s="1" t="s">
        <v>483</v>
      </c>
      <c r="P882" s="1" t="s">
        <v>484</v>
      </c>
      <c r="Q882" s="1">
        <v>44362</v>
      </c>
      <c r="R882" s="14" t="s">
        <v>22</v>
      </c>
      <c r="S882" s="1" t="s">
        <v>22</v>
      </c>
      <c r="T882" s="1" t="s">
        <v>22</v>
      </c>
      <c r="U882" s="1" t="s">
        <v>22</v>
      </c>
    </row>
    <row r="883" spans="1:21" x14ac:dyDescent="0.25">
      <c r="A883" s="1" t="s">
        <v>2403</v>
      </c>
      <c r="B883" s="2" t="s">
        <v>1635</v>
      </c>
      <c r="C883" s="1" t="s">
        <v>186</v>
      </c>
      <c r="D883" s="1" t="s">
        <v>2420</v>
      </c>
      <c r="E883" s="1" t="s">
        <v>27</v>
      </c>
      <c r="F883" s="1">
        <v>44365</v>
      </c>
      <c r="G883" s="14" t="s">
        <v>133</v>
      </c>
      <c r="H883" t="s">
        <v>2421</v>
      </c>
      <c r="I883" s="2" t="s">
        <v>2422</v>
      </c>
      <c r="J883" s="2">
        <v>0.017361111111111112</v>
      </c>
      <c r="K883" s="1">
        <v>0.020833333333333332</v>
      </c>
      <c r="L883" s="1">
        <v>0.03819444444444445</v>
      </c>
      <c r="M883" s="1" t="s">
        <v>22</v>
      </c>
      <c r="N883" s="1" t="s">
        <v>32</v>
      </c>
      <c r="O883" s="1" t="s">
        <v>483</v>
      </c>
      <c r="P883" s="1" t="s">
        <v>488</v>
      </c>
      <c r="Q883" s="1">
        <v>44365</v>
      </c>
      <c r="R883" s="14">
        <v>5</v>
      </c>
      <c r="S883" s="1" t="s">
        <v>22</v>
      </c>
      <c r="T883" s="1" t="s">
        <v>22</v>
      </c>
      <c r="U883" s="1" t="s">
        <v>22</v>
      </c>
    </row>
    <row r="884" spans="1:21" x14ac:dyDescent="0.25">
      <c r="A884" s="1" t="s">
        <v>2403</v>
      </c>
      <c r="B884" s="2" t="s">
        <v>43</v>
      </c>
      <c r="C884" s="1" t="s">
        <v>44</v>
      </c>
      <c r="D884" s="1" t="s">
        <v>2291</v>
      </c>
      <c r="E884" s="1" t="s">
        <v>27</v>
      </c>
      <c r="F884" s="1">
        <v>44368</v>
      </c>
      <c r="G884" s="14" t="s">
        <v>50</v>
      </c>
      <c r="H884" t="s">
        <v>2423</v>
      </c>
      <c r="I884" s="2" t="s">
        <v>2424</v>
      </c>
      <c r="J884" s="2">
        <v>0.003472222222222222</v>
      </c>
      <c r="K884" s="1">
        <v>0.027777777777777776</v>
      </c>
      <c r="L884" s="1">
        <v>0.03125</v>
      </c>
      <c r="M884" s="1" t="s">
        <v>22</v>
      </c>
      <c r="N884" s="1" t="s">
        <v>32</v>
      </c>
      <c r="O884" s="1" t="s">
        <v>483</v>
      </c>
      <c r="P884" s="1" t="s">
        <v>488</v>
      </c>
      <c r="Q884" s="1">
        <v>44368</v>
      </c>
      <c r="R884" s="14">
        <v>5</v>
      </c>
      <c r="S884" s="1" t="s">
        <v>22</v>
      </c>
      <c r="T884" s="1" t="s">
        <v>22</v>
      </c>
      <c r="U884" s="1" t="s">
        <v>22</v>
      </c>
    </row>
    <row r="885" spans="1:21" x14ac:dyDescent="0.25">
      <c r="A885" s="1" t="s">
        <v>2403</v>
      </c>
      <c r="B885" s="2" t="s">
        <v>35</v>
      </c>
      <c r="C885" s="1" t="s">
        <v>25</v>
      </c>
      <c r="D885" s="1" t="s">
        <v>2425</v>
      </c>
      <c r="E885" s="1" t="s">
        <v>27</v>
      </c>
      <c r="F885" s="1">
        <v>44376</v>
      </c>
      <c r="G885" s="14" t="s">
        <v>38</v>
      </c>
      <c r="H885" t="s">
        <v>2426</v>
      </c>
      <c r="I885" s="2" t="s">
        <v>2427</v>
      </c>
      <c r="J885" s="2">
        <v>0.006944444444444444</v>
      </c>
      <c r="K885" s="1">
        <v>0.029166666666666664</v>
      </c>
      <c r="L885" s="1">
        <v>0.03611111111111111</v>
      </c>
      <c r="M885" s="1" t="s">
        <v>22</v>
      </c>
      <c r="N885" s="1" t="s">
        <v>53</v>
      </c>
      <c r="O885" s="1" t="s">
        <v>483</v>
      </c>
      <c r="P885" s="1" t="s">
        <v>42</v>
      </c>
      <c r="Q885" s="1">
        <v>44376</v>
      </c>
      <c r="R885" s="14">
        <v>5</v>
      </c>
      <c r="S885" s="1" t="s">
        <v>22</v>
      </c>
      <c r="T885" s="1" t="s">
        <v>22</v>
      </c>
      <c r="U885" s="1" t="s">
        <v>22</v>
      </c>
    </row>
    <row r="886" spans="1:21" x14ac:dyDescent="0.25">
      <c r="A886" s="1" t="s">
        <v>2403</v>
      </c>
      <c r="B886" s="2" t="s">
        <v>35</v>
      </c>
      <c r="C886" s="1" t="s">
        <v>25</v>
      </c>
      <c r="D886" s="1" t="s">
        <v>2428</v>
      </c>
      <c r="E886" s="1" t="s">
        <v>27</v>
      </c>
      <c r="F886" s="1">
        <v>44377</v>
      </c>
      <c r="G886" s="14" t="s">
        <v>28</v>
      </c>
      <c r="H886" t="s">
        <v>2429</v>
      </c>
      <c r="I886" s="2" t="s">
        <v>2430</v>
      </c>
      <c r="J886" s="2">
        <v>0.03263888888888889</v>
      </c>
      <c r="K886" s="1">
        <v>0.125</v>
      </c>
      <c r="L886" s="1">
        <v>0.15763888888888888</v>
      </c>
      <c r="M886" s="1" t="s">
        <v>22</v>
      </c>
      <c r="N886" s="1" t="s">
        <v>32</v>
      </c>
      <c r="O886" s="1" t="s">
        <v>483</v>
      </c>
      <c r="P886" s="1" t="s">
        <v>42</v>
      </c>
      <c r="Q886" s="1">
        <v>44377</v>
      </c>
      <c r="R886" s="14">
        <v>5</v>
      </c>
      <c r="S886" s="1" t="s">
        <v>22</v>
      </c>
      <c r="T886" s="1" t="s">
        <v>22</v>
      </c>
      <c r="U886" s="1" t="s">
        <v>22</v>
      </c>
    </row>
    <row r="887" spans="1:21" x14ac:dyDescent="0.25">
      <c r="A887" s="1" t="s">
        <v>2403</v>
      </c>
      <c r="B887" s="2" t="s">
        <v>334</v>
      </c>
      <c r="C887" s="1" t="s">
        <v>25</v>
      </c>
      <c r="D887" s="1" t="s">
        <v>2431</v>
      </c>
      <c r="E887" s="1" t="s">
        <v>27</v>
      </c>
      <c r="F887" s="1">
        <v>44377</v>
      </c>
      <c r="G887" s="14" t="s">
        <v>28</v>
      </c>
      <c r="H887" t="s">
        <v>2432</v>
      </c>
      <c r="I887" s="2" t="s">
        <v>2433</v>
      </c>
      <c r="J887" s="2">
        <v>0.020833333333333332</v>
      </c>
      <c r="K887" s="1">
        <v>0.025694444444444447</v>
      </c>
      <c r="L887" s="1">
        <v>0.04652777777777778</v>
      </c>
      <c r="M887" s="1" t="s">
        <v>22</v>
      </c>
      <c r="N887" s="1" t="s">
        <v>53</v>
      </c>
      <c r="O887" s="1" t="s">
        <v>483</v>
      </c>
      <c r="P887" s="1" t="s">
        <v>488</v>
      </c>
      <c r="Q887" s="1">
        <v>44377</v>
      </c>
      <c r="R887" s="14">
        <v>5</v>
      </c>
      <c r="S887" s="1" t="s">
        <v>22</v>
      </c>
      <c r="T887" s="1" t="s">
        <v>22</v>
      </c>
      <c r="U887" s="1" t="s">
        <v>22</v>
      </c>
    </row>
    <row r="888" spans="1:21" x14ac:dyDescent="0.25">
      <c r="A888" s="1" t="s">
        <v>2434</v>
      </c>
      <c r="B888" s="2" t="s">
        <v>99</v>
      </c>
      <c r="C888" s="1" t="s">
        <v>25</v>
      </c>
      <c r="D888" s="1" t="s">
        <v>2435</v>
      </c>
      <c r="E888" s="1" t="s">
        <v>27</v>
      </c>
      <c r="F888" s="1">
        <v>44379</v>
      </c>
      <c r="G888" s="14" t="s">
        <v>353</v>
      </c>
      <c r="H888" t="s">
        <v>2436</v>
      </c>
      <c r="I888" s="2" t="s">
        <v>2437</v>
      </c>
      <c r="J888" s="2">
        <v>0.07291666666666667</v>
      </c>
      <c r="K888" s="1">
        <v>0.015972222222222224</v>
      </c>
      <c r="L888" s="1">
        <v>0.08888888888888889</v>
      </c>
      <c r="M888" s="1" t="s">
        <v>22</v>
      </c>
      <c r="N888" s="1" t="s">
        <v>54</v>
      </c>
      <c r="O888" s="1" t="s">
        <v>483</v>
      </c>
      <c r="P888" s="1" t="s">
        <v>484</v>
      </c>
      <c r="Q888" s="1">
        <v>44379</v>
      </c>
      <c r="R888" s="14">
        <v>5</v>
      </c>
      <c r="S888" s="1" t="s">
        <v>22</v>
      </c>
      <c r="T888" s="1" t="s">
        <v>22</v>
      </c>
      <c r="U888" s="1" t="s">
        <v>22</v>
      </c>
    </row>
    <row r="889" spans="1:21" x14ac:dyDescent="0.25">
      <c r="A889" s="1" t="s">
        <v>2434</v>
      </c>
      <c r="B889" s="2" t="s">
        <v>2315</v>
      </c>
      <c r="C889" s="1" t="s">
        <v>25</v>
      </c>
      <c r="D889" s="1" t="s">
        <v>2438</v>
      </c>
      <c r="E889" s="1" t="s">
        <v>37</v>
      </c>
      <c r="F889" s="1">
        <v>44382</v>
      </c>
      <c r="G889" s="14" t="s">
        <v>255</v>
      </c>
      <c r="H889" t="s">
        <v>2439</v>
      </c>
      <c r="I889" s="2" t="s">
        <v>2440</v>
      </c>
      <c r="J889" s="2">
        <v>0.1076388888888889</v>
      </c>
      <c r="K889" s="1">
        <v>0.03819444444444444</v>
      </c>
      <c r="L889" s="1">
        <v>0.14583333333333334</v>
      </c>
      <c r="M889" s="1" t="s">
        <v>22</v>
      </c>
      <c r="N889" s="1" t="s">
        <v>31</v>
      </c>
      <c r="O889" s="1" t="s">
        <v>483</v>
      </c>
      <c r="P889" s="1" t="s">
        <v>2441</v>
      </c>
      <c r="Q889" s="1">
        <v>44382</v>
      </c>
      <c r="R889" s="14">
        <v>5</v>
      </c>
      <c r="S889" s="1" t="s">
        <v>22</v>
      </c>
      <c r="T889" s="1" t="s">
        <v>22</v>
      </c>
      <c r="U889" s="1" t="s">
        <v>22</v>
      </c>
    </row>
    <row r="890" spans="1:21" x14ac:dyDescent="0.25">
      <c r="A890" s="1" t="s">
        <v>2434</v>
      </c>
      <c r="B890" s="2" t="s">
        <v>185</v>
      </c>
      <c r="C890" s="1" t="s">
        <v>186</v>
      </c>
      <c r="D890" s="1" t="s">
        <v>2442</v>
      </c>
      <c r="E890" s="1" t="s">
        <v>37</v>
      </c>
      <c r="F890" s="1">
        <v>44387</v>
      </c>
      <c r="G890" s="14" t="s">
        <v>133</v>
      </c>
      <c r="H890" t="s">
        <v>2443</v>
      </c>
      <c r="I890" s="2" t="s">
        <v>2444</v>
      </c>
      <c r="J890" s="2">
        <v>0.006944444444444444</v>
      </c>
      <c r="K890" s="1">
        <v>0.02361111111111111</v>
      </c>
      <c r="L890" s="1">
        <v>0.030555555555555555</v>
      </c>
      <c r="M890" s="1" t="s">
        <v>22</v>
      </c>
      <c r="N890" s="1" t="s">
        <v>31</v>
      </c>
      <c r="O890" s="1" t="s">
        <v>32</v>
      </c>
      <c r="P890" s="1" t="s">
        <v>488</v>
      </c>
      <c r="Q890" s="1">
        <v>44387</v>
      </c>
      <c r="R890" s="14">
        <v>5</v>
      </c>
      <c r="S890" s="1" t="s">
        <v>22</v>
      </c>
      <c r="T890" s="1" t="s">
        <v>22</v>
      </c>
      <c r="U890" s="1" t="s">
        <v>22</v>
      </c>
    </row>
    <row r="891" spans="1:21" x14ac:dyDescent="0.25">
      <c r="A891" s="1" t="s">
        <v>2434</v>
      </c>
      <c r="B891" s="2" t="s">
        <v>122</v>
      </c>
      <c r="C891" s="1" t="s">
        <v>123</v>
      </c>
      <c r="D891" s="1" t="s">
        <v>2445</v>
      </c>
      <c r="E891" s="1" t="s">
        <v>27</v>
      </c>
      <c r="F891" s="1">
        <v>44398</v>
      </c>
      <c r="G891" s="14" t="s">
        <v>74</v>
      </c>
      <c r="H891" t="s">
        <v>2446</v>
      </c>
      <c r="I891" s="2" t="s">
        <v>2447</v>
      </c>
      <c r="J891" s="2">
        <v>0.017361111111111112</v>
      </c>
      <c r="K891" s="1">
        <v>0.015277777777777777</v>
      </c>
      <c r="L891" s="1">
        <v>0.03263888888888889</v>
      </c>
      <c r="M891" s="1" t="s">
        <v>22</v>
      </c>
      <c r="N891" s="1" t="s">
        <v>32</v>
      </c>
      <c r="O891" s="1" t="s">
        <v>483</v>
      </c>
      <c r="P891" s="1" t="s">
        <v>484</v>
      </c>
      <c r="Q891" s="1">
        <v>44398</v>
      </c>
      <c r="R891" s="14">
        <v>5</v>
      </c>
      <c r="S891" s="1" t="s">
        <v>22</v>
      </c>
      <c r="T891" s="1" t="s">
        <v>22</v>
      </c>
      <c r="U891" s="1" t="s">
        <v>22</v>
      </c>
    </row>
    <row r="892" spans="1:21" x14ac:dyDescent="0.25">
      <c r="A892" s="1" t="s">
        <v>2434</v>
      </c>
      <c r="B892" s="2" t="s">
        <v>616</v>
      </c>
      <c r="C892" s="1" t="s">
        <v>617</v>
      </c>
      <c r="D892" s="1" t="s">
        <v>2448</v>
      </c>
      <c r="E892" s="1" t="s">
        <v>27</v>
      </c>
      <c r="F892" s="1">
        <v>44405</v>
      </c>
      <c r="G892" s="14" t="s">
        <v>255</v>
      </c>
      <c r="H892" t="s">
        <v>2449</v>
      </c>
      <c r="I892" s="2" t="s">
        <v>2450</v>
      </c>
      <c r="J892" s="2">
        <v>0.04861111111111111</v>
      </c>
      <c r="K892" s="1">
        <v>0.051388888888888894</v>
      </c>
      <c r="L892" s="1">
        <v>0.1</v>
      </c>
      <c r="M892" s="1" t="s">
        <v>22</v>
      </c>
      <c r="N892" s="1" t="s">
        <v>32</v>
      </c>
      <c r="O892" s="1" t="s">
        <v>483</v>
      </c>
      <c r="P892" s="1" t="s">
        <v>484</v>
      </c>
      <c r="Q892" s="1">
        <v>44405</v>
      </c>
      <c r="R892" s="14">
        <v>5</v>
      </c>
      <c r="S892" s="1" t="s">
        <v>22</v>
      </c>
      <c r="T892" s="1" t="s">
        <v>22</v>
      </c>
      <c r="U892" s="1" t="s">
        <v>22</v>
      </c>
    </row>
    <row r="893" spans="1:21" x14ac:dyDescent="0.25">
      <c r="A893" s="1" t="s">
        <v>2434</v>
      </c>
      <c r="B893" s="2" t="s">
        <v>1040</v>
      </c>
      <c r="C893" s="1" t="s">
        <v>951</v>
      </c>
      <c r="D893" s="1" t="s">
        <v>2451</v>
      </c>
      <c r="E893" s="1" t="s">
        <v>27</v>
      </c>
      <c r="F893" s="1">
        <v>44406</v>
      </c>
      <c r="G893" s="14" t="s">
        <v>255</v>
      </c>
      <c r="H893" t="s">
        <v>2452</v>
      </c>
      <c r="I893" s="2" t="s">
        <v>2453</v>
      </c>
      <c r="J893" s="2">
        <v>0.004166666666666667</v>
      </c>
      <c r="K893" s="1">
        <v>0.013888888888888888</v>
      </c>
      <c r="L893" s="1">
        <v>0.018055555555555554</v>
      </c>
      <c r="M893" s="1" t="s">
        <v>22</v>
      </c>
      <c r="N893" s="1" t="s">
        <v>32</v>
      </c>
      <c r="O893" s="1" t="s">
        <v>483</v>
      </c>
      <c r="P893" s="1" t="s">
        <v>484</v>
      </c>
      <c r="Q893" s="1">
        <v>44406</v>
      </c>
      <c r="R893" s="14">
        <v>5</v>
      </c>
      <c r="S893" s="1" t="s">
        <v>22</v>
      </c>
      <c r="T893" s="1" t="s">
        <v>22</v>
      </c>
      <c r="U893" s="1" t="s">
        <v>22</v>
      </c>
    </row>
    <row r="894" spans="1:21" x14ac:dyDescent="0.25">
      <c r="A894" s="1" t="s">
        <v>2434</v>
      </c>
      <c r="B894" s="2" t="s">
        <v>43</v>
      </c>
      <c r="C894" s="1" t="s">
        <v>44</v>
      </c>
      <c r="D894" s="1" t="s">
        <v>2454</v>
      </c>
      <c r="E894" s="1" t="s">
        <v>27</v>
      </c>
      <c r="F894" s="1">
        <v>44406</v>
      </c>
      <c r="G894" s="14" t="s">
        <v>133</v>
      </c>
      <c r="H894" t="s">
        <v>2455</v>
      </c>
      <c r="I894" s="2" t="s">
        <v>2456</v>
      </c>
      <c r="J894" s="2">
        <v>0.012499999999999999</v>
      </c>
      <c r="K894" s="1">
        <v>0.020833333333333332</v>
      </c>
      <c r="L894" s="1">
        <v>0.03333333333333333</v>
      </c>
      <c r="M894" s="1" t="s">
        <v>22</v>
      </c>
      <c r="N894" s="1" t="s">
        <v>32</v>
      </c>
      <c r="O894" s="1" t="s">
        <v>483</v>
      </c>
      <c r="P894" s="1" t="s">
        <v>484</v>
      </c>
      <c r="Q894" s="1">
        <v>44406</v>
      </c>
      <c r="R894" s="14">
        <v>5</v>
      </c>
      <c r="S894" s="1" t="s">
        <v>22</v>
      </c>
      <c r="T894" s="1" t="s">
        <v>22</v>
      </c>
      <c r="U894" s="1" t="s">
        <v>22</v>
      </c>
    </row>
    <row r="895" spans="1:21" x14ac:dyDescent="0.25">
      <c r="A895" s="1" t="s">
        <v>2457</v>
      </c>
      <c r="B895" s="2" t="s">
        <v>2315</v>
      </c>
      <c r="C895" s="1" t="s">
        <v>25</v>
      </c>
      <c r="D895" s="1" t="s">
        <v>2458</v>
      </c>
      <c r="E895" s="1" t="s">
        <v>27</v>
      </c>
      <c r="F895" s="1">
        <v>44411</v>
      </c>
      <c r="G895" s="14" t="s">
        <v>255</v>
      </c>
      <c r="H895" t="s">
        <v>2459</v>
      </c>
      <c r="I895" s="2" t="s">
        <v>2460</v>
      </c>
      <c r="J895" s="2">
        <v>0.03125</v>
      </c>
      <c r="K895" s="1">
        <v>0.03958333333333333</v>
      </c>
      <c r="L895" s="1">
        <v>0.07083333333333333</v>
      </c>
      <c r="M895" s="1" t="s">
        <v>22</v>
      </c>
      <c r="N895" s="1" t="s">
        <v>31</v>
      </c>
      <c r="O895" s="1" t="s">
        <v>32</v>
      </c>
      <c r="P895" s="1" t="s">
        <v>488</v>
      </c>
      <c r="Q895" s="1">
        <v>44411</v>
      </c>
      <c r="R895" s="14">
        <v>5</v>
      </c>
      <c r="S895" s="1" t="s">
        <v>22</v>
      </c>
      <c r="T895" s="1" t="s">
        <v>22</v>
      </c>
      <c r="U895" s="1" t="s">
        <v>22</v>
      </c>
    </row>
    <row r="896" spans="1:21" x14ac:dyDescent="0.25">
      <c r="A896" s="1" t="s">
        <v>2457</v>
      </c>
      <c r="B896" s="2" t="s">
        <v>35</v>
      </c>
      <c r="C896" s="1" t="s">
        <v>25</v>
      </c>
      <c r="D896" s="1" t="s">
        <v>2461</v>
      </c>
      <c r="E896" s="1" t="s">
        <v>27</v>
      </c>
      <c r="F896" s="1">
        <v>44420</v>
      </c>
      <c r="G896" s="14" t="s">
        <v>50</v>
      </c>
      <c r="H896" t="s">
        <v>2462</v>
      </c>
      <c r="I896" s="2" t="s">
        <v>2463</v>
      </c>
      <c r="J896" s="2">
        <v>0.006944444444444444</v>
      </c>
      <c r="K896" s="1">
        <v>0.019444444444444445</v>
      </c>
      <c r="L896" s="1">
        <v>0.02638888888888889</v>
      </c>
      <c r="M896" s="1" t="s">
        <v>22</v>
      </c>
      <c r="N896" s="1" t="s">
        <v>53</v>
      </c>
      <c r="O896" s="1" t="s">
        <v>483</v>
      </c>
      <c r="P896" s="1" t="s">
        <v>42</v>
      </c>
      <c r="Q896" s="1">
        <v>44420</v>
      </c>
      <c r="R896" s="14">
        <v>5</v>
      </c>
      <c r="S896" s="1" t="s">
        <v>22</v>
      </c>
      <c r="T896" s="1" t="s">
        <v>22</v>
      </c>
      <c r="U896" s="1" t="s">
        <v>22</v>
      </c>
    </row>
    <row r="897" spans="1:21" x14ac:dyDescent="0.25">
      <c r="A897" s="1" t="s">
        <v>2457</v>
      </c>
      <c r="B897" s="2" t="s">
        <v>35</v>
      </c>
      <c r="C897" s="1" t="s">
        <v>25</v>
      </c>
      <c r="D897" s="1" t="s">
        <v>2464</v>
      </c>
      <c r="E897" s="1" t="s">
        <v>27</v>
      </c>
      <c r="F897" s="1">
        <v>44424</v>
      </c>
      <c r="G897" s="14" t="s">
        <v>133</v>
      </c>
      <c r="H897" t="s">
        <v>2465</v>
      </c>
      <c r="I897" s="2" t="s">
        <v>2466</v>
      </c>
      <c r="J897" s="2">
        <v>0.01875</v>
      </c>
      <c r="K897" s="1">
        <v>0.02361111111111111</v>
      </c>
      <c r="L897" s="1">
        <v>0.04236111111111111</v>
      </c>
      <c r="M897" s="1" t="s">
        <v>22</v>
      </c>
      <c r="N897" s="1" t="s">
        <v>32</v>
      </c>
      <c r="O897" s="1" t="s">
        <v>483</v>
      </c>
      <c r="P897" s="1" t="s">
        <v>42</v>
      </c>
      <c r="Q897" s="1">
        <v>44424</v>
      </c>
      <c r="R897" s="14">
        <v>5</v>
      </c>
      <c r="S897" s="1" t="s">
        <v>22</v>
      </c>
      <c r="T897" s="1" t="s">
        <v>22</v>
      </c>
      <c r="U897" s="1" t="s">
        <v>22</v>
      </c>
    </row>
    <row r="898" spans="1:21" x14ac:dyDescent="0.25">
      <c r="A898" s="1" t="s">
        <v>2457</v>
      </c>
      <c r="B898" s="2" t="s">
        <v>616</v>
      </c>
      <c r="C898" s="1" t="s">
        <v>617</v>
      </c>
      <c r="D898" s="1" t="s">
        <v>2467</v>
      </c>
      <c r="E898" s="1" t="s">
        <v>27</v>
      </c>
      <c r="F898" s="1">
        <v>44428</v>
      </c>
      <c r="G898" s="14" t="s">
        <v>28</v>
      </c>
      <c r="H898" t="s">
        <v>2468</v>
      </c>
      <c r="I898" s="2" t="s">
        <v>2469</v>
      </c>
      <c r="J898" s="2">
        <v>0.01875</v>
      </c>
      <c r="K898" s="1">
        <v>0.06319444444444444</v>
      </c>
      <c r="L898" s="1">
        <v>0.08194444444444444</v>
      </c>
      <c r="M898" s="1" t="s">
        <v>22</v>
      </c>
      <c r="N898" s="1" t="s">
        <v>53</v>
      </c>
      <c r="O898" s="1" t="s">
        <v>32</v>
      </c>
      <c r="P898" s="1" t="s">
        <v>484</v>
      </c>
      <c r="Q898" s="1">
        <v>44429</v>
      </c>
      <c r="R898" s="14">
        <v>5</v>
      </c>
      <c r="S898" s="1" t="s">
        <v>22</v>
      </c>
      <c r="T898" s="1" t="s">
        <v>22</v>
      </c>
      <c r="U898" s="1" t="s">
        <v>22</v>
      </c>
    </row>
    <row r="899" spans="1:21" x14ac:dyDescent="0.25">
      <c r="A899" s="1" t="s">
        <v>2457</v>
      </c>
      <c r="B899" s="2" t="s">
        <v>185</v>
      </c>
      <c r="C899" s="1" t="s">
        <v>186</v>
      </c>
      <c r="D899" s="1" t="s">
        <v>2470</v>
      </c>
      <c r="E899" s="1" t="s">
        <v>27</v>
      </c>
      <c r="F899" s="1">
        <v>44432</v>
      </c>
      <c r="G899" s="14" t="s">
        <v>255</v>
      </c>
      <c r="H899" t="s">
        <v>2471</v>
      </c>
      <c r="I899" s="2" t="s">
        <v>2472</v>
      </c>
      <c r="J899" s="2">
        <v>0.01875</v>
      </c>
      <c r="K899" s="1">
        <v>0.05555555555555555</v>
      </c>
      <c r="L899" s="1">
        <v>0.07430555555555556</v>
      </c>
      <c r="M899" s="1" t="s">
        <v>22</v>
      </c>
      <c r="N899" s="1" t="s">
        <v>53</v>
      </c>
      <c r="O899" s="1" t="s">
        <v>483</v>
      </c>
      <c r="P899" s="1" t="s">
        <v>488</v>
      </c>
      <c r="Q899" s="1">
        <v>44432</v>
      </c>
      <c r="R899" s="14">
        <v>5</v>
      </c>
      <c r="S899" s="1" t="s">
        <v>22</v>
      </c>
      <c r="T899" s="1" t="s">
        <v>22</v>
      </c>
      <c r="U899" s="1" t="s">
        <v>22</v>
      </c>
    </row>
    <row r="900" spans="1:21" x14ac:dyDescent="0.25">
      <c r="A900" s="1" t="s">
        <v>2457</v>
      </c>
      <c r="B900" s="2" t="s">
        <v>2473</v>
      </c>
      <c r="C900" s="1" t="s">
        <v>1924</v>
      </c>
      <c r="D900" s="1" t="s">
        <v>2474</v>
      </c>
      <c r="E900" s="1" t="s">
        <v>27</v>
      </c>
      <c r="F900" s="1">
        <v>44432</v>
      </c>
      <c r="G900" s="14" t="s">
        <v>28</v>
      </c>
      <c r="H900" t="s">
        <v>2475</v>
      </c>
      <c r="I900" s="2" t="s">
        <v>2476</v>
      </c>
      <c r="J900" s="2">
        <v>0.01875</v>
      </c>
      <c r="K900" s="1">
        <v>0.052083333333333336</v>
      </c>
      <c r="L900" s="1">
        <v>0.07083333333333333</v>
      </c>
      <c r="M900" s="1" t="s">
        <v>22</v>
      </c>
      <c r="N900" s="1" t="s">
        <v>53</v>
      </c>
      <c r="O900" s="1" t="s">
        <v>483</v>
      </c>
      <c r="P900" s="1" t="s">
        <v>484</v>
      </c>
      <c r="Q900" s="1">
        <v>44432</v>
      </c>
      <c r="R900" s="14">
        <v>5</v>
      </c>
      <c r="S900" s="1" t="s">
        <v>22</v>
      </c>
      <c r="T900" s="1" t="s">
        <v>22</v>
      </c>
      <c r="U900" s="1" t="s">
        <v>22</v>
      </c>
    </row>
    <row r="901" spans="1:21" x14ac:dyDescent="0.25">
      <c r="A901" s="1" t="s">
        <v>2477</v>
      </c>
      <c r="B901" s="2" t="s">
        <v>2315</v>
      </c>
      <c r="C901" s="1" t="s">
        <v>25</v>
      </c>
      <c r="D901" s="1" t="s">
        <v>2458</v>
      </c>
      <c r="E901" s="1" t="s">
        <v>27</v>
      </c>
      <c r="F901" s="1">
        <v>44442</v>
      </c>
      <c r="G901" s="14" t="s">
        <v>255</v>
      </c>
      <c r="H901" t="s">
        <v>2478</v>
      </c>
      <c r="I901" s="2" t="s">
        <v>2479</v>
      </c>
      <c r="J901" s="2">
        <v>0.03125</v>
      </c>
      <c r="K901" s="1">
        <v>0.016666666666666666</v>
      </c>
      <c r="L901" s="1">
        <v>0.04791666666666666</v>
      </c>
      <c r="M901" s="1" t="s">
        <v>22</v>
      </c>
      <c r="N901" s="1" t="s">
        <v>31</v>
      </c>
      <c r="O901" s="1" t="s">
        <v>32</v>
      </c>
      <c r="P901" s="1" t="s">
        <v>484</v>
      </c>
      <c r="Q901" s="1">
        <v>44442</v>
      </c>
      <c r="R901" s="14">
        <v>5</v>
      </c>
      <c r="S901" s="1" t="s">
        <v>22</v>
      </c>
      <c r="T901" s="1" t="s">
        <v>22</v>
      </c>
      <c r="U901" s="1" t="s">
        <v>22</v>
      </c>
    </row>
    <row r="902" spans="1:21" x14ac:dyDescent="0.25">
      <c r="A902" s="1" t="s">
        <v>2477</v>
      </c>
      <c r="B902" s="2" t="s">
        <v>118</v>
      </c>
      <c r="C902" s="1" t="s">
        <v>25</v>
      </c>
      <c r="D902" s="1" t="s">
        <v>2480</v>
      </c>
      <c r="E902" s="1" t="s">
        <v>27</v>
      </c>
      <c r="F902" s="1">
        <v>44443</v>
      </c>
      <c r="G902" s="14" t="s">
        <v>38</v>
      </c>
      <c r="H902" t="s">
        <v>2481</v>
      </c>
      <c r="I902" s="2" t="s">
        <v>2482</v>
      </c>
      <c r="J902" s="2">
        <v>0.0625</v>
      </c>
      <c r="K902" s="1">
        <v>0.03888888888888889</v>
      </c>
      <c r="L902" s="1">
        <v>0.10138888888888889</v>
      </c>
      <c r="M902" s="1" t="s">
        <v>22</v>
      </c>
      <c r="N902" s="1" t="s">
        <v>574</v>
      </c>
      <c r="O902" s="1" t="s">
        <v>483</v>
      </c>
      <c r="P902" s="1" t="s">
        <v>484</v>
      </c>
      <c r="Q902" s="1">
        <v>44447</v>
      </c>
      <c r="R902" s="14">
        <v>4</v>
      </c>
      <c r="S902" s="1" t="s">
        <v>2483</v>
      </c>
      <c r="T902" s="1" t="s">
        <v>22</v>
      </c>
      <c r="U902" s="1" t="s">
        <v>22</v>
      </c>
    </row>
    <row r="903" spans="1:21" x14ac:dyDescent="0.25">
      <c r="A903" s="1" t="s">
        <v>2477</v>
      </c>
      <c r="B903" s="2" t="s">
        <v>616</v>
      </c>
      <c r="C903" s="1" t="s">
        <v>617</v>
      </c>
      <c r="D903" s="1" t="s">
        <v>2484</v>
      </c>
      <c r="E903" s="1" t="s">
        <v>27</v>
      </c>
      <c r="F903" s="1">
        <v>44452</v>
      </c>
      <c r="G903" s="14" t="s">
        <v>28</v>
      </c>
      <c r="H903" t="s">
        <v>2485</v>
      </c>
      <c r="I903" s="2" t="s">
        <v>2485</v>
      </c>
      <c r="J903" s="2">
        <v>0.020833333333333332</v>
      </c>
      <c r="K903" s="1">
        <v>0.061111111111111116</v>
      </c>
      <c r="L903" s="1">
        <v>0.08194444444444444</v>
      </c>
      <c r="M903" s="1" t="s">
        <v>22</v>
      </c>
      <c r="N903" s="1" t="s">
        <v>53</v>
      </c>
      <c r="O903" s="1" t="s">
        <v>32</v>
      </c>
      <c r="P903" s="1" t="s">
        <v>484</v>
      </c>
      <c r="Q903" s="1">
        <v>44452</v>
      </c>
      <c r="R903" s="14">
        <v>5</v>
      </c>
      <c r="S903" s="1" t="s">
        <v>22</v>
      </c>
      <c r="T903" s="1" t="s">
        <v>22</v>
      </c>
      <c r="U903" s="1" t="s">
        <v>22</v>
      </c>
    </row>
    <row r="904" spans="1:21" x14ac:dyDescent="0.25">
      <c r="A904" s="1" t="s">
        <v>2477</v>
      </c>
      <c r="B904" s="2" t="s">
        <v>163</v>
      </c>
      <c r="C904" s="1" t="s">
        <v>25</v>
      </c>
      <c r="D904" s="1" t="s">
        <v>2486</v>
      </c>
      <c r="E904" s="1" t="s">
        <v>27</v>
      </c>
      <c r="F904" s="1">
        <v>44452</v>
      </c>
      <c r="G904" s="14" t="s">
        <v>1368</v>
      </c>
      <c r="H904" t="s">
        <v>2487</v>
      </c>
      <c r="I904" s="2" t="s">
        <v>2488</v>
      </c>
      <c r="J904" s="2">
        <v>0.020833333333333332</v>
      </c>
      <c r="K904" s="1">
        <v>0.030555555555555555</v>
      </c>
      <c r="L904" s="1">
        <v>0.05138888888888889</v>
      </c>
      <c r="M904" s="1" t="s">
        <v>22</v>
      </c>
      <c r="N904" s="1" t="s">
        <v>53</v>
      </c>
      <c r="O904" s="1" t="s">
        <v>483</v>
      </c>
      <c r="P904" s="1" t="s">
        <v>488</v>
      </c>
      <c r="Q904" s="1">
        <v>44452</v>
      </c>
      <c r="R904" s="14">
        <v>5</v>
      </c>
      <c r="S904" s="1" t="s">
        <v>22</v>
      </c>
      <c r="T904" s="1" t="s">
        <v>22</v>
      </c>
      <c r="U904" s="1" t="s">
        <v>22</v>
      </c>
    </row>
    <row r="905" spans="1:21" x14ac:dyDescent="0.25">
      <c r="A905" s="1" t="s">
        <v>2477</v>
      </c>
      <c r="B905" s="2" t="s">
        <v>113</v>
      </c>
      <c r="C905" s="1" t="s">
        <v>25</v>
      </c>
      <c r="D905" s="1" t="s">
        <v>2489</v>
      </c>
      <c r="E905" s="1" t="s">
        <v>37</v>
      </c>
      <c r="F905" s="1">
        <v>44452</v>
      </c>
      <c r="G905" s="14" t="s">
        <v>28</v>
      </c>
      <c r="H905" t="s">
        <v>2490</v>
      </c>
      <c r="I905" s="2" t="s">
        <v>2491</v>
      </c>
      <c r="J905" s="2">
        <v>0.05694444444444444</v>
      </c>
      <c r="K905" s="1">
        <v>0.05833333333333333</v>
      </c>
      <c r="L905" s="1">
        <v>0.11527777777777777</v>
      </c>
      <c r="M905" s="1" t="s">
        <v>22</v>
      </c>
      <c r="N905" s="1" t="s">
        <v>483</v>
      </c>
      <c r="O905" s="1" t="s">
        <v>32</v>
      </c>
      <c r="P905" s="1" t="s">
        <v>484</v>
      </c>
      <c r="Q905" s="1">
        <v>44452</v>
      </c>
      <c r="R905" s="14">
        <v>5</v>
      </c>
      <c r="S905" s="1" t="s">
        <v>22</v>
      </c>
      <c r="T905" s="1" t="s">
        <v>22</v>
      </c>
      <c r="U905" s="1" t="s">
        <v>22</v>
      </c>
    </row>
    <row r="906" spans="1:21" x14ac:dyDescent="0.25">
      <c r="A906" s="1" t="s">
        <v>2477</v>
      </c>
      <c r="B906" s="2" t="s">
        <v>113</v>
      </c>
      <c r="C906" s="1" t="s">
        <v>25</v>
      </c>
      <c r="D906" s="1" t="s">
        <v>2492</v>
      </c>
      <c r="E906" s="1" t="s">
        <v>37</v>
      </c>
      <c r="F906" s="1">
        <v>44452</v>
      </c>
      <c r="G906" s="14" t="s">
        <v>28</v>
      </c>
      <c r="H906" t="s">
        <v>2493</v>
      </c>
      <c r="I906" s="2" t="s">
        <v>2494</v>
      </c>
      <c r="J906" s="2">
        <v>0.05555555555555555</v>
      </c>
      <c r="K906" s="1">
        <v>0.042361111111111106</v>
      </c>
      <c r="L906" s="1">
        <v>0.09791666666666665</v>
      </c>
      <c r="M906" s="1" t="s">
        <v>22</v>
      </c>
      <c r="N906" s="1" t="s">
        <v>31</v>
      </c>
      <c r="O906" s="1" t="s">
        <v>32</v>
      </c>
      <c r="P906" s="1" t="s">
        <v>484</v>
      </c>
      <c r="Q906" s="1">
        <v>44452</v>
      </c>
      <c r="R906" s="14">
        <v>5</v>
      </c>
      <c r="S906" s="1" t="s">
        <v>22</v>
      </c>
      <c r="T906" s="1" t="s">
        <v>22</v>
      </c>
      <c r="U906" s="1" t="s">
        <v>22</v>
      </c>
    </row>
    <row r="907" spans="1:21" x14ac:dyDescent="0.25">
      <c r="A907" s="1" t="s">
        <v>2477</v>
      </c>
      <c r="B907" s="2" t="s">
        <v>1442</v>
      </c>
      <c r="C907" s="1" t="s">
        <v>186</v>
      </c>
      <c r="D907" s="1" t="s">
        <v>2495</v>
      </c>
      <c r="E907" s="1" t="s">
        <v>27</v>
      </c>
      <c r="F907" s="1">
        <v>44457</v>
      </c>
      <c r="G907" s="14" t="s">
        <v>74</v>
      </c>
      <c r="H907" t="s">
        <v>2496</v>
      </c>
      <c r="I907" s="2" t="s">
        <v>2497</v>
      </c>
      <c r="J907" s="2">
        <v>0.024305555555555556</v>
      </c>
      <c r="K907" s="1">
        <v>0.017361111111111112</v>
      </c>
      <c r="L907" s="1">
        <v>0.04166666666666667</v>
      </c>
      <c r="M907" s="1" t="s">
        <v>22</v>
      </c>
      <c r="N907" s="1" t="s">
        <v>53</v>
      </c>
      <c r="O907" s="1" t="s">
        <v>32</v>
      </c>
      <c r="P907" s="1" t="s">
        <v>488</v>
      </c>
      <c r="Q907" s="1">
        <v>44457</v>
      </c>
      <c r="R907" s="14">
        <v>5</v>
      </c>
      <c r="S907" s="1" t="s">
        <v>22</v>
      </c>
      <c r="T907" s="1" t="s">
        <v>22</v>
      </c>
      <c r="U907" s="1" t="s">
        <v>22</v>
      </c>
    </row>
    <row r="908" spans="1:21" x14ac:dyDescent="0.25">
      <c r="A908" s="1" t="s">
        <v>2477</v>
      </c>
      <c r="B908" s="2" t="s">
        <v>185</v>
      </c>
      <c r="C908" s="1" t="s">
        <v>186</v>
      </c>
      <c r="D908" s="1" t="s">
        <v>2498</v>
      </c>
      <c r="E908" s="1" t="s">
        <v>27</v>
      </c>
      <c r="F908" s="1">
        <v>44457</v>
      </c>
      <c r="G908" s="14" t="s">
        <v>50</v>
      </c>
      <c r="H908" t="s">
        <v>2499</v>
      </c>
      <c r="I908" s="2" t="s">
        <v>2500</v>
      </c>
      <c r="J908" s="2">
        <v>0.03125</v>
      </c>
      <c r="K908" s="1">
        <v>0.019444444444444445</v>
      </c>
      <c r="L908" s="1">
        <v>0.050694444444444445</v>
      </c>
      <c r="M908" s="1" t="s">
        <v>22</v>
      </c>
      <c r="N908" s="1" t="s">
        <v>31</v>
      </c>
      <c r="O908" s="1" t="s">
        <v>32</v>
      </c>
      <c r="P908" s="1" t="s">
        <v>488</v>
      </c>
      <c r="Q908" s="1">
        <v>44457</v>
      </c>
      <c r="R908" s="14">
        <v>5</v>
      </c>
      <c r="S908" s="1" t="s">
        <v>22</v>
      </c>
      <c r="T908" s="1" t="s">
        <v>22</v>
      </c>
      <c r="U908" s="1" t="s">
        <v>22</v>
      </c>
    </row>
    <row r="909" spans="1:21" x14ac:dyDescent="0.25">
      <c r="A909" s="1" t="s">
        <v>2501</v>
      </c>
      <c r="B909" s="2" t="s">
        <v>489</v>
      </c>
      <c r="C909" s="1" t="s">
        <v>490</v>
      </c>
      <c r="D909" s="1" t="s">
        <v>2502</v>
      </c>
      <c r="E909" s="1" t="s">
        <v>37</v>
      </c>
      <c r="F909" s="1">
        <v>44470</v>
      </c>
      <c r="G909" s="14" t="s">
        <v>28</v>
      </c>
      <c r="H909" t="s">
        <v>2503</v>
      </c>
      <c r="I909" s="2" t="s">
        <v>2504</v>
      </c>
      <c r="J909" s="2">
        <v>0.052083333333333336</v>
      </c>
      <c r="K909" s="1">
        <v>0.07430555555555556</v>
      </c>
      <c r="L909" s="1">
        <v>0.12638888888888888</v>
      </c>
      <c r="M909" s="1" t="s">
        <v>22</v>
      </c>
      <c r="N909" s="1" t="s">
        <v>31</v>
      </c>
      <c r="O909" s="1" t="s">
        <v>483</v>
      </c>
      <c r="P909" s="1" t="s">
        <v>42</v>
      </c>
      <c r="Q909" s="1">
        <v>44470</v>
      </c>
      <c r="R909" s="14">
        <v>5</v>
      </c>
      <c r="S909" s="1" t="s">
        <v>22</v>
      </c>
      <c r="T909" s="1" t="s">
        <v>22</v>
      </c>
      <c r="U909" s="1" t="s">
        <v>22</v>
      </c>
    </row>
    <row r="910" spans="1:21" x14ac:dyDescent="0.25">
      <c r="A910" s="1" t="s">
        <v>2501</v>
      </c>
      <c r="B910" s="2" t="s">
        <v>185</v>
      </c>
      <c r="C910" s="1" t="s">
        <v>186</v>
      </c>
      <c r="D910" s="1" t="s">
        <v>2505</v>
      </c>
      <c r="E910" s="1" t="s">
        <v>37</v>
      </c>
      <c r="F910" s="1">
        <v>44473</v>
      </c>
      <c r="G910" s="14" t="s">
        <v>255</v>
      </c>
      <c r="H910" t="s">
        <v>2506</v>
      </c>
      <c r="I910" s="2" t="s">
        <v>2507</v>
      </c>
      <c r="J910" s="2">
        <v>0.03125</v>
      </c>
      <c r="K910" s="1">
        <v>0.029166666666666664</v>
      </c>
      <c r="L910" s="1">
        <v>0.06041666666666666</v>
      </c>
      <c r="M910" s="1" t="s">
        <v>22</v>
      </c>
      <c r="N910" s="1" t="s">
        <v>31</v>
      </c>
      <c r="O910" s="1" t="s">
        <v>483</v>
      </c>
      <c r="P910" s="1" t="s">
        <v>484</v>
      </c>
      <c r="Q910" s="1">
        <v>44473</v>
      </c>
      <c r="R910" s="14">
        <v>5</v>
      </c>
      <c r="S910" s="1" t="s">
        <v>22</v>
      </c>
      <c r="T910" s="1" t="s">
        <v>22</v>
      </c>
      <c r="U910" s="1" t="s">
        <v>22</v>
      </c>
    </row>
    <row r="911" spans="1:21" x14ac:dyDescent="0.25">
      <c r="A911" s="1" t="s">
        <v>2501</v>
      </c>
      <c r="B911" s="2" t="s">
        <v>199</v>
      </c>
      <c r="C911" s="1" t="s">
        <v>541</v>
      </c>
      <c r="D911" s="1" t="s">
        <v>2508</v>
      </c>
      <c r="E911" s="1" t="s">
        <v>37</v>
      </c>
      <c r="F911" s="1">
        <v>44474</v>
      </c>
      <c r="G911" s="14" t="s">
        <v>28</v>
      </c>
      <c r="H911" t="s">
        <v>2509</v>
      </c>
      <c r="I911" s="2" t="s">
        <v>2510</v>
      </c>
      <c r="J911" s="2">
        <v>0.041666666666666664</v>
      </c>
      <c r="K911" s="1">
        <v>0.05902777777777778</v>
      </c>
      <c r="L911" s="1">
        <v>0.10069444444444445</v>
      </c>
      <c r="M911" s="1" t="s">
        <v>22</v>
      </c>
      <c r="N911" s="1" t="s">
        <v>31</v>
      </c>
      <c r="O911" s="1" t="s">
        <v>32</v>
      </c>
      <c r="P911" s="1" t="s">
        <v>488</v>
      </c>
      <c r="Q911" s="1">
        <v>44474</v>
      </c>
      <c r="R911" s="14">
        <v>5</v>
      </c>
      <c r="S911" s="1" t="s">
        <v>22</v>
      </c>
      <c r="T911" s="1" t="s">
        <v>22</v>
      </c>
      <c r="U911" s="1" t="s">
        <v>22</v>
      </c>
    </row>
    <row r="912" spans="1:21" x14ac:dyDescent="0.25">
      <c r="A912" s="1" t="s">
        <v>2501</v>
      </c>
      <c r="B912" s="2" t="s">
        <v>185</v>
      </c>
      <c r="C912" s="1" t="s">
        <v>186</v>
      </c>
      <c r="D912" s="1" t="s">
        <v>2511</v>
      </c>
      <c r="E912" s="1" t="s">
        <v>27</v>
      </c>
      <c r="F912" s="1">
        <v>44475</v>
      </c>
      <c r="G912" s="14" t="s">
        <v>50</v>
      </c>
      <c r="H912" t="s">
        <v>2512</v>
      </c>
      <c r="I912" s="2" t="s">
        <v>2513</v>
      </c>
      <c r="J912" s="2">
        <v>0.010416666666666666</v>
      </c>
      <c r="K912" s="1">
        <v>0.020833333333333332</v>
      </c>
      <c r="L912" s="1">
        <v>0.03125</v>
      </c>
      <c r="M912" s="1" t="s">
        <v>22</v>
      </c>
      <c r="N912" s="1" t="s">
        <v>32</v>
      </c>
      <c r="O912" s="1" t="s">
        <v>483</v>
      </c>
      <c r="P912" s="1" t="s">
        <v>488</v>
      </c>
      <c r="Q912" s="1">
        <v>44475</v>
      </c>
      <c r="R912" s="14">
        <v>5</v>
      </c>
      <c r="S912" s="1" t="s">
        <v>22</v>
      </c>
      <c r="T912" s="1" t="s">
        <v>22</v>
      </c>
      <c r="U912" s="1" t="s">
        <v>22</v>
      </c>
    </row>
    <row r="913" spans="1:21" x14ac:dyDescent="0.25">
      <c r="A913" s="1" t="s">
        <v>2501</v>
      </c>
      <c r="B913" s="2" t="s">
        <v>2514</v>
      </c>
      <c r="C913" s="1" t="s">
        <v>285</v>
      </c>
      <c r="D913" s="1" t="s">
        <v>2515</v>
      </c>
      <c r="E913" s="1" t="s">
        <v>37</v>
      </c>
      <c r="F913" s="1">
        <v>44476</v>
      </c>
      <c r="G913" s="14" t="s">
        <v>255</v>
      </c>
      <c r="H913" t="s">
        <v>2516</v>
      </c>
      <c r="I913" s="2" t="s">
        <v>2517</v>
      </c>
      <c r="J913" s="2">
        <v>0.010416666666666666</v>
      </c>
      <c r="K913" s="1">
        <v>0.015972222222222224</v>
      </c>
      <c r="L913" s="1">
        <v>0.026388888888888892</v>
      </c>
      <c r="M913" s="1" t="s">
        <v>22</v>
      </c>
      <c r="N913" s="1" t="s">
        <v>31</v>
      </c>
      <c r="O913" s="1" t="s">
        <v>483</v>
      </c>
      <c r="P913" s="1" t="s">
        <v>488</v>
      </c>
      <c r="Q913" s="1">
        <v>44476</v>
      </c>
      <c r="R913" s="14">
        <v>5</v>
      </c>
      <c r="S913" s="1" t="s">
        <v>22</v>
      </c>
      <c r="T913" s="1" t="s">
        <v>22</v>
      </c>
      <c r="U913" s="1" t="s">
        <v>22</v>
      </c>
    </row>
    <row r="914" spans="1:21" x14ac:dyDescent="0.25">
      <c r="A914" s="1" t="s">
        <v>2501</v>
      </c>
      <c r="B914" s="2" t="s">
        <v>146</v>
      </c>
      <c r="C914" s="1" t="s">
        <v>186</v>
      </c>
      <c r="D914" s="1" t="s">
        <v>2518</v>
      </c>
      <c r="E914" s="1" t="s">
        <v>27</v>
      </c>
      <c r="F914" s="1">
        <v>44476</v>
      </c>
      <c r="G914" s="14" t="s">
        <v>255</v>
      </c>
      <c r="H914" t="s">
        <v>2519</v>
      </c>
      <c r="I914" s="2" t="s">
        <v>2520</v>
      </c>
      <c r="J914" s="2">
        <v>0.004166666666666667</v>
      </c>
      <c r="K914" s="1">
        <v>0.04305555555555556</v>
      </c>
      <c r="L914" s="1">
        <v>0.04722222222222223</v>
      </c>
      <c r="M914" s="1" t="s">
        <v>22</v>
      </c>
      <c r="N914" s="1" t="s">
        <v>32</v>
      </c>
      <c r="O914" s="1" t="s">
        <v>483</v>
      </c>
      <c r="P914" s="1" t="s">
        <v>488</v>
      </c>
      <c r="Q914" s="1">
        <v>44476</v>
      </c>
      <c r="R914" s="14">
        <v>5</v>
      </c>
      <c r="S914" s="1" t="s">
        <v>22</v>
      </c>
      <c r="T914" s="1" t="s">
        <v>22</v>
      </c>
      <c r="U914" s="1" t="s">
        <v>22</v>
      </c>
    </row>
    <row r="915" spans="1:21" x14ac:dyDescent="0.25">
      <c r="A915" s="1" t="s">
        <v>2501</v>
      </c>
      <c r="B915" s="2" t="s">
        <v>529</v>
      </c>
      <c r="C915" s="1" t="s">
        <v>1924</v>
      </c>
      <c r="D915" s="1" t="s">
        <v>2521</v>
      </c>
      <c r="E915" s="1" t="s">
        <v>27</v>
      </c>
      <c r="F915" s="1">
        <v>44477</v>
      </c>
      <c r="G915" s="14" t="s">
        <v>28</v>
      </c>
      <c r="H915" t="s">
        <v>2522</v>
      </c>
      <c r="I915" s="2" t="s">
        <v>2523</v>
      </c>
      <c r="J915" s="2">
        <v>0.020833333333333332</v>
      </c>
      <c r="K915" s="1" t="s">
        <v>22</v>
      </c>
      <c r="L915" s="1">
        <v>0.020833333333333332</v>
      </c>
      <c r="M915" s="1" t="s">
        <v>22</v>
      </c>
      <c r="N915" s="1" t="s">
        <v>53</v>
      </c>
      <c r="O915" s="1" t="s">
        <v>22</v>
      </c>
      <c r="P915" s="1" t="s">
        <v>484</v>
      </c>
      <c r="Q915" s="1">
        <v>44477</v>
      </c>
      <c r="R915" s="14" t="s">
        <v>22</v>
      </c>
      <c r="S915" s="1" t="s">
        <v>22</v>
      </c>
      <c r="T915" s="1" t="s">
        <v>22</v>
      </c>
      <c r="U915" s="1" t="s">
        <v>22</v>
      </c>
    </row>
    <row r="916" spans="1:21" x14ac:dyDescent="0.25">
      <c r="A916" s="1" t="s">
        <v>2501</v>
      </c>
      <c r="B916" s="2" t="s">
        <v>288</v>
      </c>
      <c r="C916" s="1" t="s">
        <v>25</v>
      </c>
      <c r="D916" s="1" t="s">
        <v>2524</v>
      </c>
      <c r="E916" s="1" t="s">
        <v>37</v>
      </c>
      <c r="F916" s="1">
        <v>44480</v>
      </c>
      <c r="G916" s="14" t="s">
        <v>50</v>
      </c>
      <c r="H916" t="s">
        <v>2525</v>
      </c>
      <c r="I916" s="2" t="s">
        <v>2526</v>
      </c>
      <c r="J916" s="2">
        <v>0.017361111111111112</v>
      </c>
      <c r="K916" s="1">
        <v>0.03125</v>
      </c>
      <c r="L916" s="1">
        <v>0.04861111111111111</v>
      </c>
      <c r="M916" s="1" t="s">
        <v>22</v>
      </c>
      <c r="N916" s="1" t="s">
        <v>32</v>
      </c>
      <c r="O916" s="1" t="s">
        <v>483</v>
      </c>
      <c r="P916" s="1" t="s">
        <v>488</v>
      </c>
      <c r="Q916" s="1">
        <v>44480</v>
      </c>
      <c r="R916" s="14">
        <v>5</v>
      </c>
      <c r="S916" s="1" t="s">
        <v>22</v>
      </c>
      <c r="T916" s="1" t="s">
        <v>22</v>
      </c>
      <c r="U916" s="1" t="s">
        <v>22</v>
      </c>
    </row>
    <row r="917" spans="1:21" x14ac:dyDescent="0.25">
      <c r="A917" s="1" t="s">
        <v>2501</v>
      </c>
      <c r="B917" s="2" t="s">
        <v>35</v>
      </c>
      <c r="C917" s="1" t="s">
        <v>25</v>
      </c>
      <c r="D917" s="1" t="s">
        <v>2527</v>
      </c>
      <c r="E917" s="1" t="s">
        <v>27</v>
      </c>
      <c r="F917" s="1">
        <v>44483</v>
      </c>
      <c r="G917" s="14" t="s">
        <v>28</v>
      </c>
      <c r="H917" t="s">
        <v>2528</v>
      </c>
      <c r="I917" s="2" t="s">
        <v>2529</v>
      </c>
      <c r="J917" s="2">
        <v>0</v>
      </c>
      <c r="K917" s="1">
        <v>0.03958333333333333</v>
      </c>
      <c r="L917" s="1">
        <v>0.03958333333333333</v>
      </c>
      <c r="M917" s="1" t="s">
        <v>22</v>
      </c>
      <c r="N917" s="1" t="s">
        <v>53</v>
      </c>
      <c r="O917" s="1" t="s">
        <v>483</v>
      </c>
      <c r="P917" s="1" t="s">
        <v>42</v>
      </c>
      <c r="Q917" s="1">
        <v>44487</v>
      </c>
      <c r="R917" s="14">
        <v>5</v>
      </c>
      <c r="S917" s="1" t="s">
        <v>22</v>
      </c>
      <c r="T917" s="1" t="s">
        <v>22</v>
      </c>
      <c r="U917" s="1" t="s">
        <v>22</v>
      </c>
    </row>
    <row r="918" spans="1:21" x14ac:dyDescent="0.25">
      <c r="A918" s="1" t="s">
        <v>2501</v>
      </c>
      <c r="B918" s="2" t="s">
        <v>35</v>
      </c>
      <c r="C918" s="1" t="s">
        <v>25</v>
      </c>
      <c r="D918" s="1" t="s">
        <v>2530</v>
      </c>
      <c r="E918" s="1" t="s">
        <v>37</v>
      </c>
      <c r="F918" s="1">
        <v>44489</v>
      </c>
      <c r="G918" s="14" t="s">
        <v>74</v>
      </c>
      <c r="H918" t="s">
        <v>2531</v>
      </c>
      <c r="I918" s="2" t="s">
        <v>2532</v>
      </c>
      <c r="J918" s="2">
        <v>0.017361111111111112</v>
      </c>
      <c r="K918" s="1">
        <v>0.027777777777777776</v>
      </c>
      <c r="L918" s="1">
        <v>0.04513888888888889</v>
      </c>
      <c r="M918" s="1" t="s">
        <v>22</v>
      </c>
      <c r="N918" s="1" t="s">
        <v>31</v>
      </c>
      <c r="O918" s="1" t="s">
        <v>483</v>
      </c>
      <c r="P918" s="1" t="s">
        <v>42</v>
      </c>
      <c r="Q918" s="1">
        <v>44489</v>
      </c>
      <c r="R918" s="14">
        <v>5</v>
      </c>
      <c r="S918" s="1" t="s">
        <v>22</v>
      </c>
      <c r="T918" s="1" t="s">
        <v>22</v>
      </c>
      <c r="U918" s="1" t="s">
        <v>22</v>
      </c>
    </row>
    <row r="919" spans="1:21" x14ac:dyDescent="0.25">
      <c r="A919" s="1" t="s">
        <v>2501</v>
      </c>
      <c r="B919" s="2" t="s">
        <v>163</v>
      </c>
      <c r="C919" s="1" t="s">
        <v>25</v>
      </c>
      <c r="D919" s="1" t="s">
        <v>2486</v>
      </c>
      <c r="E919" s="1" t="s">
        <v>27</v>
      </c>
      <c r="F919" s="1">
        <v>44494</v>
      </c>
      <c r="G919" s="14" t="s">
        <v>28</v>
      </c>
      <c r="H919" t="s">
        <v>2533</v>
      </c>
      <c r="I919" s="2" t="s">
        <v>2534</v>
      </c>
      <c r="J919" s="2">
        <v>0.013888888888888888</v>
      </c>
      <c r="K919" s="1">
        <v>0.003472222222222222</v>
      </c>
      <c r="L919" s="1">
        <v>0.017361111111111112</v>
      </c>
      <c r="M919" s="1" t="s">
        <v>22</v>
      </c>
      <c r="N919" s="1" t="s">
        <v>54</v>
      </c>
      <c r="O919" s="1" t="s">
        <v>2358</v>
      </c>
      <c r="P919" s="1" t="s">
        <v>488</v>
      </c>
      <c r="Q919" s="1">
        <v>44494</v>
      </c>
      <c r="R919" s="14">
        <v>5</v>
      </c>
      <c r="S919" s="1" t="s">
        <v>22</v>
      </c>
      <c r="T919" s="1" t="s">
        <v>22</v>
      </c>
      <c r="U919" s="1" t="s">
        <v>22</v>
      </c>
    </row>
    <row r="920" spans="1:21" x14ac:dyDescent="0.25">
      <c r="A920" s="1" t="s">
        <v>2535</v>
      </c>
      <c r="B920" s="2" t="s">
        <v>2514</v>
      </c>
      <c r="C920" s="1" t="s">
        <v>285</v>
      </c>
      <c r="D920" s="1" t="s">
        <v>2536</v>
      </c>
      <c r="E920" s="1" t="s">
        <v>27</v>
      </c>
      <c r="F920" s="1">
        <v>44501</v>
      </c>
      <c r="G920" s="14" t="s">
        <v>50</v>
      </c>
      <c r="H920" t="s">
        <v>2537</v>
      </c>
      <c r="I920" s="2" t="s">
        <v>2538</v>
      </c>
      <c r="J920" s="2">
        <v>0.020833333333333332</v>
      </c>
      <c r="K920" s="1">
        <v>0.017361111111111112</v>
      </c>
      <c r="L920" s="1">
        <v>0.03819444444444445</v>
      </c>
      <c r="M920" s="1" t="s">
        <v>22</v>
      </c>
      <c r="N920" s="1" t="s">
        <v>53</v>
      </c>
      <c r="O920" s="1" t="s">
        <v>32</v>
      </c>
      <c r="P920" s="1" t="s">
        <v>488</v>
      </c>
      <c r="Q920" s="1">
        <v>44502</v>
      </c>
      <c r="R920" s="14">
        <v>5</v>
      </c>
      <c r="S920" s="1" t="s">
        <v>22</v>
      </c>
      <c r="T920" s="1" t="s">
        <v>22</v>
      </c>
      <c r="U920" s="1" t="s">
        <v>22</v>
      </c>
    </row>
    <row r="921" spans="1:21" x14ac:dyDescent="0.25">
      <c r="A921" s="1" t="s">
        <v>2535</v>
      </c>
      <c r="B921" s="2" t="s">
        <v>113</v>
      </c>
      <c r="C921" s="1" t="s">
        <v>25</v>
      </c>
      <c r="D921" s="1" t="s">
        <v>2539</v>
      </c>
      <c r="E921" s="1" t="s">
        <v>27</v>
      </c>
      <c r="F921" s="1">
        <v>44505</v>
      </c>
      <c r="G921" s="14" t="s">
        <v>28</v>
      </c>
      <c r="H921" t="s">
        <v>2540</v>
      </c>
      <c r="I921" s="2" t="s">
        <v>2541</v>
      </c>
      <c r="J921" s="2">
        <v>0.027777777777777776</v>
      </c>
      <c r="K921" s="1">
        <v>0.03125</v>
      </c>
      <c r="L921" s="1">
        <v>0.059027777777777776</v>
      </c>
      <c r="M921" s="1" t="s">
        <v>22</v>
      </c>
      <c r="N921" s="1" t="s">
        <v>32</v>
      </c>
      <c r="O921" s="1" t="s">
        <v>483</v>
      </c>
      <c r="P921" s="1" t="s">
        <v>484</v>
      </c>
      <c r="Q921" s="1">
        <v>44505</v>
      </c>
      <c r="R921" s="14">
        <v>5</v>
      </c>
      <c r="S921" s="1" t="s">
        <v>22</v>
      </c>
      <c r="T921" s="1" t="s">
        <v>22</v>
      </c>
      <c r="U921" s="1" t="s">
        <v>22</v>
      </c>
    </row>
    <row r="922" spans="1:21" x14ac:dyDescent="0.25">
      <c r="A922" s="1" t="s">
        <v>2535</v>
      </c>
      <c r="B922" s="2" t="s">
        <v>2542</v>
      </c>
      <c r="C922" s="1" t="s">
        <v>989</v>
      </c>
      <c r="D922" s="1" t="s">
        <v>2543</v>
      </c>
      <c r="E922" s="1" t="s">
        <v>27</v>
      </c>
      <c r="F922" s="1">
        <v>44505</v>
      </c>
      <c r="G922" s="14" t="s">
        <v>38</v>
      </c>
      <c r="H922" t="s">
        <v>2544</v>
      </c>
      <c r="I922" s="2" t="s">
        <v>2545</v>
      </c>
      <c r="J922" s="2">
        <v>0.020833333333333332</v>
      </c>
      <c r="K922" s="1">
        <v>0.027777777777777776</v>
      </c>
      <c r="L922" s="1">
        <v>0.048611111111111105</v>
      </c>
      <c r="M922" s="1" t="s">
        <v>22</v>
      </c>
      <c r="N922" s="1" t="s">
        <v>53</v>
      </c>
      <c r="O922" s="1" t="s">
        <v>483</v>
      </c>
      <c r="P922" s="1" t="s">
        <v>484</v>
      </c>
      <c r="Q922" s="1">
        <v>44505</v>
      </c>
      <c r="R922" s="14">
        <v>5</v>
      </c>
      <c r="S922" s="1" t="s">
        <v>22</v>
      </c>
      <c r="T922" s="1" t="s">
        <v>22</v>
      </c>
      <c r="U922" s="1" t="s">
        <v>22</v>
      </c>
    </row>
    <row r="923" spans="1:21" x14ac:dyDescent="0.25">
      <c r="A923" s="1" t="s">
        <v>2535</v>
      </c>
      <c r="B923" s="2" t="s">
        <v>529</v>
      </c>
      <c r="C923" s="1" t="s">
        <v>1924</v>
      </c>
      <c r="D923" s="1" t="s">
        <v>2546</v>
      </c>
      <c r="E923" s="1" t="s">
        <v>27</v>
      </c>
      <c r="F923" s="1">
        <v>44516</v>
      </c>
      <c r="G923" s="14" t="s">
        <v>28</v>
      </c>
      <c r="H923" t="s">
        <v>2547</v>
      </c>
      <c r="I923" s="2" t="s">
        <v>2548</v>
      </c>
      <c r="J923" s="2">
        <v>0.03125</v>
      </c>
      <c r="K923" s="1">
        <v>0.025694444444444447</v>
      </c>
      <c r="L923" s="1">
        <v>0.05694444444444445</v>
      </c>
      <c r="M923" s="1" t="s">
        <v>22</v>
      </c>
      <c r="N923" s="1" t="s">
        <v>32</v>
      </c>
      <c r="O923" s="1" t="s">
        <v>483</v>
      </c>
      <c r="P923" s="1" t="s">
        <v>484</v>
      </c>
      <c r="Q923" s="1">
        <v>44516</v>
      </c>
      <c r="R923" s="14">
        <v>5</v>
      </c>
      <c r="S923" s="1" t="s">
        <v>22</v>
      </c>
      <c r="T923" s="1" t="s">
        <v>22</v>
      </c>
      <c r="U923" s="1" t="s">
        <v>22</v>
      </c>
    </row>
    <row r="924" spans="1:21" x14ac:dyDescent="0.25">
      <c r="A924" s="1" t="s">
        <v>2535</v>
      </c>
      <c r="B924" s="2" t="s">
        <v>113</v>
      </c>
      <c r="C924" s="1" t="s">
        <v>25</v>
      </c>
      <c r="D924" s="1" t="s">
        <v>2549</v>
      </c>
      <c r="E924" s="1" t="s">
        <v>37</v>
      </c>
      <c r="F924" s="1">
        <v>44519</v>
      </c>
      <c r="G924" s="14" t="s">
        <v>953</v>
      </c>
      <c r="H924" t="s">
        <v>2550</v>
      </c>
      <c r="I924" s="2" t="s">
        <v>2551</v>
      </c>
      <c r="J924" s="2">
        <v>0.024305555555555556</v>
      </c>
      <c r="K924" s="1" t="s">
        <v>22</v>
      </c>
      <c r="L924" s="1">
        <v>0.024305555555555556</v>
      </c>
      <c r="M924" s="1" t="s">
        <v>22</v>
      </c>
      <c r="N924" s="1" t="s">
        <v>53</v>
      </c>
      <c r="O924" s="1" t="s">
        <v>22</v>
      </c>
      <c r="P924" s="1" t="s">
        <v>484</v>
      </c>
      <c r="Q924" s="1">
        <v>44519</v>
      </c>
      <c r="R924" s="14">
        <v>5</v>
      </c>
      <c r="S924" s="1" t="s">
        <v>22</v>
      </c>
      <c r="T924" s="1" t="s">
        <v>22</v>
      </c>
      <c r="U924" s="1" t="s">
        <v>22</v>
      </c>
    </row>
    <row r="925" spans="1:21" x14ac:dyDescent="0.25">
      <c r="A925" s="1" t="s">
        <v>2535</v>
      </c>
      <c r="B925" s="2" t="s">
        <v>2315</v>
      </c>
      <c r="C925" s="1" t="s">
        <v>25</v>
      </c>
      <c r="D925" s="1" t="s">
        <v>2552</v>
      </c>
      <c r="E925" s="1" t="s">
        <v>37</v>
      </c>
      <c r="F925" s="1">
        <v>44523</v>
      </c>
      <c r="G925" s="14" t="s">
        <v>74</v>
      </c>
      <c r="H925" t="s">
        <v>2553</v>
      </c>
      <c r="I925" s="2" t="s">
        <v>2554</v>
      </c>
      <c r="J925" s="2">
        <v>0.020833333333333332</v>
      </c>
      <c r="K925" s="1">
        <v>0.017361111111111112</v>
      </c>
      <c r="L925" s="1">
        <v>0.03819444444444445</v>
      </c>
      <c r="M925" s="1" t="s">
        <v>22</v>
      </c>
      <c r="N925" s="1" t="s">
        <v>53</v>
      </c>
      <c r="O925" s="1" t="s">
        <v>483</v>
      </c>
      <c r="P925" s="1" t="s">
        <v>484</v>
      </c>
      <c r="Q925" s="1">
        <v>44523</v>
      </c>
      <c r="R925" s="14">
        <v>5</v>
      </c>
      <c r="S925" s="1" t="s">
        <v>22</v>
      </c>
      <c r="T925" s="1" t="s">
        <v>22</v>
      </c>
      <c r="U925" s="1" t="s">
        <v>22</v>
      </c>
    </row>
    <row r="926" spans="1:21" x14ac:dyDescent="0.25">
      <c r="A926" s="1" t="s">
        <v>2535</v>
      </c>
      <c r="B926" s="2" t="s">
        <v>185</v>
      </c>
      <c r="C926" s="1" t="s">
        <v>186</v>
      </c>
      <c r="D926" s="1" t="s">
        <v>2555</v>
      </c>
      <c r="E926" s="1" t="s">
        <v>37</v>
      </c>
      <c r="F926" s="1">
        <v>44523</v>
      </c>
      <c r="G926" s="14" t="s">
        <v>38</v>
      </c>
      <c r="H926" t="s">
        <v>2556</v>
      </c>
      <c r="I926" s="2" t="s">
        <v>2557</v>
      </c>
      <c r="J926" s="2">
        <v>0.06736111111111111</v>
      </c>
      <c r="K926" s="1">
        <v>0.034722222222222224</v>
      </c>
      <c r="L926" s="1">
        <v>0.10208333333333333</v>
      </c>
      <c r="M926" s="1" t="s">
        <v>22</v>
      </c>
      <c r="N926" s="1" t="s">
        <v>31</v>
      </c>
      <c r="O926" s="1" t="s">
        <v>32</v>
      </c>
      <c r="P926" s="1" t="s">
        <v>488</v>
      </c>
      <c r="Q926" s="1">
        <v>44523</v>
      </c>
      <c r="R926" s="14">
        <v>5</v>
      </c>
      <c r="S926" s="1" t="s">
        <v>22</v>
      </c>
      <c r="T926" s="1" t="s">
        <v>22</v>
      </c>
      <c r="U926" s="1" t="s">
        <v>22</v>
      </c>
    </row>
    <row r="927" spans="1:21" x14ac:dyDescent="0.25">
      <c r="A927" s="1" t="s">
        <v>2535</v>
      </c>
      <c r="B927" s="2" t="s">
        <v>43</v>
      </c>
      <c r="C927" s="1" t="s">
        <v>44</v>
      </c>
      <c r="D927" s="1" t="s">
        <v>2558</v>
      </c>
      <c r="E927" s="1" t="s">
        <v>27</v>
      </c>
      <c r="F927" s="1">
        <v>44525</v>
      </c>
      <c r="G927" s="14" t="s">
        <v>74</v>
      </c>
      <c r="H927" t="s">
        <v>2559</v>
      </c>
      <c r="I927" s="2" t="s">
        <v>2560</v>
      </c>
      <c r="J927" s="2">
        <v>0.03125</v>
      </c>
      <c r="K927" s="1">
        <v>0.03333333333333333</v>
      </c>
      <c r="L927" s="1">
        <v>0.06458333333333333</v>
      </c>
      <c r="M927" s="1" t="s">
        <v>22</v>
      </c>
      <c r="N927" s="1" t="s">
        <v>31</v>
      </c>
      <c r="O927" s="1" t="s">
        <v>483</v>
      </c>
      <c r="P927" s="1" t="s">
        <v>484</v>
      </c>
      <c r="Q927" s="1">
        <v>44525</v>
      </c>
      <c r="R927" s="14">
        <v>5</v>
      </c>
      <c r="S927" s="1" t="s">
        <v>22</v>
      </c>
      <c r="T927" s="1" t="s">
        <v>22</v>
      </c>
      <c r="U927" s="1" t="s">
        <v>22</v>
      </c>
    </row>
    <row r="928" spans="1:21" x14ac:dyDescent="0.25">
      <c r="A928" s="1" t="s">
        <v>2535</v>
      </c>
      <c r="B928" s="2" t="s">
        <v>259</v>
      </c>
      <c r="C928" s="1" t="s">
        <v>25</v>
      </c>
      <c r="D928" s="1" t="s">
        <v>2561</v>
      </c>
      <c r="E928" s="1" t="s">
        <v>27</v>
      </c>
      <c r="F928" s="1">
        <v>44526</v>
      </c>
      <c r="G928" s="14" t="s">
        <v>1073</v>
      </c>
      <c r="H928" t="s">
        <v>2562</v>
      </c>
      <c r="I928" s="2" t="s">
        <v>2563</v>
      </c>
      <c r="J928" s="2">
        <v>0.020833333333333332</v>
      </c>
      <c r="K928" s="1">
        <v>0.017361111111111112</v>
      </c>
      <c r="L928" s="1">
        <v>0.03819444444444445</v>
      </c>
      <c r="M928" s="1" t="s">
        <v>22</v>
      </c>
      <c r="N928" s="1" t="s">
        <v>53</v>
      </c>
      <c r="O928" s="1" t="s">
        <v>32</v>
      </c>
      <c r="P928" s="1" t="s">
        <v>42</v>
      </c>
      <c r="Q928" s="1">
        <v>44526</v>
      </c>
      <c r="R928" s="14">
        <v>5</v>
      </c>
      <c r="S928" s="1" t="s">
        <v>22</v>
      </c>
      <c r="T928" s="1" t="s">
        <v>22</v>
      </c>
      <c r="U928" s="1" t="s">
        <v>22</v>
      </c>
    </row>
    <row r="929" spans="1:21" x14ac:dyDescent="0.25">
      <c r="A929" s="1" t="s">
        <v>2535</v>
      </c>
      <c r="B929" s="2" t="s">
        <v>113</v>
      </c>
      <c r="C929" s="1" t="s">
        <v>25</v>
      </c>
      <c r="D929" s="1" t="s">
        <v>2564</v>
      </c>
      <c r="E929" s="1" t="s">
        <v>27</v>
      </c>
      <c r="F929" s="1">
        <v>44530</v>
      </c>
      <c r="G929" s="14" t="s">
        <v>28</v>
      </c>
      <c r="H929" t="s">
        <v>2565</v>
      </c>
      <c r="I929" s="2" t="s">
        <v>2566</v>
      </c>
      <c r="J929" s="2">
        <v>0.010416666666666666</v>
      </c>
      <c r="K929" s="1">
        <v>0.011111111111111112</v>
      </c>
      <c r="L929" s="1">
        <v>0.021527777777777778</v>
      </c>
      <c r="M929" s="1" t="s">
        <v>22</v>
      </c>
      <c r="N929" s="1" t="s">
        <v>32</v>
      </c>
      <c r="O929" s="1" t="s">
        <v>483</v>
      </c>
      <c r="P929" s="1" t="s">
        <v>484</v>
      </c>
      <c r="Q929" s="1">
        <v>44530</v>
      </c>
      <c r="R929" s="14" t="s">
        <v>22</v>
      </c>
      <c r="S929" s="1" t="s">
        <v>22</v>
      </c>
      <c r="T929" s="1" t="s">
        <v>22</v>
      </c>
      <c r="U929" s="1" t="s">
        <v>22</v>
      </c>
    </row>
    <row r="930" spans="1:21" x14ac:dyDescent="0.25">
      <c r="A930" s="1" t="s">
        <v>2567</v>
      </c>
      <c r="B930" s="2" t="s">
        <v>489</v>
      </c>
      <c r="C930" s="1" t="s">
        <v>490</v>
      </c>
      <c r="D930" s="1" t="s">
        <v>2568</v>
      </c>
      <c r="E930" s="1" t="s">
        <v>27</v>
      </c>
      <c r="F930" s="1">
        <v>44532</v>
      </c>
      <c r="G930" s="14" t="s">
        <v>28</v>
      </c>
      <c r="H930" t="s">
        <v>2569</v>
      </c>
      <c r="I930" s="2" t="s">
        <v>2569</v>
      </c>
      <c r="J930" s="2">
        <v>0.03125</v>
      </c>
      <c r="K930" s="1">
        <v>0.04861111111111111</v>
      </c>
      <c r="L930" s="1">
        <v>0.0798611111111111</v>
      </c>
      <c r="M930" s="1" t="s">
        <v>22</v>
      </c>
      <c r="N930" s="1" t="s">
        <v>31</v>
      </c>
      <c r="O930" s="1" t="s">
        <v>32</v>
      </c>
      <c r="P930" s="1" t="s">
        <v>42</v>
      </c>
      <c r="Q930" s="1">
        <v>44532</v>
      </c>
      <c r="R930" s="14">
        <v>5</v>
      </c>
      <c r="S930" s="1" t="s">
        <v>22</v>
      </c>
      <c r="T930" s="1" t="s">
        <v>22</v>
      </c>
      <c r="U930" s="1" t="s">
        <v>22</v>
      </c>
    </row>
    <row r="931" spans="1:21" x14ac:dyDescent="0.25">
      <c r="A931" s="1" t="s">
        <v>2567</v>
      </c>
      <c r="B931" s="2" t="s">
        <v>1047</v>
      </c>
      <c r="C931" s="1" t="s">
        <v>989</v>
      </c>
      <c r="D931" s="1" t="s">
        <v>2570</v>
      </c>
      <c r="E931" s="1" t="s">
        <v>37</v>
      </c>
      <c r="F931" s="1">
        <v>44538</v>
      </c>
      <c r="G931" s="14" t="s">
        <v>38</v>
      </c>
      <c r="H931" t="s">
        <v>2571</v>
      </c>
      <c r="I931" s="2" t="s">
        <v>2572</v>
      </c>
      <c r="J931" s="2">
        <v>0.07291666666666667</v>
      </c>
      <c r="K931" s="1">
        <v>0.04513888888888889</v>
      </c>
      <c r="L931" s="1">
        <v>0.11805555555555555</v>
      </c>
      <c r="M931" s="1" t="s">
        <v>22</v>
      </c>
      <c r="N931" s="1" t="s">
        <v>31</v>
      </c>
      <c r="O931" s="1" t="s">
        <v>483</v>
      </c>
      <c r="P931" s="1" t="s">
        <v>484</v>
      </c>
      <c r="Q931" s="1">
        <v>44538</v>
      </c>
      <c r="R931" s="14">
        <v>5</v>
      </c>
      <c r="S931" s="1" t="s">
        <v>22</v>
      </c>
      <c r="T931" s="1" t="s">
        <v>22</v>
      </c>
      <c r="U931" s="1" t="s">
        <v>22</v>
      </c>
    </row>
    <row r="932" spans="1:21" x14ac:dyDescent="0.25">
      <c r="A932" s="1" t="s">
        <v>2567</v>
      </c>
      <c r="B932" s="2" t="s">
        <v>1235</v>
      </c>
      <c r="C932" s="1" t="s">
        <v>1236</v>
      </c>
      <c r="D932" s="1" t="s">
        <v>2573</v>
      </c>
      <c r="E932" s="1" t="s">
        <v>27</v>
      </c>
      <c r="F932" s="1">
        <v>44539</v>
      </c>
      <c r="G932" s="14" t="s">
        <v>28</v>
      </c>
      <c r="H932" t="s">
        <v>2574</v>
      </c>
      <c r="I932" s="2" t="s">
        <v>2575</v>
      </c>
      <c r="J932" s="2">
        <v>0.020833333333333332</v>
      </c>
      <c r="K932" s="1" t="s">
        <v>22</v>
      </c>
      <c r="L932" s="1">
        <v>0.020833333333333332</v>
      </c>
      <c r="M932" s="1" t="s">
        <v>22</v>
      </c>
      <c r="N932" s="1" t="s">
        <v>53</v>
      </c>
      <c r="O932" s="1" t="s">
        <v>22</v>
      </c>
      <c r="P932" s="1" t="s">
        <v>42</v>
      </c>
      <c r="Q932" s="1">
        <v>44539</v>
      </c>
      <c r="R932" s="14">
        <v>5</v>
      </c>
      <c r="S932" s="1" t="s">
        <v>22</v>
      </c>
      <c r="T932" s="1" t="s">
        <v>22</v>
      </c>
      <c r="U932" s="1" t="s">
        <v>22</v>
      </c>
    </row>
    <row r="933" spans="1:21" x14ac:dyDescent="0.25">
      <c r="A933" s="1" t="s">
        <v>2567</v>
      </c>
      <c r="B933" s="2" t="s">
        <v>286</v>
      </c>
      <c r="C933" s="1" t="s">
        <v>287</v>
      </c>
      <c r="D933" s="1" t="s">
        <v>2576</v>
      </c>
      <c r="E933" s="1" t="s">
        <v>27</v>
      </c>
      <c r="F933" s="1">
        <v>44539</v>
      </c>
      <c r="G933" s="14" t="s">
        <v>50</v>
      </c>
      <c r="H933" t="s">
        <v>2577</v>
      </c>
      <c r="I933" s="2" t="s">
        <v>2578</v>
      </c>
      <c r="J933" s="2">
        <v>0.020833333333333332</v>
      </c>
      <c r="K933" s="1">
        <v>0.011805555555555555</v>
      </c>
      <c r="L933" s="1">
        <v>0.032638888888888884</v>
      </c>
      <c r="M933" s="1" t="s">
        <v>22</v>
      </c>
      <c r="N933" s="1" t="s">
        <v>53</v>
      </c>
      <c r="O933" s="1" t="s">
        <v>483</v>
      </c>
      <c r="P933" s="1" t="s">
        <v>484</v>
      </c>
      <c r="Q933" s="1">
        <v>44539</v>
      </c>
      <c r="R933" s="14">
        <v>5</v>
      </c>
      <c r="S933" s="1" t="s">
        <v>22</v>
      </c>
      <c r="T933" s="1" t="s">
        <v>22</v>
      </c>
      <c r="U933" s="1" t="s">
        <v>22</v>
      </c>
    </row>
    <row r="934" spans="1:21" x14ac:dyDescent="0.25">
      <c r="A934" s="1" t="s">
        <v>2567</v>
      </c>
      <c r="B934" s="2" t="s">
        <v>525</v>
      </c>
      <c r="C934" s="1" t="s">
        <v>25</v>
      </c>
      <c r="D934" s="1" t="s">
        <v>2579</v>
      </c>
      <c r="E934" s="1" t="s">
        <v>27</v>
      </c>
      <c r="F934" s="1">
        <v>44540</v>
      </c>
      <c r="G934" s="14" t="s">
        <v>74</v>
      </c>
      <c r="H934" t="s">
        <v>2580</v>
      </c>
      <c r="I934" s="2" t="s">
        <v>2581</v>
      </c>
      <c r="J934" s="2">
        <v>0.020833333333333332</v>
      </c>
      <c r="K934" s="1">
        <v>0.027777777777777776</v>
      </c>
      <c r="L934" s="1">
        <v>0.048611111111111105</v>
      </c>
      <c r="M934" s="1" t="s">
        <v>22</v>
      </c>
      <c r="N934" s="1" t="s">
        <v>53</v>
      </c>
      <c r="O934" s="1" t="s">
        <v>483</v>
      </c>
      <c r="P934" s="1" t="s">
        <v>484</v>
      </c>
      <c r="Q934" s="1">
        <v>44540</v>
      </c>
      <c r="R934" s="14">
        <v>5</v>
      </c>
      <c r="S934" s="1" t="s">
        <v>22</v>
      </c>
      <c r="T934" s="1" t="s">
        <v>22</v>
      </c>
      <c r="U934" s="1" t="s">
        <v>22</v>
      </c>
    </row>
    <row r="935" spans="1:21" x14ac:dyDescent="0.25">
      <c r="A935" s="1" t="s">
        <v>2567</v>
      </c>
      <c r="B935" s="2" t="s">
        <v>2582</v>
      </c>
      <c r="C935" s="1" t="s">
        <v>25</v>
      </c>
      <c r="D935" s="1" t="s">
        <v>2583</v>
      </c>
      <c r="E935" s="1" t="s">
        <v>27</v>
      </c>
      <c r="F935" s="1">
        <v>44544</v>
      </c>
      <c r="G935" s="14" t="s">
        <v>255</v>
      </c>
      <c r="H935" t="s">
        <v>2584</v>
      </c>
      <c r="I935" s="2" t="s">
        <v>2585</v>
      </c>
      <c r="J935" s="2">
        <v>0.006944444444444444</v>
      </c>
      <c r="K935" s="1">
        <v>0.019444444444444445</v>
      </c>
      <c r="L935" s="1">
        <v>0.02638888888888889</v>
      </c>
      <c r="M935" s="1" t="s">
        <v>22</v>
      </c>
      <c r="N935" s="1" t="s">
        <v>32</v>
      </c>
      <c r="O935" s="1" t="s">
        <v>483</v>
      </c>
      <c r="P935" s="1" t="s">
        <v>488</v>
      </c>
      <c r="Q935" s="1">
        <v>44544</v>
      </c>
      <c r="R935" s="14">
        <v>5</v>
      </c>
      <c r="S935" s="1" t="s">
        <v>22</v>
      </c>
      <c r="T935" s="1" t="s">
        <v>22</v>
      </c>
      <c r="U935" s="1" t="s">
        <v>22</v>
      </c>
    </row>
    <row r="936" spans="1:21" x14ac:dyDescent="0.25">
      <c r="A936" s="1" t="s">
        <v>2567</v>
      </c>
      <c r="B936" s="2" t="s">
        <v>35</v>
      </c>
      <c r="C936" s="1" t="s">
        <v>25</v>
      </c>
      <c r="D936" s="1" t="s">
        <v>2586</v>
      </c>
      <c r="E936" s="1" t="s">
        <v>27</v>
      </c>
      <c r="F936" s="1">
        <v>44545</v>
      </c>
      <c r="G936" s="14" t="s">
        <v>74</v>
      </c>
      <c r="H936" t="s">
        <v>2587</v>
      </c>
      <c r="I936" s="2" t="s">
        <v>2588</v>
      </c>
      <c r="J936" s="2">
        <v>0.06597222222222222</v>
      </c>
      <c r="K936" s="1">
        <v>0.06388888888888888</v>
      </c>
      <c r="L936" s="1">
        <v>0.1298611111111111</v>
      </c>
      <c r="M936" s="1" t="s">
        <v>22</v>
      </c>
      <c r="N936" s="1" t="s">
        <v>53</v>
      </c>
      <c r="O936" s="1" t="s">
        <v>483</v>
      </c>
      <c r="P936" s="1" t="s">
        <v>42</v>
      </c>
      <c r="Q936" s="1">
        <v>44545</v>
      </c>
      <c r="R936" s="14">
        <v>5</v>
      </c>
      <c r="S936" s="1" t="s">
        <v>22</v>
      </c>
      <c r="T936" s="1" t="s">
        <v>22</v>
      </c>
      <c r="U936" s="1" t="s">
        <v>22</v>
      </c>
    </row>
    <row r="937" spans="1:21" x14ac:dyDescent="0.25">
      <c r="A937" s="1" t="s">
        <v>2567</v>
      </c>
      <c r="B937" s="2" t="s">
        <v>616</v>
      </c>
      <c r="C937" s="1" t="s">
        <v>617</v>
      </c>
      <c r="D937" s="1" t="s">
        <v>2589</v>
      </c>
      <c r="E937" s="1" t="s">
        <v>37</v>
      </c>
      <c r="F937" s="1">
        <v>44547</v>
      </c>
      <c r="G937" s="14" t="s">
        <v>28</v>
      </c>
      <c r="H937" t="s">
        <v>2590</v>
      </c>
      <c r="I937" s="2" t="s">
        <v>2591</v>
      </c>
      <c r="J937" s="2">
        <v>0.010416666666666666</v>
      </c>
      <c r="K937" s="1">
        <v>0.019444444444444445</v>
      </c>
      <c r="L937" s="1">
        <v>0.02986111111111111</v>
      </c>
      <c r="M937" s="1" t="s">
        <v>22</v>
      </c>
      <c r="N937" s="1" t="s">
        <v>31</v>
      </c>
      <c r="O937" s="1" t="s">
        <v>483</v>
      </c>
      <c r="P937" s="1" t="s">
        <v>484</v>
      </c>
      <c r="Q937" s="1">
        <v>44547</v>
      </c>
      <c r="R937" s="14">
        <v>5</v>
      </c>
      <c r="S937" s="1" t="s">
        <v>22</v>
      </c>
      <c r="T937" s="1" t="s">
        <v>22</v>
      </c>
      <c r="U937" s="1" t="s">
        <v>22</v>
      </c>
    </row>
    <row r="938" spans="1:21" x14ac:dyDescent="0.25">
      <c r="A938" s="1" t="s">
        <v>2567</v>
      </c>
      <c r="B938" s="2" t="s">
        <v>258</v>
      </c>
      <c r="C938" s="1" t="s">
        <v>25</v>
      </c>
      <c r="D938" s="1" t="s">
        <v>2592</v>
      </c>
      <c r="E938" s="1" t="s">
        <v>37</v>
      </c>
      <c r="F938" s="1">
        <v>44547</v>
      </c>
      <c r="G938" s="14" t="s">
        <v>28</v>
      </c>
      <c r="H938" t="s">
        <v>2593</v>
      </c>
      <c r="I938" s="2" t="s">
        <v>2593</v>
      </c>
      <c r="J938" s="2">
        <v>0.03819444444444444</v>
      </c>
      <c r="K938" s="1">
        <v>0.029166666666666664</v>
      </c>
      <c r="L938" s="1">
        <v>0.06736111111111111</v>
      </c>
      <c r="M938" s="1" t="s">
        <v>22</v>
      </c>
      <c r="N938" s="1" t="s">
        <v>31</v>
      </c>
      <c r="O938" s="1" t="s">
        <v>483</v>
      </c>
      <c r="P938" s="1" t="s">
        <v>488</v>
      </c>
      <c r="Q938" s="1">
        <v>44547</v>
      </c>
      <c r="R938" s="14">
        <v>5</v>
      </c>
      <c r="S938" s="1" t="s">
        <v>22</v>
      </c>
      <c r="T938" s="1" t="s">
        <v>22</v>
      </c>
      <c r="U938" s="1" t="s">
        <v>22</v>
      </c>
    </row>
    <row r="939" spans="1:21" x14ac:dyDescent="0.25">
      <c r="A939" s="1" t="s">
        <v>2567</v>
      </c>
      <c r="B939" s="2" t="s">
        <v>260</v>
      </c>
      <c r="C939" s="1" t="s">
        <v>261</v>
      </c>
      <c r="D939" s="1" t="s">
        <v>2594</v>
      </c>
      <c r="E939" s="1" t="s">
        <v>27</v>
      </c>
      <c r="F939" s="1">
        <v>44552</v>
      </c>
      <c r="G939" s="14" t="s">
        <v>38</v>
      </c>
      <c r="H939" t="s">
        <v>2595</v>
      </c>
      <c r="I939" s="2" t="s">
        <v>2596</v>
      </c>
      <c r="J939" s="2">
        <v>0.020833333333333332</v>
      </c>
      <c r="K939" s="1">
        <v>0.020833333333333332</v>
      </c>
      <c r="L939" s="1">
        <v>0.041666666666666664</v>
      </c>
      <c r="M939" s="1" t="s">
        <v>22</v>
      </c>
      <c r="N939" s="1" t="s">
        <v>31</v>
      </c>
      <c r="O939" s="1" t="s">
        <v>32</v>
      </c>
      <c r="P939" s="1" t="s">
        <v>42</v>
      </c>
      <c r="Q939" s="1">
        <v>44552</v>
      </c>
      <c r="R939" s="14">
        <v>5</v>
      </c>
      <c r="S939" s="1" t="s">
        <v>22</v>
      </c>
      <c r="T939" s="1" t="s">
        <v>22</v>
      </c>
      <c r="U939" s="1" t="s">
        <v>22</v>
      </c>
    </row>
    <row r="940" spans="1:21" x14ac:dyDescent="0.25">
      <c r="A940" s="1" t="s">
        <v>2567</v>
      </c>
      <c r="B940" s="2" t="s">
        <v>489</v>
      </c>
      <c r="C940" s="1" t="s">
        <v>490</v>
      </c>
      <c r="D940" s="1" t="s">
        <v>2597</v>
      </c>
      <c r="E940" s="1" t="s">
        <v>27</v>
      </c>
      <c r="F940" s="1">
        <v>44553</v>
      </c>
      <c r="G940" s="14" t="s">
        <v>255</v>
      </c>
      <c r="H940" t="s">
        <v>2598</v>
      </c>
      <c r="I940" s="2" t="s">
        <v>2599</v>
      </c>
      <c r="J940" s="2">
        <v>0.020833333333333332</v>
      </c>
      <c r="K940" s="1">
        <v>0.041666666666666664</v>
      </c>
      <c r="L940" s="1">
        <v>0.0625</v>
      </c>
      <c r="M940" s="1" t="s">
        <v>22</v>
      </c>
      <c r="N940" s="1" t="s">
        <v>53</v>
      </c>
      <c r="O940" s="1" t="s">
        <v>483</v>
      </c>
      <c r="P940" s="1" t="s">
        <v>42</v>
      </c>
      <c r="Q940" s="1">
        <v>44553</v>
      </c>
      <c r="R940" s="14">
        <v>5</v>
      </c>
      <c r="S940" s="1" t="s">
        <v>22</v>
      </c>
      <c r="T940" s="1" t="s">
        <v>22</v>
      </c>
      <c r="U940" s="1" t="s">
        <v>22</v>
      </c>
    </row>
    <row r="941" spans="1:21" x14ac:dyDescent="0.25">
      <c r="A941" s="1" t="s">
        <v>2567</v>
      </c>
      <c r="B941" s="2" t="s">
        <v>99</v>
      </c>
      <c r="C941" s="1" t="s">
        <v>25</v>
      </c>
      <c r="D941" s="1" t="s">
        <v>2600</v>
      </c>
      <c r="E941" s="1" t="s">
        <v>27</v>
      </c>
      <c r="F941" s="1">
        <v>44554</v>
      </c>
      <c r="G941" s="14" t="s">
        <v>28</v>
      </c>
      <c r="H941" t="s">
        <v>2601</v>
      </c>
      <c r="I941" s="2" t="s">
        <v>2602</v>
      </c>
      <c r="J941" s="2">
        <v>0.024305555555555556</v>
      </c>
      <c r="K941" s="1">
        <v>0.04513888888888889</v>
      </c>
      <c r="L941" s="1">
        <v>0.06944444444444445</v>
      </c>
      <c r="M941" s="1" t="s">
        <v>22</v>
      </c>
      <c r="N941" s="1" t="s">
        <v>32</v>
      </c>
      <c r="O941" s="1" t="s">
        <v>483</v>
      </c>
      <c r="P941" s="1" t="s">
        <v>484</v>
      </c>
      <c r="Q941" s="1">
        <v>44554</v>
      </c>
      <c r="R941" s="14">
        <v>5</v>
      </c>
      <c r="S941" s="1" t="s">
        <v>22</v>
      </c>
      <c r="T941" s="1" t="s">
        <v>22</v>
      </c>
      <c r="U941" s="1" t="s">
        <v>22</v>
      </c>
    </row>
    <row r="942" spans="1:21" x14ac:dyDescent="0.25">
      <c r="A942" s="1" t="s">
        <v>2567</v>
      </c>
      <c r="B942" s="2" t="s">
        <v>616</v>
      </c>
      <c r="C942" s="1" t="s">
        <v>617</v>
      </c>
      <c r="D942" s="1" t="s">
        <v>2603</v>
      </c>
      <c r="E942" s="1" t="s">
        <v>27</v>
      </c>
      <c r="F942" s="1">
        <v>44561</v>
      </c>
      <c r="G942" s="14" t="s">
        <v>38</v>
      </c>
      <c r="H942" t="s">
        <v>2604</v>
      </c>
      <c r="I942" s="2" t="s">
        <v>2605</v>
      </c>
      <c r="J942" s="2">
        <v>0.020833333333333332</v>
      </c>
      <c r="K942" s="1">
        <v>0.022222222222222223</v>
      </c>
      <c r="L942" s="1">
        <v>0.043055555555555555</v>
      </c>
      <c r="M942" s="1" t="s">
        <v>22</v>
      </c>
      <c r="N942" s="1" t="s">
        <v>53</v>
      </c>
      <c r="O942" s="1" t="s">
        <v>483</v>
      </c>
      <c r="P942" s="1" t="s">
        <v>484</v>
      </c>
      <c r="Q942" s="1">
        <v>44561</v>
      </c>
      <c r="R942" s="14">
        <v>5</v>
      </c>
      <c r="S942" s="1" t="s">
        <v>22</v>
      </c>
      <c r="T942" s="1" t="s">
        <v>22</v>
      </c>
      <c r="U942" s="1" t="s">
        <v>22</v>
      </c>
    </row>
    <row r="943" spans="1:21" x14ac:dyDescent="0.25">
      <c r="A943" s="1" t="s">
        <v>2606</v>
      </c>
      <c r="B943" s="2" t="s">
        <v>2582</v>
      </c>
      <c r="C943" s="1" t="s">
        <v>25</v>
      </c>
      <c r="D943" s="1" t="s">
        <v>2607</v>
      </c>
      <c r="E943" s="1" t="s">
        <v>27</v>
      </c>
      <c r="F943" s="1">
        <v>44566</v>
      </c>
      <c r="G943" s="14" t="s">
        <v>38</v>
      </c>
      <c r="H943" t="s">
        <v>2608</v>
      </c>
      <c r="I943" s="2" t="s">
        <v>2609</v>
      </c>
      <c r="J943" s="2">
        <v>0.020833333333333332</v>
      </c>
      <c r="K943" s="1">
        <v>0.013888888888888888</v>
      </c>
      <c r="L943" s="1">
        <v>0.034722222222222224</v>
      </c>
      <c r="M943" s="1" t="s">
        <v>22</v>
      </c>
      <c r="N943" s="1" t="s">
        <v>53</v>
      </c>
      <c r="O943" s="1" t="s">
        <v>32</v>
      </c>
      <c r="P943" s="1" t="s">
        <v>488</v>
      </c>
      <c r="Q943" s="1">
        <v>44566</v>
      </c>
      <c r="R943" s="14">
        <v>5</v>
      </c>
      <c r="S943" s="1" t="s">
        <v>22</v>
      </c>
      <c r="T943" s="1" t="s">
        <v>22</v>
      </c>
      <c r="U943" s="1" t="s">
        <v>22</v>
      </c>
    </row>
    <row r="944" spans="1:21" x14ac:dyDescent="0.25">
      <c r="A944" s="1" t="s">
        <v>2606</v>
      </c>
      <c r="B944" s="2" t="s">
        <v>1442</v>
      </c>
      <c r="C944" s="1" t="s">
        <v>186</v>
      </c>
      <c r="D944" s="1" t="s">
        <v>2610</v>
      </c>
      <c r="E944" s="1" t="s">
        <v>27</v>
      </c>
      <c r="F944" s="1">
        <v>44566</v>
      </c>
      <c r="G944" s="14" t="s">
        <v>38</v>
      </c>
      <c r="H944" t="s">
        <v>2611</v>
      </c>
      <c r="I944" s="2" t="s">
        <v>2612</v>
      </c>
      <c r="J944" s="2">
        <v>0.020833333333333332</v>
      </c>
      <c r="K944" s="1" t="s">
        <v>22</v>
      </c>
      <c r="L944" s="1">
        <v>0.020833333333333332</v>
      </c>
      <c r="M944" s="1" t="s">
        <v>22</v>
      </c>
      <c r="N944" s="1" t="s">
        <v>53</v>
      </c>
      <c r="O944" s="1" t="s">
        <v>503</v>
      </c>
      <c r="P944" s="1" t="s">
        <v>488</v>
      </c>
      <c r="Q944" s="1">
        <v>44566</v>
      </c>
      <c r="R944" s="14">
        <v>5</v>
      </c>
      <c r="S944" s="1" t="s">
        <v>22</v>
      </c>
      <c r="T944" s="1" t="s">
        <v>22</v>
      </c>
      <c r="U944" s="1" t="s">
        <v>22</v>
      </c>
    </row>
    <row r="945" spans="1:21" x14ac:dyDescent="0.25">
      <c r="A945" s="1" t="s">
        <v>2606</v>
      </c>
      <c r="B945" s="2" t="s">
        <v>163</v>
      </c>
      <c r="C945" s="1" t="s">
        <v>25</v>
      </c>
      <c r="D945" s="1" t="s">
        <v>2613</v>
      </c>
      <c r="E945" s="1" t="s">
        <v>27</v>
      </c>
      <c r="F945" s="1">
        <v>44567</v>
      </c>
      <c r="G945" s="14" t="s">
        <v>74</v>
      </c>
      <c r="H945" t="s">
        <v>2614</v>
      </c>
      <c r="I945" s="2" t="s">
        <v>2615</v>
      </c>
      <c r="J945" s="2">
        <v>0.013888888888888888</v>
      </c>
      <c r="K945" s="1">
        <v>0.017361111111111112</v>
      </c>
      <c r="L945" s="1">
        <v>0.03125</v>
      </c>
      <c r="M945" s="1" t="s">
        <v>22</v>
      </c>
      <c r="N945" s="1" t="s">
        <v>574</v>
      </c>
      <c r="O945" s="1" t="s">
        <v>483</v>
      </c>
      <c r="P945" s="1" t="s">
        <v>488</v>
      </c>
      <c r="Q945" s="1">
        <v>44567</v>
      </c>
      <c r="R945" s="14">
        <v>5</v>
      </c>
      <c r="S945" s="1" t="s">
        <v>22</v>
      </c>
      <c r="T945" s="1" t="s">
        <v>22</v>
      </c>
      <c r="U945" s="1" t="s">
        <v>22</v>
      </c>
    </row>
    <row r="946" spans="1:21" x14ac:dyDescent="0.25">
      <c r="A946" s="1" t="s">
        <v>2606</v>
      </c>
      <c r="B946" s="2" t="s">
        <v>163</v>
      </c>
      <c r="C946" s="1" t="s">
        <v>25</v>
      </c>
      <c r="D946" s="1" t="s">
        <v>2616</v>
      </c>
      <c r="E946" s="1" t="s">
        <v>27</v>
      </c>
      <c r="F946" s="1">
        <v>44568</v>
      </c>
      <c r="G946" s="14" t="s">
        <v>2088</v>
      </c>
      <c r="H946" t="s">
        <v>2617</v>
      </c>
      <c r="I946" s="2" t="s">
        <v>2618</v>
      </c>
      <c r="J946" s="2">
        <v>0.020833333333333332</v>
      </c>
      <c r="K946" s="1">
        <v>0.020833333333333332</v>
      </c>
      <c r="L946" s="1">
        <v>0.041666666666666664</v>
      </c>
      <c r="M946" s="1" t="s">
        <v>22</v>
      </c>
      <c r="N946" s="1" t="s">
        <v>53</v>
      </c>
      <c r="O946" s="1" t="s">
        <v>483</v>
      </c>
      <c r="P946" s="1" t="s">
        <v>488</v>
      </c>
      <c r="Q946" s="1">
        <v>44568</v>
      </c>
      <c r="R946" s="14">
        <v>5</v>
      </c>
      <c r="S946" s="1" t="s">
        <v>22</v>
      </c>
      <c r="T946" s="1" t="s">
        <v>22</v>
      </c>
      <c r="U946" s="1" t="s">
        <v>22</v>
      </c>
    </row>
    <row r="947" spans="1:21" x14ac:dyDescent="0.25">
      <c r="A947" s="1" t="s">
        <v>2606</v>
      </c>
      <c r="B947" s="2" t="s">
        <v>2582</v>
      </c>
      <c r="C947" s="1" t="s">
        <v>25</v>
      </c>
      <c r="D947" s="1" t="s">
        <v>2619</v>
      </c>
      <c r="E947" s="1" t="s">
        <v>27</v>
      </c>
      <c r="F947" s="1">
        <v>44568</v>
      </c>
      <c r="G947" s="14" t="s">
        <v>74</v>
      </c>
      <c r="H947" t="s">
        <v>2620</v>
      </c>
      <c r="I947" s="2" t="s">
        <v>2621</v>
      </c>
      <c r="J947" s="2">
        <v>0.020833333333333332</v>
      </c>
      <c r="K947" s="1">
        <v>0.024305555555555556</v>
      </c>
      <c r="L947" s="1">
        <v>0.04513888888888889</v>
      </c>
      <c r="M947" s="1" t="s">
        <v>22</v>
      </c>
      <c r="N947" s="1" t="s">
        <v>53</v>
      </c>
      <c r="O947" s="1" t="s">
        <v>483</v>
      </c>
      <c r="P947" s="1" t="s">
        <v>488</v>
      </c>
      <c r="Q947" s="1">
        <v>44568</v>
      </c>
      <c r="R947" s="14">
        <v>5</v>
      </c>
      <c r="S947" s="1" t="s">
        <v>22</v>
      </c>
      <c r="T947" s="1" t="s">
        <v>22</v>
      </c>
      <c r="U947" s="1" t="s">
        <v>22</v>
      </c>
    </row>
    <row r="948" spans="1:21" x14ac:dyDescent="0.25">
      <c r="A948" s="1" t="s">
        <v>2606</v>
      </c>
      <c r="B948" s="2" t="s">
        <v>2582</v>
      </c>
      <c r="C948" s="1" t="s">
        <v>25</v>
      </c>
      <c r="D948" s="1" t="s">
        <v>2622</v>
      </c>
      <c r="E948" s="1" t="s">
        <v>27</v>
      </c>
      <c r="F948" s="1">
        <v>44568</v>
      </c>
      <c r="G948" s="14" t="s">
        <v>38</v>
      </c>
      <c r="H948" t="s">
        <v>2623</v>
      </c>
      <c r="I948" s="2" t="s">
        <v>2624</v>
      </c>
      <c r="J948" s="2">
        <v>0.020833333333333332</v>
      </c>
      <c r="K948" s="1">
        <v>0.03819444444444444</v>
      </c>
      <c r="L948" s="1">
        <v>0.059027777777777776</v>
      </c>
      <c r="M948" s="1" t="s">
        <v>22</v>
      </c>
      <c r="N948" s="1" t="s">
        <v>53</v>
      </c>
      <c r="O948" s="1" t="s">
        <v>483</v>
      </c>
      <c r="P948" s="1" t="s">
        <v>488</v>
      </c>
      <c r="Q948" s="1">
        <v>44568</v>
      </c>
      <c r="R948" s="14">
        <v>5</v>
      </c>
      <c r="S948" s="1" t="s">
        <v>22</v>
      </c>
      <c r="T948" s="1" t="s">
        <v>22</v>
      </c>
      <c r="U948" s="1" t="s">
        <v>22</v>
      </c>
    </row>
    <row r="949" spans="1:21" x14ac:dyDescent="0.25">
      <c r="A949" s="1" t="s">
        <v>2606</v>
      </c>
      <c r="B949" s="2" t="s">
        <v>2315</v>
      </c>
      <c r="C949" s="1" t="s">
        <v>25</v>
      </c>
      <c r="D949" s="1" t="s">
        <v>2625</v>
      </c>
      <c r="E949" s="1" t="s">
        <v>27</v>
      </c>
      <c r="F949" s="1">
        <v>44568</v>
      </c>
      <c r="G949" s="14" t="s">
        <v>38</v>
      </c>
      <c r="H949" t="s">
        <v>2626</v>
      </c>
      <c r="I949" s="2" t="s">
        <v>2627</v>
      </c>
      <c r="J949" s="2">
        <v>0.03125</v>
      </c>
      <c r="K949" s="1">
        <v>0.0798611111111111</v>
      </c>
      <c r="L949" s="1">
        <v>0.1111111111111111</v>
      </c>
      <c r="M949" s="1" t="s">
        <v>22</v>
      </c>
      <c r="N949" s="1" t="s">
        <v>53</v>
      </c>
      <c r="O949" s="1" t="s">
        <v>483</v>
      </c>
      <c r="P949" s="1" t="s">
        <v>484</v>
      </c>
      <c r="Q949" s="1">
        <v>44568</v>
      </c>
      <c r="R949" s="14">
        <v>5</v>
      </c>
      <c r="S949" s="1" t="s">
        <v>22</v>
      </c>
      <c r="T949" s="1" t="s">
        <v>22</v>
      </c>
      <c r="U949" s="1" t="s">
        <v>22</v>
      </c>
    </row>
    <row r="950" spans="1:21" x14ac:dyDescent="0.25">
      <c r="A950" s="1" t="s">
        <v>2606</v>
      </c>
      <c r="B950" s="2" t="s">
        <v>228</v>
      </c>
      <c r="C950" s="1" t="s">
        <v>25</v>
      </c>
      <c r="D950" s="1" t="s">
        <v>2628</v>
      </c>
      <c r="E950" s="1" t="s">
        <v>27</v>
      </c>
      <c r="F950" s="1">
        <v>44568</v>
      </c>
      <c r="G950" s="14" t="s">
        <v>38</v>
      </c>
      <c r="H950" t="s">
        <v>2629</v>
      </c>
      <c r="I950" s="2" t="s">
        <v>2630</v>
      </c>
      <c r="J950" s="2">
        <v>0.027777777777777776</v>
      </c>
      <c r="K950" s="1">
        <v>0.017361111111111112</v>
      </c>
      <c r="L950" s="1">
        <v>0.04513888888888889</v>
      </c>
      <c r="M950" s="1" t="s">
        <v>22</v>
      </c>
      <c r="N950" s="1" t="s">
        <v>53</v>
      </c>
      <c r="O950" s="1" t="s">
        <v>32</v>
      </c>
      <c r="P950" s="1" t="s">
        <v>488</v>
      </c>
      <c r="Q950" s="1">
        <v>44568</v>
      </c>
      <c r="R950" s="14">
        <v>5</v>
      </c>
      <c r="S950" s="1" t="s">
        <v>22</v>
      </c>
      <c r="T950" s="1" t="s">
        <v>22</v>
      </c>
      <c r="U950" s="1" t="s">
        <v>22</v>
      </c>
    </row>
    <row r="951" spans="1:21" x14ac:dyDescent="0.25">
      <c r="A951" s="1" t="s">
        <v>2606</v>
      </c>
      <c r="B951" s="2" t="s">
        <v>1442</v>
      </c>
      <c r="C951" s="1" t="s">
        <v>186</v>
      </c>
      <c r="D951" s="1" t="s">
        <v>2631</v>
      </c>
      <c r="E951" s="1" t="s">
        <v>27</v>
      </c>
      <c r="F951" s="1">
        <v>44569</v>
      </c>
      <c r="G951" s="14" t="s">
        <v>50</v>
      </c>
      <c r="H951" t="s">
        <v>2632</v>
      </c>
      <c r="I951" s="2" t="s">
        <v>2633</v>
      </c>
      <c r="J951" s="2">
        <v>0.03125</v>
      </c>
      <c r="K951" s="1">
        <v>0.027777777777777776</v>
      </c>
      <c r="L951" s="1">
        <v>0.059027777777777776</v>
      </c>
      <c r="M951" s="1" t="s">
        <v>22</v>
      </c>
      <c r="N951" s="1" t="s">
        <v>53</v>
      </c>
      <c r="O951" s="1" t="s">
        <v>32</v>
      </c>
      <c r="P951" s="1" t="s">
        <v>488</v>
      </c>
      <c r="Q951" s="1">
        <v>44569</v>
      </c>
      <c r="R951" s="14">
        <v>5</v>
      </c>
      <c r="S951" s="1" t="s">
        <v>22</v>
      </c>
      <c r="T951" s="1" t="s">
        <v>22</v>
      </c>
      <c r="U951" s="1" t="s">
        <v>22</v>
      </c>
    </row>
    <row r="952" spans="1:21" x14ac:dyDescent="0.25">
      <c r="A952" s="1" t="s">
        <v>2606</v>
      </c>
      <c r="B952" s="2" t="s">
        <v>2315</v>
      </c>
      <c r="C952" s="1" t="s">
        <v>25</v>
      </c>
      <c r="D952" s="1" t="s">
        <v>2634</v>
      </c>
      <c r="E952" s="1" t="s">
        <v>27</v>
      </c>
      <c r="F952" s="1">
        <v>44572</v>
      </c>
      <c r="G952" s="14" t="s">
        <v>38</v>
      </c>
      <c r="H952" t="s">
        <v>2635</v>
      </c>
      <c r="I952" s="2" t="s">
        <v>2636</v>
      </c>
      <c r="J952" s="2">
        <v>0.03125</v>
      </c>
      <c r="K952" s="1">
        <v>0.017361111111111112</v>
      </c>
      <c r="L952" s="1">
        <v>0.04861111111111111</v>
      </c>
      <c r="M952" s="1" t="s">
        <v>22</v>
      </c>
      <c r="N952" s="1" t="s">
        <v>53</v>
      </c>
      <c r="O952" s="1" t="s">
        <v>32</v>
      </c>
      <c r="P952" s="1" t="s">
        <v>484</v>
      </c>
      <c r="Q952" s="1">
        <v>44572</v>
      </c>
      <c r="R952" s="14">
        <v>5</v>
      </c>
      <c r="S952" s="1" t="s">
        <v>22</v>
      </c>
      <c r="T952" s="1" t="s">
        <v>22</v>
      </c>
      <c r="U952" s="1" t="s">
        <v>22</v>
      </c>
    </row>
    <row r="953" spans="1:21" x14ac:dyDescent="0.25">
      <c r="A953" s="1" t="s">
        <v>2606</v>
      </c>
      <c r="B953" s="2" t="s">
        <v>258</v>
      </c>
      <c r="C953" s="1" t="s">
        <v>25</v>
      </c>
      <c r="D953" s="1" t="s">
        <v>2637</v>
      </c>
      <c r="E953" s="1" t="s">
        <v>27</v>
      </c>
      <c r="F953" s="1">
        <v>44575</v>
      </c>
      <c r="G953" s="14" t="s">
        <v>28</v>
      </c>
      <c r="H953" t="s">
        <v>2638</v>
      </c>
      <c r="I953" s="2" t="s">
        <v>2639</v>
      </c>
      <c r="J953" s="2">
        <v>0.024305555555555556</v>
      </c>
      <c r="K953" s="1">
        <v>0.034722222222222224</v>
      </c>
      <c r="L953" s="1">
        <v>0.059027777777777776</v>
      </c>
      <c r="M953" s="1" t="s">
        <v>22</v>
      </c>
      <c r="N953" s="1" t="s">
        <v>32</v>
      </c>
      <c r="O953" s="1" t="s">
        <v>483</v>
      </c>
      <c r="P953" s="1" t="s">
        <v>488</v>
      </c>
      <c r="Q953" s="1">
        <v>44575</v>
      </c>
      <c r="R953" s="14">
        <v>5</v>
      </c>
      <c r="S953" s="1" t="s">
        <v>22</v>
      </c>
      <c r="T953" s="1" t="s">
        <v>22</v>
      </c>
      <c r="U953" s="1" t="s">
        <v>22</v>
      </c>
    </row>
    <row r="954" spans="1:21" x14ac:dyDescent="0.25">
      <c r="A954" s="1" t="s">
        <v>2606</v>
      </c>
      <c r="B954" s="2" t="s">
        <v>1451</v>
      </c>
      <c r="C954" s="1" t="s">
        <v>287</v>
      </c>
      <c r="D954" s="1" t="s">
        <v>2640</v>
      </c>
      <c r="E954" s="1" t="s">
        <v>27</v>
      </c>
      <c r="F954" s="1">
        <v>44578</v>
      </c>
      <c r="G954" s="14" t="s">
        <v>28</v>
      </c>
      <c r="H954" t="s">
        <v>2641</v>
      </c>
      <c r="I954" s="2" t="s">
        <v>2642</v>
      </c>
      <c r="J954" s="2">
        <v>0.017361111111111112</v>
      </c>
      <c r="K954" s="1">
        <v>0.04513888888888889</v>
      </c>
      <c r="L954" s="1">
        <v>0.0625</v>
      </c>
      <c r="M954" s="1" t="s">
        <v>22</v>
      </c>
      <c r="N954" s="1" t="s">
        <v>32</v>
      </c>
      <c r="O954" s="1" t="s">
        <v>483</v>
      </c>
      <c r="P954" s="1" t="s">
        <v>484</v>
      </c>
      <c r="Q954" s="1">
        <v>44578</v>
      </c>
      <c r="R954" s="14">
        <v>5</v>
      </c>
      <c r="S954" s="1" t="s">
        <v>22</v>
      </c>
      <c r="T954" s="1" t="s">
        <v>22</v>
      </c>
      <c r="U954" s="1" t="s">
        <v>22</v>
      </c>
    </row>
    <row r="955" spans="1:21" x14ac:dyDescent="0.25">
      <c r="A955" s="1" t="s">
        <v>2606</v>
      </c>
      <c r="B955" s="2" t="s">
        <v>199</v>
      </c>
      <c r="C955" s="1" t="s">
        <v>541</v>
      </c>
      <c r="D955" s="1" t="s">
        <v>2643</v>
      </c>
      <c r="E955" s="1" t="s">
        <v>27</v>
      </c>
      <c r="F955" s="1">
        <v>44578</v>
      </c>
      <c r="G955" s="14" t="s">
        <v>38</v>
      </c>
      <c r="H955" t="s">
        <v>2644</v>
      </c>
      <c r="I955" s="2" t="s">
        <v>2645</v>
      </c>
      <c r="J955" s="2">
        <v>0.020833333333333332</v>
      </c>
      <c r="K955" s="1">
        <v>0.03263888888888889</v>
      </c>
      <c r="L955" s="1">
        <v>0.05347222222222223</v>
      </c>
      <c r="M955" s="1" t="s">
        <v>22</v>
      </c>
      <c r="N955" s="1" t="s">
        <v>31</v>
      </c>
      <c r="O955" s="1" t="s">
        <v>483</v>
      </c>
      <c r="P955" s="1" t="s">
        <v>488</v>
      </c>
      <c r="Q955" s="1">
        <v>44578</v>
      </c>
      <c r="R955" s="14">
        <v>5</v>
      </c>
      <c r="S955" s="1" t="s">
        <v>22</v>
      </c>
      <c r="T955" s="1" t="s">
        <v>22</v>
      </c>
      <c r="U955" s="1" t="s">
        <v>22</v>
      </c>
    </row>
    <row r="956" spans="1:21" x14ac:dyDescent="0.25">
      <c r="A956" s="1" t="s">
        <v>2606</v>
      </c>
      <c r="B956" s="2" t="s">
        <v>529</v>
      </c>
      <c r="C956" s="1" t="s">
        <v>1924</v>
      </c>
      <c r="D956" s="1" t="s">
        <v>2643</v>
      </c>
      <c r="E956" s="1" t="s">
        <v>27</v>
      </c>
      <c r="F956" s="1">
        <v>44578</v>
      </c>
      <c r="G956" s="14" t="s">
        <v>38</v>
      </c>
      <c r="H956" t="s">
        <v>2646</v>
      </c>
      <c r="I956" s="2" t="s">
        <v>2647</v>
      </c>
      <c r="J956" s="2">
        <v>0.020833333333333332</v>
      </c>
      <c r="K956" s="1">
        <v>0.036111111111111115</v>
      </c>
      <c r="L956" s="1">
        <v>0.05694444444444445</v>
      </c>
      <c r="M956" s="1" t="s">
        <v>22</v>
      </c>
      <c r="N956" s="1" t="s">
        <v>31</v>
      </c>
      <c r="O956" s="1" t="s">
        <v>483</v>
      </c>
      <c r="P956" s="1" t="s">
        <v>484</v>
      </c>
      <c r="Q956" s="1">
        <v>44578</v>
      </c>
      <c r="R956" s="14">
        <v>5</v>
      </c>
      <c r="S956" s="1" t="s">
        <v>22</v>
      </c>
      <c r="T956" s="1" t="s">
        <v>22</v>
      </c>
      <c r="U956" s="1" t="s">
        <v>22</v>
      </c>
    </row>
    <row r="957" spans="1:21" x14ac:dyDescent="0.25">
      <c r="A957" s="1" t="s">
        <v>2606</v>
      </c>
      <c r="B957" s="2" t="s">
        <v>118</v>
      </c>
      <c r="C957" s="1" t="s">
        <v>25</v>
      </c>
      <c r="D957" s="1" t="s">
        <v>2648</v>
      </c>
      <c r="E957" s="1" t="s">
        <v>27</v>
      </c>
      <c r="F957" s="1">
        <v>44580</v>
      </c>
      <c r="G957" s="14" t="s">
        <v>670</v>
      </c>
      <c r="H957" t="s">
        <v>2649</v>
      </c>
      <c r="I957" s="2" t="s">
        <v>2650</v>
      </c>
      <c r="J957" s="2">
        <v>0.03819444444444444</v>
      </c>
      <c r="K957" s="1">
        <v>0.017361111111111112</v>
      </c>
      <c r="L957" s="1">
        <v>0.05555555555555555</v>
      </c>
      <c r="M957" s="1" t="s">
        <v>22</v>
      </c>
      <c r="N957" s="1" t="s">
        <v>574</v>
      </c>
      <c r="O957" s="1" t="s">
        <v>32</v>
      </c>
      <c r="P957" s="1" t="s">
        <v>488</v>
      </c>
      <c r="Q957" s="1">
        <v>44580</v>
      </c>
      <c r="R957" s="14">
        <v>5</v>
      </c>
      <c r="S957" s="1" t="s">
        <v>22</v>
      </c>
      <c r="T957" s="1" t="s">
        <v>22</v>
      </c>
      <c r="U957" s="1" t="s">
        <v>22</v>
      </c>
    </row>
    <row r="958" spans="1:21" x14ac:dyDescent="0.25">
      <c r="A958" s="1" t="s">
        <v>2606</v>
      </c>
      <c r="B958" s="2" t="s">
        <v>199</v>
      </c>
      <c r="C958" s="1" t="s">
        <v>541</v>
      </c>
      <c r="D958" s="1" t="s">
        <v>2651</v>
      </c>
      <c r="E958" s="1" t="s">
        <v>27</v>
      </c>
      <c r="F958" s="1">
        <v>44581</v>
      </c>
      <c r="G958" s="14" t="s">
        <v>38</v>
      </c>
      <c r="H958" t="s">
        <v>2652</v>
      </c>
      <c r="I958" s="2" t="s">
        <v>2653</v>
      </c>
      <c r="J958" s="2">
        <v>0.0625</v>
      </c>
      <c r="K958" s="1">
        <v>0.05555555555555555</v>
      </c>
      <c r="L958" s="1">
        <v>0.11805555555555555</v>
      </c>
      <c r="M958" s="1" t="s">
        <v>22</v>
      </c>
      <c r="N958" s="1" t="s">
        <v>574</v>
      </c>
      <c r="O958" s="1" t="s">
        <v>32</v>
      </c>
      <c r="P958" s="1" t="s">
        <v>488</v>
      </c>
      <c r="Q958" s="1">
        <v>44581</v>
      </c>
      <c r="R958" s="14">
        <v>5</v>
      </c>
      <c r="S958" s="1" t="s">
        <v>22</v>
      </c>
      <c r="T958" s="1" t="s">
        <v>22</v>
      </c>
      <c r="U958" s="1" t="s">
        <v>22</v>
      </c>
    </row>
    <row r="959" spans="1:21" x14ac:dyDescent="0.25">
      <c r="A959" s="1" t="s">
        <v>2606</v>
      </c>
      <c r="B959" s="2" t="s">
        <v>35</v>
      </c>
      <c r="C959" s="1" t="s">
        <v>25</v>
      </c>
      <c r="D959" s="1" t="s">
        <v>2654</v>
      </c>
      <c r="E959" s="1" t="s">
        <v>27</v>
      </c>
      <c r="F959" s="1">
        <v>44586</v>
      </c>
      <c r="G959" s="14" t="s">
        <v>74</v>
      </c>
      <c r="H959" t="s">
        <v>2655</v>
      </c>
      <c r="I959" s="2" t="s">
        <v>2656</v>
      </c>
      <c r="J959" s="2">
        <v>0.013888888888888888</v>
      </c>
      <c r="K959" s="1">
        <v>0.019444444444444445</v>
      </c>
      <c r="L959" s="1">
        <v>0.03333333333333333</v>
      </c>
      <c r="M959" s="1" t="s">
        <v>22</v>
      </c>
      <c r="N959" s="1" t="s">
        <v>53</v>
      </c>
      <c r="O959" s="1" t="s">
        <v>483</v>
      </c>
      <c r="P959" s="1" t="s">
        <v>42</v>
      </c>
      <c r="Q959" s="1">
        <v>44586</v>
      </c>
      <c r="R959" s="14">
        <v>5</v>
      </c>
      <c r="S959" s="1" t="s">
        <v>22</v>
      </c>
      <c r="T959" s="1" t="s">
        <v>22</v>
      </c>
      <c r="U959" s="1" t="s">
        <v>22</v>
      </c>
    </row>
    <row r="960" spans="1:21" x14ac:dyDescent="0.25">
      <c r="A960" s="1" t="s">
        <v>2606</v>
      </c>
      <c r="B960" s="2" t="s">
        <v>99</v>
      </c>
      <c r="C960" s="1" t="s">
        <v>25</v>
      </c>
      <c r="D960" s="1" t="s">
        <v>2657</v>
      </c>
      <c r="E960" s="1" t="s">
        <v>27</v>
      </c>
      <c r="F960" s="1">
        <v>44587</v>
      </c>
      <c r="G960" s="14" t="s">
        <v>28</v>
      </c>
      <c r="H960" t="s">
        <v>2658</v>
      </c>
      <c r="I960" s="2" t="s">
        <v>2659</v>
      </c>
      <c r="J960" s="2">
        <v>0.024305555555555556</v>
      </c>
      <c r="K960" s="1">
        <v>0.05555555555555555</v>
      </c>
      <c r="L960" s="1">
        <v>0.0798611111111111</v>
      </c>
      <c r="M960" s="1" t="s">
        <v>22</v>
      </c>
      <c r="N960" s="1" t="s">
        <v>483</v>
      </c>
      <c r="O960" s="1" t="s">
        <v>32</v>
      </c>
      <c r="P960" s="1" t="s">
        <v>484</v>
      </c>
      <c r="Q960" s="1">
        <v>44588</v>
      </c>
      <c r="R960" s="14">
        <v>5</v>
      </c>
      <c r="S960" s="1" t="s">
        <v>22</v>
      </c>
      <c r="T960" s="1" t="s">
        <v>22</v>
      </c>
      <c r="U960" s="1" t="s">
        <v>22</v>
      </c>
    </row>
    <row r="961" spans="1:21" x14ac:dyDescent="0.25">
      <c r="A961" s="1" t="s">
        <v>2660</v>
      </c>
      <c r="B961" s="2" t="s">
        <v>985</v>
      </c>
      <c r="C961" s="1" t="s">
        <v>25</v>
      </c>
      <c r="D961" s="1" t="s">
        <v>2661</v>
      </c>
      <c r="E961" s="1" t="s">
        <v>27</v>
      </c>
      <c r="F961" s="1">
        <v>44593</v>
      </c>
      <c r="G961" s="14" t="s">
        <v>38</v>
      </c>
      <c r="H961" t="s">
        <v>2662</v>
      </c>
      <c r="I961" s="2" t="s">
        <v>2663</v>
      </c>
      <c r="J961" s="2">
        <v>0.013888888888888888</v>
      </c>
      <c r="K961" s="1">
        <v>0.020833333333333332</v>
      </c>
      <c r="L961" s="1">
        <v>0.034722222222222224</v>
      </c>
      <c r="M961" s="1" t="s">
        <v>22</v>
      </c>
      <c r="N961" s="1" t="s">
        <v>53</v>
      </c>
      <c r="O961" s="1" t="s">
        <v>32</v>
      </c>
      <c r="P961" s="1" t="s">
        <v>488</v>
      </c>
      <c r="Q961" s="1">
        <v>44593</v>
      </c>
      <c r="R961" s="14">
        <v>5</v>
      </c>
      <c r="S961" s="1" t="s">
        <v>22</v>
      </c>
      <c r="T961" s="1" t="s">
        <v>22</v>
      </c>
      <c r="U961" s="1" t="s">
        <v>22</v>
      </c>
    </row>
    <row r="962" spans="1:21" x14ac:dyDescent="0.25">
      <c r="A962" s="1" t="s">
        <v>2660</v>
      </c>
      <c r="B962" s="2" t="s">
        <v>2514</v>
      </c>
      <c r="C962" s="1" t="s">
        <v>285</v>
      </c>
      <c r="D962" s="1" t="s">
        <v>2664</v>
      </c>
      <c r="E962" s="1" t="s">
        <v>27</v>
      </c>
      <c r="F962" s="1">
        <v>44593</v>
      </c>
      <c r="G962" s="14" t="s">
        <v>74</v>
      </c>
      <c r="H962" t="s">
        <v>2665</v>
      </c>
      <c r="I962" s="2" t="s">
        <v>2666</v>
      </c>
      <c r="J962" s="2">
        <v>0.024305555555555556</v>
      </c>
      <c r="K962" s="1">
        <v>0.03125</v>
      </c>
      <c r="L962" s="1">
        <v>0.05555555555555555</v>
      </c>
      <c r="M962" s="1" t="s">
        <v>22</v>
      </c>
      <c r="N962" s="1" t="s">
        <v>53</v>
      </c>
      <c r="O962" s="1" t="s">
        <v>32</v>
      </c>
      <c r="P962" s="1" t="s">
        <v>488</v>
      </c>
      <c r="Q962" s="1">
        <v>44593</v>
      </c>
      <c r="R962" s="14">
        <v>5</v>
      </c>
      <c r="S962" s="1" t="s">
        <v>22</v>
      </c>
      <c r="T962" s="1" t="s">
        <v>22</v>
      </c>
      <c r="U962" s="1" t="s">
        <v>22</v>
      </c>
    </row>
    <row r="963" spans="1:21" x14ac:dyDescent="0.25">
      <c r="A963" s="1" t="s">
        <v>2660</v>
      </c>
      <c r="B963" s="2" t="s">
        <v>228</v>
      </c>
      <c r="C963" s="1" t="s">
        <v>25</v>
      </c>
      <c r="D963" s="1" t="s">
        <v>2667</v>
      </c>
      <c r="E963" s="1" t="s">
        <v>37</v>
      </c>
      <c r="F963" s="1">
        <v>44594</v>
      </c>
      <c r="G963" s="14" t="s">
        <v>38</v>
      </c>
      <c r="H963" t="s">
        <v>2668</v>
      </c>
      <c r="I963" s="2" t="s">
        <v>2669</v>
      </c>
      <c r="J963" s="2">
        <v>0.0625</v>
      </c>
      <c r="K963" s="1" t="s">
        <v>22</v>
      </c>
      <c r="L963" s="1">
        <v>0.0625</v>
      </c>
      <c r="M963" s="1" t="s">
        <v>22</v>
      </c>
      <c r="N963" s="1" t="s">
        <v>31</v>
      </c>
      <c r="O963" s="1" t="s">
        <v>483</v>
      </c>
      <c r="P963" s="1" t="s">
        <v>488</v>
      </c>
      <c r="Q963" s="1">
        <v>44594</v>
      </c>
      <c r="R963" s="14">
        <v>5</v>
      </c>
      <c r="S963" s="1" t="s">
        <v>22</v>
      </c>
      <c r="T963" s="1" t="s">
        <v>22</v>
      </c>
      <c r="U963" s="1" t="s">
        <v>22</v>
      </c>
    </row>
    <row r="964" spans="1:21" x14ac:dyDescent="0.25">
      <c r="A964" s="1" t="s">
        <v>2660</v>
      </c>
      <c r="B964" s="2" t="s">
        <v>510</v>
      </c>
      <c r="C964" s="1" t="s">
        <v>25</v>
      </c>
      <c r="D964" s="1" t="s">
        <v>2670</v>
      </c>
      <c r="E964" s="1" t="s">
        <v>37</v>
      </c>
      <c r="F964" s="1">
        <v>44596</v>
      </c>
      <c r="G964" s="14" t="s">
        <v>38</v>
      </c>
      <c r="H964" t="s">
        <v>2671</v>
      </c>
      <c r="I964" s="2" t="s">
        <v>2672</v>
      </c>
      <c r="J964" s="2">
        <v>0.0625</v>
      </c>
      <c r="K964" s="1" t="s">
        <v>22</v>
      </c>
      <c r="L964" s="1">
        <v>0.0625</v>
      </c>
      <c r="M964" s="1" t="s">
        <v>22</v>
      </c>
      <c r="N964" s="1" t="s">
        <v>31</v>
      </c>
      <c r="O964" s="1" t="s">
        <v>483</v>
      </c>
      <c r="P964" s="1" t="s">
        <v>488</v>
      </c>
      <c r="Q964" s="1">
        <v>44594</v>
      </c>
      <c r="R964" s="14">
        <v>5</v>
      </c>
      <c r="S964" s="1" t="s">
        <v>22</v>
      </c>
      <c r="T964" s="1" t="s">
        <v>22</v>
      </c>
      <c r="U964" s="1" t="s">
        <v>22</v>
      </c>
    </row>
    <row r="965" spans="1:21" x14ac:dyDescent="0.25">
      <c r="A965" s="1" t="s">
        <v>2660</v>
      </c>
      <c r="B965" s="2" t="s">
        <v>2673</v>
      </c>
      <c r="C965" s="1" t="s">
        <v>25</v>
      </c>
      <c r="D965" s="1" t="s">
        <v>2674</v>
      </c>
      <c r="E965" s="1" t="s">
        <v>27</v>
      </c>
      <c r="F965" s="1">
        <v>44599</v>
      </c>
      <c r="G965" s="14" t="s">
        <v>38</v>
      </c>
      <c r="H965" t="s">
        <v>2675</v>
      </c>
      <c r="I965" s="2" t="s">
        <v>2676</v>
      </c>
      <c r="J965" s="2">
        <v>0.010416666666666666</v>
      </c>
      <c r="K965" s="1">
        <v>0.017361111111111112</v>
      </c>
      <c r="L965" s="1">
        <v>0.027777777777777776</v>
      </c>
      <c r="M965" s="1" t="s">
        <v>22</v>
      </c>
      <c r="N965" s="1" t="s">
        <v>32</v>
      </c>
      <c r="O965" s="1" t="s">
        <v>483</v>
      </c>
      <c r="P965" s="1" t="s">
        <v>488</v>
      </c>
      <c r="Q965" s="1">
        <v>44599</v>
      </c>
      <c r="R965" s="14">
        <v>5</v>
      </c>
      <c r="S965" s="1" t="s">
        <v>22</v>
      </c>
      <c r="T965" s="1" t="s">
        <v>22</v>
      </c>
      <c r="U965" s="1" t="s">
        <v>22</v>
      </c>
    </row>
    <row r="966" spans="1:21" x14ac:dyDescent="0.25">
      <c r="A966" s="1" t="s">
        <v>2660</v>
      </c>
      <c r="B966" s="2" t="s">
        <v>510</v>
      </c>
      <c r="C966" s="1" t="s">
        <v>25</v>
      </c>
      <c r="D966" s="1" t="s">
        <v>2677</v>
      </c>
      <c r="E966" s="1" t="s">
        <v>27</v>
      </c>
      <c r="F966" s="1">
        <v>44599</v>
      </c>
      <c r="G966" s="14" t="s">
        <v>50</v>
      </c>
      <c r="H966" t="s">
        <v>2678</v>
      </c>
      <c r="I966" s="2" t="s">
        <v>2679</v>
      </c>
      <c r="J966" s="2">
        <v>0.020833333333333332</v>
      </c>
      <c r="K966" s="1">
        <v>0.034722222222222224</v>
      </c>
      <c r="L966" s="1">
        <v>0.05555555555555555</v>
      </c>
      <c r="M966" s="1" t="s">
        <v>22</v>
      </c>
      <c r="N966" s="1" t="s">
        <v>31</v>
      </c>
      <c r="O966" s="1" t="s">
        <v>483</v>
      </c>
      <c r="P966" s="1" t="s">
        <v>488</v>
      </c>
      <c r="Q966" s="1">
        <v>44599</v>
      </c>
      <c r="R966" s="14">
        <v>5</v>
      </c>
      <c r="S966" s="1" t="s">
        <v>22</v>
      </c>
      <c r="T966" s="1" t="s">
        <v>22</v>
      </c>
      <c r="U966" s="1" t="s">
        <v>22</v>
      </c>
    </row>
    <row r="967" spans="1:21" x14ac:dyDescent="0.25">
      <c r="A967" s="1" t="s">
        <v>2660</v>
      </c>
      <c r="B967" s="2" t="s">
        <v>529</v>
      </c>
      <c r="C967" s="1" t="s">
        <v>1924</v>
      </c>
      <c r="D967" s="1" t="s">
        <v>2680</v>
      </c>
      <c r="E967" s="1" t="s">
        <v>27</v>
      </c>
      <c r="F967" s="1">
        <v>44600</v>
      </c>
      <c r="G967" s="14" t="s">
        <v>28</v>
      </c>
      <c r="H967" t="s">
        <v>2681</v>
      </c>
      <c r="I967" s="2" t="s">
        <v>2682</v>
      </c>
      <c r="J967" s="2">
        <v>0.017361111111111112</v>
      </c>
      <c r="K967" s="1">
        <v>0.04861111111111111</v>
      </c>
      <c r="L967" s="1">
        <v>0.06597222222222222</v>
      </c>
      <c r="M967" s="1" t="s">
        <v>22</v>
      </c>
      <c r="N967" s="1" t="s">
        <v>32</v>
      </c>
      <c r="O967" s="1" t="s">
        <v>483</v>
      </c>
      <c r="P967" s="1" t="s">
        <v>484</v>
      </c>
      <c r="Q967" s="1">
        <v>44600</v>
      </c>
      <c r="R967" s="14">
        <v>5</v>
      </c>
      <c r="S967" s="1" t="s">
        <v>22</v>
      </c>
      <c r="T967" s="1" t="s">
        <v>22</v>
      </c>
      <c r="U967" s="1" t="s">
        <v>22</v>
      </c>
    </row>
    <row r="968" spans="1:21" x14ac:dyDescent="0.25">
      <c r="A968" s="1" t="s">
        <v>2660</v>
      </c>
      <c r="B968" s="2" t="s">
        <v>510</v>
      </c>
      <c r="C968" s="1" t="s">
        <v>25</v>
      </c>
      <c r="D968" s="1" t="s">
        <v>2683</v>
      </c>
      <c r="E968" s="1" t="s">
        <v>27</v>
      </c>
      <c r="F968" s="1">
        <v>44601</v>
      </c>
      <c r="G968" s="14" t="s">
        <v>74</v>
      </c>
      <c r="H968" t="s">
        <v>2684</v>
      </c>
      <c r="I968" s="2" t="s">
        <v>2685</v>
      </c>
      <c r="J968" s="2">
        <v>0.017361111111111112</v>
      </c>
      <c r="K968" s="1">
        <v>0.034722222222222224</v>
      </c>
      <c r="L968" s="1">
        <v>0.052083333333333336</v>
      </c>
      <c r="M968" s="1" t="s">
        <v>22</v>
      </c>
      <c r="N968" s="1" t="s">
        <v>32</v>
      </c>
      <c r="O968" s="1" t="s">
        <v>483</v>
      </c>
      <c r="P968" s="1" t="s">
        <v>488</v>
      </c>
      <c r="Q968" s="1">
        <v>44601</v>
      </c>
      <c r="R968" s="14">
        <v>5</v>
      </c>
      <c r="S968" s="1" t="s">
        <v>22</v>
      </c>
      <c r="T968" s="1" t="s">
        <v>22</v>
      </c>
      <c r="U968" s="1" t="s">
        <v>22</v>
      </c>
    </row>
    <row r="969" spans="1:21" x14ac:dyDescent="0.25">
      <c r="A969" s="1" t="s">
        <v>2660</v>
      </c>
      <c r="B969" s="2" t="s">
        <v>2315</v>
      </c>
      <c r="C969" s="1" t="s">
        <v>25</v>
      </c>
      <c r="D969" s="1" t="s">
        <v>2686</v>
      </c>
      <c r="E969" s="1" t="s">
        <v>27</v>
      </c>
      <c r="F969" s="1">
        <v>44601</v>
      </c>
      <c r="G969" s="14" t="s">
        <v>38</v>
      </c>
      <c r="H969" t="s">
        <v>2687</v>
      </c>
      <c r="I969" s="2" t="s">
        <v>2688</v>
      </c>
      <c r="J969" s="2">
        <v>0.020833333333333332</v>
      </c>
      <c r="K969" s="1">
        <v>0.034722222222222224</v>
      </c>
      <c r="L969" s="1">
        <v>0.05555555555555555</v>
      </c>
      <c r="M969" s="1" t="s">
        <v>22</v>
      </c>
      <c r="N969" s="1" t="s">
        <v>31</v>
      </c>
      <c r="O969" s="1" t="s">
        <v>32</v>
      </c>
      <c r="P969" s="1" t="s">
        <v>484</v>
      </c>
      <c r="Q969" s="1">
        <v>44601</v>
      </c>
      <c r="R969" s="14">
        <v>5</v>
      </c>
      <c r="S969" s="1" t="s">
        <v>22</v>
      </c>
      <c r="T969" s="1" t="s">
        <v>22</v>
      </c>
      <c r="U969" s="1" t="s">
        <v>22</v>
      </c>
    </row>
    <row r="970" spans="1:21" x14ac:dyDescent="0.25">
      <c r="A970" s="1" t="s">
        <v>2660</v>
      </c>
      <c r="B970" s="2" t="s">
        <v>510</v>
      </c>
      <c r="C970" s="1" t="s">
        <v>25</v>
      </c>
      <c r="D970" s="1" t="s">
        <v>2689</v>
      </c>
      <c r="E970" s="1" t="s">
        <v>37</v>
      </c>
      <c r="F970" s="1">
        <v>44602</v>
      </c>
      <c r="G970" s="14" t="s">
        <v>74</v>
      </c>
      <c r="H970" t="s">
        <v>2690</v>
      </c>
      <c r="I970" s="2" t="s">
        <v>2691</v>
      </c>
      <c r="J970" s="2">
        <v>0.03125</v>
      </c>
      <c r="K970" s="1">
        <v>0.03819444444444444</v>
      </c>
      <c r="L970" s="1">
        <v>0.06944444444444445</v>
      </c>
      <c r="M970" s="1" t="s">
        <v>22</v>
      </c>
      <c r="N970" s="1" t="s">
        <v>31</v>
      </c>
      <c r="O970" s="1" t="s">
        <v>32</v>
      </c>
      <c r="P970" s="1" t="s">
        <v>488</v>
      </c>
      <c r="Q970" s="1">
        <v>44602</v>
      </c>
      <c r="R970" s="14">
        <v>5</v>
      </c>
      <c r="S970" s="1" t="s">
        <v>22</v>
      </c>
      <c r="T970" s="1" t="s">
        <v>22</v>
      </c>
      <c r="U970" s="1" t="s">
        <v>22</v>
      </c>
    </row>
    <row r="971" spans="1:21" x14ac:dyDescent="0.25">
      <c r="A971" s="1" t="s">
        <v>2660</v>
      </c>
      <c r="B971" s="2" t="s">
        <v>99</v>
      </c>
      <c r="C971" s="1" t="s">
        <v>25</v>
      </c>
      <c r="D971" s="1" t="s">
        <v>2692</v>
      </c>
      <c r="E971" s="1" t="s">
        <v>27</v>
      </c>
      <c r="F971" s="1">
        <v>44603</v>
      </c>
      <c r="G971" s="14" t="s">
        <v>28</v>
      </c>
      <c r="H971" t="s">
        <v>2693</v>
      </c>
      <c r="I971" s="2" t="s">
        <v>2694</v>
      </c>
      <c r="J971" s="2">
        <v>0.024305555555555556</v>
      </c>
      <c r="K971" s="1">
        <v>0.05902777777777778</v>
      </c>
      <c r="L971" s="1">
        <v>0.08333333333333334</v>
      </c>
      <c r="M971" s="1" t="s">
        <v>22</v>
      </c>
      <c r="N971" s="1" t="s">
        <v>483</v>
      </c>
      <c r="O971" s="1" t="s">
        <v>32</v>
      </c>
      <c r="P971" s="1" t="s">
        <v>484</v>
      </c>
      <c r="Q971" s="1">
        <v>44603</v>
      </c>
      <c r="R971" s="14">
        <v>5</v>
      </c>
      <c r="S971" s="1" t="s">
        <v>22</v>
      </c>
      <c r="T971" s="1" t="s">
        <v>22</v>
      </c>
      <c r="U971" s="1" t="s">
        <v>22</v>
      </c>
    </row>
    <row r="972" spans="1:21" x14ac:dyDescent="0.25">
      <c r="A972" s="1" t="s">
        <v>2660</v>
      </c>
      <c r="B972" s="2" t="s">
        <v>2315</v>
      </c>
      <c r="C972" s="1" t="s">
        <v>25</v>
      </c>
      <c r="D972" s="1" t="s">
        <v>2695</v>
      </c>
      <c r="E972" s="1" t="s">
        <v>27</v>
      </c>
      <c r="F972" s="1">
        <v>44603</v>
      </c>
      <c r="G972" s="14" t="s">
        <v>74</v>
      </c>
      <c r="H972" t="s">
        <v>2696</v>
      </c>
      <c r="I972" s="2" t="s">
        <v>2696</v>
      </c>
      <c r="J972" s="2">
        <v>0.041666666666666664</v>
      </c>
      <c r="K972" s="1">
        <v>0.06597222222222222</v>
      </c>
      <c r="L972" s="1">
        <v>0.1076388888888889</v>
      </c>
      <c r="M972" s="1" t="s">
        <v>22</v>
      </c>
      <c r="N972" s="1" t="s">
        <v>31</v>
      </c>
      <c r="O972" s="1" t="s">
        <v>32</v>
      </c>
      <c r="P972" s="1" t="s">
        <v>484</v>
      </c>
      <c r="Q972" s="1">
        <v>44603</v>
      </c>
      <c r="R972" s="14">
        <v>5</v>
      </c>
      <c r="S972" s="1" t="s">
        <v>22</v>
      </c>
      <c r="T972" s="1" t="s">
        <v>22</v>
      </c>
      <c r="U972" s="1" t="s">
        <v>22</v>
      </c>
    </row>
    <row r="973" spans="1:21" x14ac:dyDescent="0.25">
      <c r="A973" s="1" t="s">
        <v>2660</v>
      </c>
      <c r="B973" s="2" t="s">
        <v>510</v>
      </c>
      <c r="C973" s="1" t="s">
        <v>25</v>
      </c>
      <c r="D973" s="1" t="s">
        <v>2677</v>
      </c>
      <c r="E973" s="1" t="s">
        <v>27</v>
      </c>
      <c r="F973" s="1">
        <v>44610</v>
      </c>
      <c r="G973" s="14" t="s">
        <v>50</v>
      </c>
      <c r="H973" t="s">
        <v>2697</v>
      </c>
      <c r="I973" s="2" t="s">
        <v>2698</v>
      </c>
      <c r="J973" s="2">
        <v>0.020833333333333332</v>
      </c>
      <c r="K973" s="1">
        <v>0.034722222222222224</v>
      </c>
      <c r="L973" s="1">
        <v>0.05555555555555555</v>
      </c>
      <c r="M973" s="1" t="s">
        <v>22</v>
      </c>
      <c r="N973" s="1" t="s">
        <v>53</v>
      </c>
      <c r="O973" s="1" t="s">
        <v>483</v>
      </c>
      <c r="P973" s="1" t="s">
        <v>488</v>
      </c>
      <c r="Q973" s="1">
        <v>44610</v>
      </c>
      <c r="R973" s="14">
        <v>5</v>
      </c>
      <c r="S973" s="1" t="s">
        <v>22</v>
      </c>
      <c r="T973" s="1" t="s">
        <v>22</v>
      </c>
      <c r="U973" s="1" t="s">
        <v>22</v>
      </c>
    </row>
    <row r="974" spans="1:21" x14ac:dyDescent="0.25">
      <c r="A974" s="1" t="s">
        <v>2660</v>
      </c>
      <c r="B974" s="2" t="s">
        <v>308</v>
      </c>
      <c r="C974" s="1" t="s">
        <v>309</v>
      </c>
      <c r="D974" s="1" t="s">
        <v>2699</v>
      </c>
      <c r="E974" s="1" t="s">
        <v>27</v>
      </c>
      <c r="F974" s="1">
        <v>44614</v>
      </c>
      <c r="G974" s="14" t="s">
        <v>38</v>
      </c>
      <c r="H974" t="s">
        <v>2700</v>
      </c>
      <c r="I974" s="2" t="s">
        <v>2701</v>
      </c>
      <c r="J974" s="2">
        <v>0.020833333333333332</v>
      </c>
      <c r="K974" s="1">
        <v>0.05555555555555555</v>
      </c>
      <c r="L974" s="1">
        <v>0.07638888888888888</v>
      </c>
      <c r="M974" s="1" t="s">
        <v>22</v>
      </c>
      <c r="N974" s="1" t="s">
        <v>53</v>
      </c>
      <c r="O974" s="1" t="s">
        <v>483</v>
      </c>
      <c r="P974" s="1" t="s">
        <v>488</v>
      </c>
      <c r="Q974" s="1">
        <v>44614</v>
      </c>
      <c r="R974" s="14">
        <v>5</v>
      </c>
      <c r="S974" s="1" t="s">
        <v>22</v>
      </c>
      <c r="T974" s="1" t="s">
        <v>22</v>
      </c>
      <c r="U974" s="1" t="s">
        <v>22</v>
      </c>
    </row>
    <row r="975" spans="1:21" x14ac:dyDescent="0.25">
      <c r="A975" s="1" t="s">
        <v>2660</v>
      </c>
      <c r="B975" s="2" t="s">
        <v>985</v>
      </c>
      <c r="C975" s="1" t="s">
        <v>25</v>
      </c>
      <c r="D975" s="1" t="s">
        <v>2702</v>
      </c>
      <c r="E975" s="1" t="s">
        <v>27</v>
      </c>
      <c r="F975" s="1">
        <v>44615</v>
      </c>
      <c r="G975" s="14" t="s">
        <v>38</v>
      </c>
      <c r="H975" t="s">
        <v>2703</v>
      </c>
      <c r="I975" s="2" t="s">
        <v>2704</v>
      </c>
      <c r="J975" s="2">
        <v>0.024305555555555556</v>
      </c>
      <c r="K975" s="1">
        <v>0.022222222222222223</v>
      </c>
      <c r="L975" s="1">
        <v>0.04652777777777778</v>
      </c>
      <c r="M975" s="1" t="s">
        <v>22</v>
      </c>
      <c r="N975" s="1" t="s">
        <v>53</v>
      </c>
      <c r="O975" s="1" t="s">
        <v>483</v>
      </c>
      <c r="P975" s="1" t="s">
        <v>488</v>
      </c>
      <c r="Q975" s="1">
        <v>44614</v>
      </c>
      <c r="R975" s="14">
        <v>5</v>
      </c>
      <c r="S975" s="1" t="s">
        <v>22</v>
      </c>
      <c r="T975" s="1" t="s">
        <v>22</v>
      </c>
      <c r="U975" s="1" t="s">
        <v>22</v>
      </c>
    </row>
    <row r="976" spans="1:21" x14ac:dyDescent="0.25">
      <c r="A976" s="1" t="s">
        <v>2660</v>
      </c>
      <c r="B976" s="2" t="s">
        <v>2473</v>
      </c>
      <c r="C976" s="1" t="s">
        <v>530</v>
      </c>
      <c r="D976" s="1" t="s">
        <v>2705</v>
      </c>
      <c r="E976" s="1" t="s">
        <v>37</v>
      </c>
      <c r="F976" s="1">
        <v>44615</v>
      </c>
      <c r="G976" s="14" t="s">
        <v>38</v>
      </c>
      <c r="H976" t="s">
        <v>2706</v>
      </c>
      <c r="I976" s="2" t="s">
        <v>2707</v>
      </c>
      <c r="J976" s="2">
        <v>0.08333333333333333</v>
      </c>
      <c r="K976" s="1">
        <v>0.03819444444444444</v>
      </c>
      <c r="L976" s="1">
        <v>0.12152777777777776</v>
      </c>
      <c r="M976" s="1" t="s">
        <v>22</v>
      </c>
      <c r="N976" s="1" t="s">
        <v>31</v>
      </c>
      <c r="O976" s="1" t="s">
        <v>483</v>
      </c>
      <c r="P976" s="1" t="s">
        <v>484</v>
      </c>
      <c r="Q976" s="1">
        <v>44615</v>
      </c>
      <c r="R976" s="14">
        <v>5</v>
      </c>
      <c r="S976" s="1" t="s">
        <v>22</v>
      </c>
      <c r="T976" s="1" t="s">
        <v>22</v>
      </c>
      <c r="U976" s="1" t="s">
        <v>22</v>
      </c>
    </row>
    <row r="977" spans="1:21" x14ac:dyDescent="0.25">
      <c r="A977" s="1" t="s">
        <v>2660</v>
      </c>
      <c r="B977" s="2" t="s">
        <v>286</v>
      </c>
      <c r="C977" s="1" t="s">
        <v>287</v>
      </c>
      <c r="D977" s="1" t="s">
        <v>2708</v>
      </c>
      <c r="E977" s="1" t="s">
        <v>37</v>
      </c>
      <c r="F977" s="1">
        <v>44617</v>
      </c>
      <c r="G977" s="14" t="s">
        <v>38</v>
      </c>
      <c r="H977" t="s">
        <v>2709</v>
      </c>
      <c r="I977" s="2" t="s">
        <v>2710</v>
      </c>
      <c r="J977" s="2">
        <v>0.020833333333333332</v>
      </c>
      <c r="K977" s="1">
        <v>0.041666666666666664</v>
      </c>
      <c r="L977" s="1">
        <v>0.0625</v>
      </c>
      <c r="M977" s="1" t="s">
        <v>22</v>
      </c>
      <c r="N977" s="1" t="s">
        <v>574</v>
      </c>
      <c r="O977" s="1" t="s">
        <v>32</v>
      </c>
      <c r="P977" s="1" t="s">
        <v>484</v>
      </c>
      <c r="Q977" s="1">
        <v>44617</v>
      </c>
      <c r="R977" s="14">
        <v>5</v>
      </c>
      <c r="S977" s="1" t="s">
        <v>22</v>
      </c>
      <c r="T977" s="1" t="s">
        <v>22</v>
      </c>
      <c r="U977" s="1" t="s">
        <v>22</v>
      </c>
    </row>
    <row r="978" spans="1:21" x14ac:dyDescent="0.25">
      <c r="A978" s="1" t="s">
        <v>2660</v>
      </c>
      <c r="B978" s="2" t="s">
        <v>1451</v>
      </c>
      <c r="C978" s="1" t="s">
        <v>287</v>
      </c>
      <c r="D978" s="1" t="s">
        <v>2711</v>
      </c>
      <c r="E978" s="1" t="s">
        <v>27</v>
      </c>
      <c r="F978" s="1">
        <v>44617</v>
      </c>
      <c r="G978" s="14" t="s">
        <v>38</v>
      </c>
      <c r="H978" t="s">
        <v>2712</v>
      </c>
      <c r="I978" s="2" t="s">
        <v>2713</v>
      </c>
      <c r="J978" s="2">
        <v>0.024305555555555556</v>
      </c>
      <c r="K978" s="1">
        <v>0.044444444444444446</v>
      </c>
      <c r="L978" s="1">
        <v>0.06875</v>
      </c>
      <c r="M978" s="1" t="s">
        <v>22</v>
      </c>
      <c r="N978" s="1" t="s">
        <v>53</v>
      </c>
      <c r="O978" s="1" t="s">
        <v>483</v>
      </c>
      <c r="P978" s="1" t="s">
        <v>484</v>
      </c>
      <c r="Q978" s="1">
        <v>44617</v>
      </c>
      <c r="R978" s="14">
        <v>5</v>
      </c>
      <c r="S978" s="1" t="s">
        <v>22</v>
      </c>
      <c r="T978" s="1" t="s">
        <v>22</v>
      </c>
      <c r="U978" s="1" t="s">
        <v>22</v>
      </c>
    </row>
    <row r="979" spans="1:21" x14ac:dyDescent="0.25">
      <c r="A979" s="1" t="s">
        <v>2660</v>
      </c>
      <c r="B979" s="2" t="s">
        <v>489</v>
      </c>
      <c r="C979" s="1" t="s">
        <v>490</v>
      </c>
      <c r="D979" s="1" t="s">
        <v>2714</v>
      </c>
      <c r="E979" s="1" t="s">
        <v>27</v>
      </c>
      <c r="F979" s="1">
        <v>44620</v>
      </c>
      <c r="G979" s="14" t="s">
        <v>38</v>
      </c>
      <c r="H979" t="s">
        <v>2715</v>
      </c>
      <c r="I979" s="2" t="s">
        <v>2716</v>
      </c>
      <c r="J979" s="2">
        <v>0.024305555555555556</v>
      </c>
      <c r="K979" s="1" t="s">
        <v>22</v>
      </c>
      <c r="L979" s="1">
        <v>0.024305555555555556</v>
      </c>
      <c r="M979" s="1" t="s">
        <v>22</v>
      </c>
      <c r="N979" s="1" t="s">
        <v>53</v>
      </c>
      <c r="O979" s="1" t="s">
        <v>22</v>
      </c>
      <c r="P979" s="1" t="s">
        <v>42</v>
      </c>
      <c r="Q979" s="1">
        <v>44620</v>
      </c>
      <c r="R979" s="14">
        <v>5</v>
      </c>
      <c r="S979" s="1" t="s">
        <v>22</v>
      </c>
      <c r="T979" s="1" t="s">
        <v>22</v>
      </c>
      <c r="U979" s="1" t="s">
        <v>22</v>
      </c>
    </row>
    <row r="980" spans="1:21" x14ac:dyDescent="0.25">
      <c r="A980" s="1" t="s">
        <v>2717</v>
      </c>
      <c r="B980" s="2" t="s">
        <v>510</v>
      </c>
      <c r="C980" s="1" t="s">
        <v>25</v>
      </c>
      <c r="D980" s="1" t="s">
        <v>2718</v>
      </c>
      <c r="E980" s="1" t="s">
        <v>27</v>
      </c>
      <c r="F980" s="1">
        <v>44622</v>
      </c>
      <c r="G980" s="14" t="s">
        <v>38</v>
      </c>
      <c r="H980" t="s">
        <v>2719</v>
      </c>
      <c r="I980" s="2" t="s">
        <v>2720</v>
      </c>
      <c r="J980" s="2">
        <v>0.024305555555555556</v>
      </c>
      <c r="K980" s="1">
        <v>0.0625</v>
      </c>
      <c r="L980" s="1">
        <v>0.08680555555555555</v>
      </c>
      <c r="M980" s="1" t="s">
        <v>22</v>
      </c>
      <c r="N980" s="1" t="s">
        <v>574</v>
      </c>
      <c r="O980" s="1" t="s">
        <v>483</v>
      </c>
      <c r="P980" s="1" t="s">
        <v>488</v>
      </c>
      <c r="Q980" s="1">
        <v>44622</v>
      </c>
      <c r="R980" s="14">
        <v>5</v>
      </c>
      <c r="S980" s="1" t="s">
        <v>22</v>
      </c>
      <c r="T980" s="1" t="s">
        <v>22</v>
      </c>
      <c r="U980" s="1" t="s">
        <v>22</v>
      </c>
    </row>
    <row r="981" spans="1:21" x14ac:dyDescent="0.25">
      <c r="A981" s="1" t="s">
        <v>2717</v>
      </c>
      <c r="B981" s="2" t="s">
        <v>489</v>
      </c>
      <c r="C981" s="1" t="s">
        <v>490</v>
      </c>
      <c r="D981" s="1" t="s">
        <v>2721</v>
      </c>
      <c r="E981" s="1" t="s">
        <v>27</v>
      </c>
      <c r="F981" s="1">
        <v>44627</v>
      </c>
      <c r="G981" s="14" t="s">
        <v>28</v>
      </c>
      <c r="H981" t="s">
        <v>2722</v>
      </c>
      <c r="I981" s="2" t="s">
        <v>2723</v>
      </c>
      <c r="J981" s="2">
        <v>0.024305555555555556</v>
      </c>
      <c r="K981" s="1">
        <v>0.034722222222222224</v>
      </c>
      <c r="L981" s="1">
        <v>0.059027777777777776</v>
      </c>
      <c r="M981" s="1" t="s">
        <v>22</v>
      </c>
      <c r="N981" s="1" t="s">
        <v>32</v>
      </c>
      <c r="O981" s="1" t="s">
        <v>483</v>
      </c>
      <c r="P981" s="1" t="s">
        <v>42</v>
      </c>
      <c r="Q981" s="1">
        <v>44627</v>
      </c>
      <c r="R981" s="14">
        <v>5</v>
      </c>
      <c r="S981" s="1" t="s">
        <v>22</v>
      </c>
      <c r="T981" s="1" t="s">
        <v>22</v>
      </c>
      <c r="U981" s="1" t="s">
        <v>22</v>
      </c>
    </row>
    <row r="982" spans="1:21" x14ac:dyDescent="0.25">
      <c r="A982" s="1" t="s">
        <v>2717</v>
      </c>
      <c r="B982" s="2" t="s">
        <v>185</v>
      </c>
      <c r="C982" s="1" t="s">
        <v>186</v>
      </c>
      <c r="D982" s="1" t="s">
        <v>2194</v>
      </c>
      <c r="E982" s="1" t="s">
        <v>27</v>
      </c>
      <c r="F982" s="1">
        <v>44627</v>
      </c>
      <c r="G982" s="14" t="s">
        <v>38</v>
      </c>
      <c r="H982" t="s">
        <v>2724</v>
      </c>
      <c r="I982" s="2" t="s">
        <v>2725</v>
      </c>
      <c r="J982" s="2">
        <v>0.020833333333333332</v>
      </c>
      <c r="K982" s="1">
        <v>0.03125</v>
      </c>
      <c r="L982" s="1">
        <v>0.05208333333333333</v>
      </c>
      <c r="M982" s="1" t="s">
        <v>22</v>
      </c>
      <c r="N982" s="1" t="s">
        <v>574</v>
      </c>
      <c r="O982" s="1" t="s">
        <v>483</v>
      </c>
      <c r="P982" s="1" t="s">
        <v>484</v>
      </c>
      <c r="Q982" s="1">
        <v>44627</v>
      </c>
      <c r="R982" s="14">
        <v>5</v>
      </c>
      <c r="S982" s="1" t="s">
        <v>22</v>
      </c>
      <c r="T982" s="1" t="s">
        <v>22</v>
      </c>
      <c r="U982" s="1" t="s">
        <v>22</v>
      </c>
    </row>
    <row r="983" spans="1:21" x14ac:dyDescent="0.25">
      <c r="A983" s="1" t="s">
        <v>2717</v>
      </c>
      <c r="B983" s="2" t="s">
        <v>219</v>
      </c>
      <c r="C983" s="1" t="s">
        <v>186</v>
      </c>
      <c r="D983" s="1" t="s">
        <v>2726</v>
      </c>
      <c r="E983" s="1" t="s">
        <v>27</v>
      </c>
      <c r="F983" s="1">
        <v>44634</v>
      </c>
      <c r="G983" s="14" t="s">
        <v>953</v>
      </c>
      <c r="H983" t="s">
        <v>2727</v>
      </c>
      <c r="I983" s="2" t="s">
        <v>2728</v>
      </c>
      <c r="J983" s="2">
        <v>0.010416666666666666</v>
      </c>
      <c r="K983" s="1">
        <v>0.027083333333333334</v>
      </c>
      <c r="L983" s="1">
        <v>0.0375</v>
      </c>
      <c r="M983" s="1" t="s">
        <v>22</v>
      </c>
      <c r="N983" s="1" t="s">
        <v>32</v>
      </c>
      <c r="O983" s="1" t="s">
        <v>483</v>
      </c>
      <c r="P983" s="1" t="s">
        <v>488</v>
      </c>
      <c r="Q983" s="1">
        <v>44634</v>
      </c>
      <c r="R983" s="14">
        <v>5</v>
      </c>
      <c r="S983" s="1" t="s">
        <v>22</v>
      </c>
      <c r="T983" s="1" t="s">
        <v>22</v>
      </c>
      <c r="U983" s="1" t="s">
        <v>22</v>
      </c>
    </row>
    <row r="984" spans="1:21" x14ac:dyDescent="0.25">
      <c r="A984" s="1" t="s">
        <v>2717</v>
      </c>
      <c r="B984" s="2" t="s">
        <v>35</v>
      </c>
      <c r="C984" s="1" t="s">
        <v>25</v>
      </c>
      <c r="D984" s="1" t="s">
        <v>2729</v>
      </c>
      <c r="E984" s="1" t="s">
        <v>27</v>
      </c>
      <c r="F984" s="1">
        <v>44636</v>
      </c>
      <c r="G984" s="14" t="s">
        <v>38</v>
      </c>
      <c r="H984" t="s">
        <v>2730</v>
      </c>
      <c r="I984" s="2" t="s">
        <v>2730</v>
      </c>
      <c r="J984" s="2">
        <v>0.08333333333333333</v>
      </c>
      <c r="K984" s="1">
        <v>0.06666666666666667</v>
      </c>
      <c r="L984" s="1">
        <v>0.15</v>
      </c>
      <c r="M984" s="1" t="s">
        <v>22</v>
      </c>
      <c r="N984" s="1" t="s">
        <v>53</v>
      </c>
      <c r="O984" s="1" t="s">
        <v>483</v>
      </c>
      <c r="P984" s="1" t="s">
        <v>42</v>
      </c>
      <c r="Q984" s="1">
        <v>44636</v>
      </c>
      <c r="R984" s="14">
        <v>5</v>
      </c>
      <c r="S984" s="1" t="s">
        <v>22</v>
      </c>
      <c r="T984" s="1" t="s">
        <v>22</v>
      </c>
      <c r="U984" s="1" t="s">
        <v>22</v>
      </c>
    </row>
    <row r="985" spans="1:21" x14ac:dyDescent="0.25">
      <c r="A985" s="1" t="s">
        <v>2717</v>
      </c>
      <c r="B985" s="2" t="s">
        <v>2315</v>
      </c>
      <c r="C985" s="1" t="s">
        <v>25</v>
      </c>
      <c r="D985" s="1" t="s">
        <v>2731</v>
      </c>
      <c r="E985" s="1" t="s">
        <v>37</v>
      </c>
      <c r="F985" s="1">
        <v>44637</v>
      </c>
      <c r="G985" s="14" t="s">
        <v>38</v>
      </c>
      <c r="H985" t="s">
        <v>2732</v>
      </c>
      <c r="I985" s="2" t="s">
        <v>2733</v>
      </c>
      <c r="J985" s="2">
        <v>0.024305555555555556</v>
      </c>
      <c r="K985" s="1">
        <v>0.034722222222222224</v>
      </c>
      <c r="L985" s="1">
        <v>0.059027777777777776</v>
      </c>
      <c r="M985" s="1" t="s">
        <v>22</v>
      </c>
      <c r="N985" s="1" t="s">
        <v>53</v>
      </c>
      <c r="O985" s="1" t="s">
        <v>483</v>
      </c>
      <c r="P985" s="1" t="s">
        <v>484</v>
      </c>
      <c r="Q985" s="1">
        <v>44637</v>
      </c>
      <c r="R985" s="14">
        <v>5</v>
      </c>
      <c r="S985" s="1" t="s">
        <v>22</v>
      </c>
      <c r="T985" s="1" t="s">
        <v>22</v>
      </c>
      <c r="U985" s="1" t="s">
        <v>22</v>
      </c>
    </row>
    <row r="986" spans="1:21" x14ac:dyDescent="0.25">
      <c r="A986" s="1" t="s">
        <v>2717</v>
      </c>
      <c r="B986" s="2" t="s">
        <v>525</v>
      </c>
      <c r="C986" s="1" t="s">
        <v>25</v>
      </c>
      <c r="D986" s="1" t="s">
        <v>2734</v>
      </c>
      <c r="E986" s="1" t="s">
        <v>27</v>
      </c>
      <c r="F986" s="1">
        <v>44641</v>
      </c>
      <c r="G986" s="14" t="s">
        <v>28</v>
      </c>
      <c r="H986" t="s">
        <v>2735</v>
      </c>
      <c r="I986" s="2" t="s">
        <v>2736</v>
      </c>
      <c r="J986" s="2">
        <v>0.027777777777777776</v>
      </c>
      <c r="K986" s="1">
        <v>0.04513888888888889</v>
      </c>
      <c r="L986" s="1">
        <v>0.07291666666666666</v>
      </c>
      <c r="M986" s="1" t="s">
        <v>22</v>
      </c>
      <c r="N986" s="1" t="s">
        <v>32</v>
      </c>
      <c r="O986" s="1" t="s">
        <v>483</v>
      </c>
      <c r="P986" s="1" t="s">
        <v>484</v>
      </c>
      <c r="Q986" s="1">
        <v>44641</v>
      </c>
      <c r="R986" s="14">
        <v>5</v>
      </c>
      <c r="S986" s="1" t="s">
        <v>22</v>
      </c>
      <c r="T986" s="1" t="s">
        <v>22</v>
      </c>
      <c r="U986" s="1" t="s">
        <v>22</v>
      </c>
    </row>
    <row r="987" spans="1:21" x14ac:dyDescent="0.25">
      <c r="A987" s="1" t="s">
        <v>2717</v>
      </c>
      <c r="B987" s="2" t="s">
        <v>146</v>
      </c>
      <c r="C987" s="1" t="s">
        <v>186</v>
      </c>
      <c r="D987" s="1" t="s">
        <v>2737</v>
      </c>
      <c r="E987" s="1" t="s">
        <v>27</v>
      </c>
      <c r="F987" s="1">
        <v>44642</v>
      </c>
      <c r="G987" s="14" t="s">
        <v>38</v>
      </c>
      <c r="H987" t="s">
        <v>2738</v>
      </c>
      <c r="I987" s="2" t="s">
        <v>2739</v>
      </c>
      <c r="J987" s="2">
        <v>0.07083333333333333</v>
      </c>
      <c r="K987" s="1">
        <v>0.05555555555555555</v>
      </c>
      <c r="L987" s="1">
        <v>0.12638888888888888</v>
      </c>
      <c r="M987" s="1" t="s">
        <v>22</v>
      </c>
      <c r="N987" s="1" t="s">
        <v>574</v>
      </c>
      <c r="O987" s="1" t="s">
        <v>483</v>
      </c>
      <c r="P987" s="1" t="s">
        <v>488</v>
      </c>
      <c r="Q987" s="1">
        <v>44642</v>
      </c>
      <c r="R987" s="14">
        <v>5</v>
      </c>
      <c r="S987" s="1" t="s">
        <v>22</v>
      </c>
      <c r="T987" s="1" t="s">
        <v>22</v>
      </c>
      <c r="U987" s="1" t="s">
        <v>22</v>
      </c>
    </row>
    <row r="988" spans="1:21" x14ac:dyDescent="0.25">
      <c r="A988" s="1" t="s">
        <v>2717</v>
      </c>
      <c r="B988" s="2" t="s">
        <v>510</v>
      </c>
      <c r="C988" s="1" t="s">
        <v>25</v>
      </c>
      <c r="D988" s="1" t="s">
        <v>2740</v>
      </c>
      <c r="E988" s="1" t="s">
        <v>27</v>
      </c>
      <c r="F988" s="1">
        <v>44644</v>
      </c>
      <c r="G988" s="14" t="s">
        <v>133</v>
      </c>
      <c r="H988" t="s">
        <v>2741</v>
      </c>
      <c r="I988" s="2" t="s">
        <v>2742</v>
      </c>
      <c r="J988" s="2">
        <v>0.035416666666666666</v>
      </c>
      <c r="K988" s="1">
        <v>0.04513888888888889</v>
      </c>
      <c r="L988" s="1">
        <v>0.08055555555555555</v>
      </c>
      <c r="M988" s="1" t="s">
        <v>22</v>
      </c>
      <c r="N988" s="1" t="s">
        <v>31</v>
      </c>
      <c r="O988" s="1" t="s">
        <v>483</v>
      </c>
      <c r="P988" s="1" t="s">
        <v>488</v>
      </c>
      <c r="Q988" s="1">
        <v>44644</v>
      </c>
      <c r="R988" s="14">
        <v>5</v>
      </c>
      <c r="S988" s="1" t="s">
        <v>22</v>
      </c>
      <c r="T988" s="1" t="s">
        <v>22</v>
      </c>
      <c r="U988" s="1" t="s">
        <v>22</v>
      </c>
    </row>
    <row r="989" spans="1:21" x14ac:dyDescent="0.25">
      <c r="A989" s="1" t="s">
        <v>2717</v>
      </c>
      <c r="B989" s="2" t="s">
        <v>616</v>
      </c>
      <c r="C989" s="1" t="s">
        <v>617</v>
      </c>
      <c r="D989" s="1" t="s">
        <v>2743</v>
      </c>
      <c r="E989" s="1" t="s">
        <v>27</v>
      </c>
      <c r="F989" s="1">
        <v>44644</v>
      </c>
      <c r="G989" s="14" t="s">
        <v>38</v>
      </c>
      <c r="H989" t="s">
        <v>2744</v>
      </c>
      <c r="I989" s="2" t="s">
        <v>2745</v>
      </c>
      <c r="J989" s="2">
        <v>0.013888888888888888</v>
      </c>
      <c r="K989" s="1">
        <v>0.025694444444444447</v>
      </c>
      <c r="L989" s="1">
        <v>0.03958333333333333</v>
      </c>
      <c r="M989" s="1" t="s">
        <v>22</v>
      </c>
      <c r="N989" s="1" t="s">
        <v>32</v>
      </c>
      <c r="O989" s="1" t="s">
        <v>483</v>
      </c>
      <c r="P989" s="1" t="s">
        <v>484</v>
      </c>
      <c r="Q989" s="1">
        <v>44644</v>
      </c>
      <c r="R989" s="14">
        <v>5</v>
      </c>
      <c r="S989" s="1" t="s">
        <v>22</v>
      </c>
      <c r="T989" s="1" t="s">
        <v>22</v>
      </c>
      <c r="U989" s="1" t="s">
        <v>22</v>
      </c>
    </row>
    <row r="990" spans="1:21" x14ac:dyDescent="0.25">
      <c r="A990" s="1" t="s">
        <v>2717</v>
      </c>
      <c r="B990" s="2" t="s">
        <v>99</v>
      </c>
      <c r="C990" s="1" t="s">
        <v>25</v>
      </c>
      <c r="D990" s="1" t="s">
        <v>2746</v>
      </c>
      <c r="E990" s="1" t="s">
        <v>27</v>
      </c>
      <c r="F990" s="1">
        <v>44648</v>
      </c>
      <c r="G990" s="14" t="s">
        <v>50</v>
      </c>
      <c r="H990" t="s">
        <v>2747</v>
      </c>
      <c r="I990" s="2" t="s">
        <v>2748</v>
      </c>
      <c r="J990" s="2">
        <v>0.017361111111111112</v>
      </c>
      <c r="K990" s="1">
        <v>0.041666666666666664</v>
      </c>
      <c r="L990" s="1">
        <v>0.059027777777777776</v>
      </c>
      <c r="M990" s="1" t="s">
        <v>22</v>
      </c>
      <c r="N990" s="1" t="s">
        <v>32</v>
      </c>
      <c r="O990" s="1" t="s">
        <v>483</v>
      </c>
      <c r="P990" s="1" t="s">
        <v>484</v>
      </c>
      <c r="Q990" s="1">
        <v>44648</v>
      </c>
      <c r="R990" s="14">
        <v>5</v>
      </c>
      <c r="S990" s="1" t="s">
        <v>22</v>
      </c>
      <c r="T990" s="1" t="s">
        <v>22</v>
      </c>
      <c r="U990" s="1" t="s">
        <v>22</v>
      </c>
    </row>
    <row r="991" spans="1:21" x14ac:dyDescent="0.25">
      <c r="A991" s="1" t="s">
        <v>2717</v>
      </c>
      <c r="B991" s="2" t="s">
        <v>260</v>
      </c>
      <c r="C991" s="1" t="s">
        <v>261</v>
      </c>
      <c r="D991" s="1" t="s">
        <v>2749</v>
      </c>
      <c r="E991" s="1" t="s">
        <v>27</v>
      </c>
      <c r="F991" s="1">
        <v>44650</v>
      </c>
      <c r="G991" s="14" t="s">
        <v>50</v>
      </c>
      <c r="H991" t="s">
        <v>2750</v>
      </c>
      <c r="I991" s="2" t="s">
        <v>2751</v>
      </c>
      <c r="J991" s="2">
        <v>0.03819444444444444</v>
      </c>
      <c r="K991" s="1">
        <v>0.03125</v>
      </c>
      <c r="L991" s="1">
        <v>0.06944444444444445</v>
      </c>
      <c r="M991" s="1" t="s">
        <v>22</v>
      </c>
      <c r="N991" s="1" t="s">
        <v>32</v>
      </c>
      <c r="O991" s="1" t="s">
        <v>483</v>
      </c>
      <c r="P991" s="1" t="s">
        <v>42</v>
      </c>
      <c r="Q991" s="1">
        <v>44650</v>
      </c>
      <c r="R991" s="14">
        <v>5</v>
      </c>
      <c r="S991" s="1" t="s">
        <v>22</v>
      </c>
      <c r="T991" s="1" t="s">
        <v>22</v>
      </c>
      <c r="U991" s="1" t="s">
        <v>22</v>
      </c>
    </row>
    <row r="992" spans="1:21" x14ac:dyDescent="0.25">
      <c r="A992" s="1" t="s">
        <v>2717</v>
      </c>
      <c r="B992" s="2" t="s">
        <v>146</v>
      </c>
      <c r="C992" s="1" t="s">
        <v>186</v>
      </c>
      <c r="D992" s="1" t="s">
        <v>2752</v>
      </c>
      <c r="E992" s="1" t="s">
        <v>27</v>
      </c>
      <c r="F992" s="1">
        <v>44651</v>
      </c>
      <c r="G992" s="14" t="s">
        <v>38</v>
      </c>
      <c r="H992" t="s">
        <v>2753</v>
      </c>
      <c r="I992" s="2" t="s">
        <v>2753</v>
      </c>
      <c r="J992" s="2">
        <v>0.011805555555555555</v>
      </c>
      <c r="K992" s="1">
        <v>0.034722222222222224</v>
      </c>
      <c r="L992" s="1">
        <v>0.04652777777777778</v>
      </c>
      <c r="M992" s="1" t="s">
        <v>22</v>
      </c>
      <c r="N992" s="1" t="s">
        <v>574</v>
      </c>
      <c r="O992" s="1" t="s">
        <v>32</v>
      </c>
      <c r="P992" s="1" t="s">
        <v>488</v>
      </c>
      <c r="Q992" s="1">
        <v>44651</v>
      </c>
      <c r="R992" s="14">
        <v>5</v>
      </c>
      <c r="S992" s="1" t="s">
        <v>22</v>
      </c>
      <c r="T992" s="1" t="s">
        <v>22</v>
      </c>
      <c r="U992" s="1" t="s">
        <v>22</v>
      </c>
    </row>
    <row r="993" spans="1:21" x14ac:dyDescent="0.25">
      <c r="A993" s="1" t="s">
        <v>2717</v>
      </c>
      <c r="B993" s="2" t="s">
        <v>2582</v>
      </c>
      <c r="C993" s="1" t="s">
        <v>25</v>
      </c>
      <c r="D993" s="1" t="s">
        <v>2754</v>
      </c>
      <c r="E993" s="1" t="s">
        <v>27</v>
      </c>
      <c r="F993" s="1">
        <v>44651</v>
      </c>
      <c r="G993" s="14" t="s">
        <v>38</v>
      </c>
      <c r="H993" t="s">
        <v>2755</v>
      </c>
      <c r="I993" s="2" t="s">
        <v>2755</v>
      </c>
      <c r="J993" s="2">
        <v>0.05555555555555555</v>
      </c>
      <c r="K993" s="1">
        <v>0.0625</v>
      </c>
      <c r="L993" s="1">
        <v>0.11805555555555555</v>
      </c>
      <c r="M993" s="1" t="s">
        <v>22</v>
      </c>
      <c r="N993" s="1" t="s">
        <v>31</v>
      </c>
      <c r="O993" s="1" t="s">
        <v>483</v>
      </c>
      <c r="P993" s="1" t="s">
        <v>488</v>
      </c>
      <c r="Q993" s="1">
        <v>44651</v>
      </c>
      <c r="R993" s="14">
        <v>5</v>
      </c>
      <c r="S993" s="1" t="s">
        <v>22</v>
      </c>
      <c r="T993" s="1" t="s">
        <v>22</v>
      </c>
      <c r="U993" s="1" t="s">
        <v>22</v>
      </c>
    </row>
    <row r="994" spans="1:21" x14ac:dyDescent="0.25">
      <c r="A994" s="1" t="s">
        <v>2756</v>
      </c>
      <c r="B994" s="2" t="s">
        <v>284</v>
      </c>
      <c r="C994" s="1" t="s">
        <v>285</v>
      </c>
      <c r="D994" s="1" t="s">
        <v>2757</v>
      </c>
      <c r="E994" s="1" t="s">
        <v>27</v>
      </c>
      <c r="F994" s="1">
        <v>44657</v>
      </c>
      <c r="G994" s="14" t="s">
        <v>133</v>
      </c>
      <c r="H994" t="s">
        <v>2758</v>
      </c>
      <c r="I994" s="2" t="s">
        <v>2759</v>
      </c>
      <c r="J994" s="2">
        <v>0.013888888888888888</v>
      </c>
      <c r="K994" s="1">
        <v>0.030555555555555555</v>
      </c>
      <c r="L994" s="1">
        <v>0.04444444444444444</v>
      </c>
      <c r="M994" s="1" t="s">
        <v>22</v>
      </c>
      <c r="N994" s="1" t="s">
        <v>32</v>
      </c>
      <c r="O994" s="1" t="s">
        <v>483</v>
      </c>
      <c r="P994" s="1" t="s">
        <v>484</v>
      </c>
      <c r="Q994" s="1">
        <v>44657</v>
      </c>
      <c r="R994" s="14">
        <v>5</v>
      </c>
      <c r="S994" s="1" t="s">
        <v>22</v>
      </c>
      <c r="T994" s="1" t="s">
        <v>22</v>
      </c>
      <c r="U994" s="1" t="s">
        <v>22</v>
      </c>
    </row>
    <row r="995" spans="1:21" x14ac:dyDescent="0.25">
      <c r="A995" s="1" t="s">
        <v>2756</v>
      </c>
      <c r="B995" s="2" t="s">
        <v>258</v>
      </c>
      <c r="C995" s="1" t="s">
        <v>25</v>
      </c>
      <c r="D995" s="1" t="s">
        <v>2760</v>
      </c>
      <c r="E995" s="1" t="s">
        <v>27</v>
      </c>
      <c r="F995" s="1">
        <v>44662</v>
      </c>
      <c r="G995" s="14" t="s">
        <v>38</v>
      </c>
      <c r="H995" t="s">
        <v>2761</v>
      </c>
      <c r="I995" s="2" t="s">
        <v>2761</v>
      </c>
      <c r="J995" s="2">
        <v>0.030555555555555555</v>
      </c>
      <c r="K995" s="1">
        <v>0.03125</v>
      </c>
      <c r="L995" s="1">
        <v>0.06180555555555556</v>
      </c>
      <c r="M995" s="1" t="s">
        <v>22</v>
      </c>
      <c r="N995" s="1" t="s">
        <v>574</v>
      </c>
      <c r="O995" s="1" t="s">
        <v>32</v>
      </c>
      <c r="P995" s="1" t="s">
        <v>488</v>
      </c>
      <c r="Q995" s="1">
        <v>44662</v>
      </c>
      <c r="R995" s="14">
        <v>5</v>
      </c>
      <c r="S995" s="1" t="s">
        <v>22</v>
      </c>
      <c r="T995" s="1" t="s">
        <v>22</v>
      </c>
      <c r="U995" s="1" t="s">
        <v>22</v>
      </c>
    </row>
    <row r="996" spans="1:21" x14ac:dyDescent="0.25">
      <c r="A996" s="1" t="s">
        <v>2756</v>
      </c>
      <c r="B996" s="2" t="s">
        <v>258</v>
      </c>
      <c r="C996" s="1" t="s">
        <v>25</v>
      </c>
      <c r="D996" s="1" t="s">
        <v>2762</v>
      </c>
      <c r="E996" s="1" t="s">
        <v>27</v>
      </c>
      <c r="F996" s="1">
        <v>44664</v>
      </c>
      <c r="G996" s="14" t="s">
        <v>28</v>
      </c>
      <c r="H996" t="s">
        <v>2763</v>
      </c>
      <c r="I996" s="2" t="s">
        <v>2764</v>
      </c>
      <c r="J996" s="2">
        <v>0.024305555555555556</v>
      </c>
      <c r="K996" s="1">
        <v>0.052083333333333336</v>
      </c>
      <c r="L996" s="1">
        <v>0.0763888888888889</v>
      </c>
      <c r="M996" s="1" t="s">
        <v>22</v>
      </c>
      <c r="N996" s="1" t="s">
        <v>32</v>
      </c>
      <c r="O996" s="1" t="s">
        <v>483</v>
      </c>
      <c r="P996" s="1" t="s">
        <v>488</v>
      </c>
      <c r="Q996" s="1">
        <v>44664</v>
      </c>
      <c r="R996" s="14">
        <v>5</v>
      </c>
      <c r="S996" s="1" t="s">
        <v>22</v>
      </c>
      <c r="T996" s="1" t="s">
        <v>22</v>
      </c>
      <c r="U996" s="1" t="s">
        <v>22</v>
      </c>
    </row>
    <row r="997" spans="1:21" x14ac:dyDescent="0.25">
      <c r="A997" s="1" t="s">
        <v>2756</v>
      </c>
      <c r="B997" s="2" t="s">
        <v>258</v>
      </c>
      <c r="C997" s="1" t="s">
        <v>25</v>
      </c>
      <c r="D997" s="1" t="s">
        <v>2765</v>
      </c>
      <c r="E997" s="1" t="s">
        <v>27</v>
      </c>
      <c r="F997" s="1">
        <v>44664</v>
      </c>
      <c r="G997" s="14" t="s">
        <v>38</v>
      </c>
      <c r="H997" t="s">
        <v>2766</v>
      </c>
      <c r="I997" s="2" t="s">
        <v>2766</v>
      </c>
      <c r="J997" s="2">
        <v>0.034722222222222224</v>
      </c>
      <c r="K997" s="1">
        <v>0.034722222222222224</v>
      </c>
      <c r="L997" s="1">
        <v>0.06944444444444445</v>
      </c>
      <c r="M997" s="1" t="s">
        <v>22</v>
      </c>
      <c r="N997" s="1" t="s">
        <v>31</v>
      </c>
      <c r="O997" s="1" t="s">
        <v>483</v>
      </c>
      <c r="P997" s="1" t="s">
        <v>488</v>
      </c>
      <c r="Q997" s="1">
        <v>44664</v>
      </c>
      <c r="R997" s="14">
        <v>5</v>
      </c>
      <c r="S997" s="1" t="s">
        <v>22</v>
      </c>
      <c r="T997" s="1" t="s">
        <v>22</v>
      </c>
      <c r="U997" s="1" t="s">
        <v>22</v>
      </c>
    </row>
    <row r="998" spans="1:21" x14ac:dyDescent="0.25">
      <c r="A998" s="1" t="s">
        <v>2756</v>
      </c>
      <c r="B998" s="2" t="s">
        <v>2582</v>
      </c>
      <c r="C998" s="1" t="s">
        <v>25</v>
      </c>
      <c r="D998" s="1" t="s">
        <v>2767</v>
      </c>
      <c r="E998" s="1" t="s">
        <v>27</v>
      </c>
      <c r="F998" s="1">
        <v>44676</v>
      </c>
      <c r="G998" s="14" t="s">
        <v>38</v>
      </c>
      <c r="H998" t="s">
        <v>2768</v>
      </c>
      <c r="I998" s="2" t="s">
        <v>2769</v>
      </c>
      <c r="J998" s="2">
        <v>0.010416666666666666</v>
      </c>
      <c r="K998" s="1">
        <v>0.02361111111111111</v>
      </c>
      <c r="L998" s="1">
        <v>0.034027777777777775</v>
      </c>
      <c r="M998" s="1" t="s">
        <v>22</v>
      </c>
      <c r="N998" s="1" t="s">
        <v>32</v>
      </c>
      <c r="O998" s="1" t="s">
        <v>483</v>
      </c>
      <c r="P998" s="1" t="s">
        <v>488</v>
      </c>
      <c r="Q998" s="1">
        <v>44676</v>
      </c>
      <c r="R998" s="14">
        <v>5</v>
      </c>
      <c r="S998" s="1" t="s">
        <v>22</v>
      </c>
      <c r="T998" s="1" t="s">
        <v>22</v>
      </c>
      <c r="U998" s="1" t="s">
        <v>22</v>
      </c>
    </row>
    <row r="999" spans="1:21" x14ac:dyDescent="0.25">
      <c r="A999" s="1" t="s">
        <v>2756</v>
      </c>
      <c r="B999" s="2" t="s">
        <v>113</v>
      </c>
      <c r="C999" s="1" t="s">
        <v>25</v>
      </c>
      <c r="D999" s="1" t="s">
        <v>2770</v>
      </c>
      <c r="E999" s="1" t="s">
        <v>27</v>
      </c>
      <c r="F999" s="1">
        <v>44681</v>
      </c>
      <c r="G999" s="14" t="s">
        <v>38</v>
      </c>
      <c r="H999" t="s">
        <v>2771</v>
      </c>
      <c r="I999" s="2" t="s">
        <v>2772</v>
      </c>
      <c r="J999" s="2">
        <v>0.020833333333333332</v>
      </c>
      <c r="K999" s="1">
        <v>0.015972222222222224</v>
      </c>
      <c r="L999" s="1">
        <v>0.03680555555555556</v>
      </c>
      <c r="M999" s="1" t="s">
        <v>22</v>
      </c>
      <c r="N999" s="1" t="s">
        <v>53</v>
      </c>
      <c r="O999" s="1" t="s">
        <v>483</v>
      </c>
      <c r="P999" s="1" t="s">
        <v>484</v>
      </c>
      <c r="Q999" s="1">
        <v>44681</v>
      </c>
      <c r="R999" s="14">
        <v>5</v>
      </c>
      <c r="S999" s="1" t="s">
        <v>22</v>
      </c>
      <c r="T999" s="1" t="s">
        <v>22</v>
      </c>
      <c r="U999" s="1" t="s">
        <v>22</v>
      </c>
    </row>
    <row r="1000" spans="1:21" x14ac:dyDescent="0.25">
      <c r="A1000" s="1" t="s">
        <v>2773</v>
      </c>
      <c r="B1000" s="2" t="s">
        <v>43</v>
      </c>
      <c r="C1000" s="1" t="s">
        <v>44</v>
      </c>
      <c r="D1000" s="1" t="s">
        <v>2774</v>
      </c>
      <c r="E1000" s="1" t="s">
        <v>37</v>
      </c>
      <c r="F1000" s="1">
        <v>44686</v>
      </c>
      <c r="G1000" s="14" t="s">
        <v>2775</v>
      </c>
      <c r="H1000" t="s">
        <v>2776</v>
      </c>
      <c r="I1000" s="2" t="s">
        <v>2777</v>
      </c>
      <c r="J1000" s="2">
        <v>0.010416666666666666</v>
      </c>
      <c r="K1000" s="1">
        <v>0.020833333333333332</v>
      </c>
      <c r="L1000" s="1">
        <v>0.03125</v>
      </c>
      <c r="M1000" s="1" t="s">
        <v>22</v>
      </c>
      <c r="N1000" s="1" t="s">
        <v>574</v>
      </c>
      <c r="O1000" s="1" t="s">
        <v>483</v>
      </c>
      <c r="P1000" s="1" t="s">
        <v>484</v>
      </c>
      <c r="Q1000" s="1">
        <v>44686</v>
      </c>
      <c r="R1000" s="14">
        <v>5</v>
      </c>
      <c r="S1000" s="1" t="s">
        <v>22</v>
      </c>
      <c r="T1000" s="1" t="s">
        <v>22</v>
      </c>
      <c r="U1000" s="1" t="s">
        <v>22</v>
      </c>
    </row>
    <row r="1001" spans="1:21" x14ac:dyDescent="0.25">
      <c r="A1001" s="1" t="s">
        <v>2773</v>
      </c>
      <c r="B1001" s="2" t="s">
        <v>489</v>
      </c>
      <c r="C1001" s="1" t="s">
        <v>490</v>
      </c>
      <c r="D1001" s="1" t="s">
        <v>2778</v>
      </c>
      <c r="E1001" s="1" t="s">
        <v>37</v>
      </c>
      <c r="F1001" s="1">
        <v>44691</v>
      </c>
      <c r="G1001" s="14" t="s">
        <v>38</v>
      </c>
      <c r="H1001" t="s">
        <v>2779</v>
      </c>
      <c r="I1001" s="2" t="s">
        <v>2780</v>
      </c>
      <c r="J1001" s="2">
        <v>0.041666666666666664</v>
      </c>
      <c r="K1001" s="1">
        <v>0.034722222222222224</v>
      </c>
      <c r="L1001" s="1">
        <v>0.0763888888888889</v>
      </c>
      <c r="M1001" s="1" t="s">
        <v>22</v>
      </c>
      <c r="N1001" s="1" t="s">
        <v>574</v>
      </c>
      <c r="O1001" s="1" t="s">
        <v>483</v>
      </c>
      <c r="P1001" s="1" t="s">
        <v>488</v>
      </c>
      <c r="Q1001" s="1">
        <v>44691</v>
      </c>
      <c r="R1001" s="14">
        <v>5</v>
      </c>
      <c r="S1001" s="1" t="s">
        <v>22</v>
      </c>
      <c r="T1001" s="1" t="s">
        <v>22</v>
      </c>
      <c r="U1001" s="1" t="s">
        <v>22</v>
      </c>
    </row>
    <row r="1002" spans="1:21" x14ac:dyDescent="0.25">
      <c r="A1002" s="1" t="s">
        <v>2773</v>
      </c>
      <c r="B1002" s="2" t="s">
        <v>529</v>
      </c>
      <c r="C1002" s="1" t="s">
        <v>1924</v>
      </c>
      <c r="D1002" s="1" t="s">
        <v>2781</v>
      </c>
      <c r="E1002" s="1" t="s">
        <v>37</v>
      </c>
      <c r="F1002" s="1">
        <v>44692</v>
      </c>
      <c r="G1002" s="14" t="s">
        <v>28</v>
      </c>
      <c r="H1002" t="s">
        <v>2782</v>
      </c>
      <c r="I1002" s="2" t="s">
        <v>2783</v>
      </c>
      <c r="J1002" s="2">
        <v>0.027777777777777776</v>
      </c>
      <c r="K1002" s="1">
        <v>0.04861111111111111</v>
      </c>
      <c r="L1002" s="1">
        <v>0.0763888888888889</v>
      </c>
      <c r="M1002" s="1" t="s">
        <v>22</v>
      </c>
      <c r="N1002" s="1" t="s">
        <v>574</v>
      </c>
      <c r="O1002" s="1" t="s">
        <v>483</v>
      </c>
      <c r="P1002" s="1" t="s">
        <v>484</v>
      </c>
      <c r="Q1002" s="1">
        <v>44692</v>
      </c>
      <c r="R1002" s="14">
        <v>5</v>
      </c>
      <c r="S1002" s="1" t="s">
        <v>22</v>
      </c>
      <c r="T1002" s="1" t="s">
        <v>22</v>
      </c>
      <c r="U1002" s="1" t="s">
        <v>22</v>
      </c>
    </row>
    <row r="1003" spans="1:21" x14ac:dyDescent="0.25">
      <c r="A1003" s="1" t="s">
        <v>2773</v>
      </c>
      <c r="B1003" s="2" t="s">
        <v>199</v>
      </c>
      <c r="C1003" s="1" t="s">
        <v>541</v>
      </c>
      <c r="D1003" s="1" t="s">
        <v>2784</v>
      </c>
      <c r="E1003" s="1" t="s">
        <v>37</v>
      </c>
      <c r="F1003" s="1">
        <v>44692</v>
      </c>
      <c r="G1003" s="14" t="s">
        <v>28</v>
      </c>
      <c r="H1003" t="s">
        <v>2785</v>
      </c>
      <c r="I1003" s="2" t="s">
        <v>2786</v>
      </c>
      <c r="J1003" s="2">
        <v>0.010416666666666666</v>
      </c>
      <c r="K1003" s="1">
        <v>0.024305555555555556</v>
      </c>
      <c r="L1003" s="1">
        <v>0.034722222222222224</v>
      </c>
      <c r="M1003" s="1" t="s">
        <v>22</v>
      </c>
      <c r="N1003" s="1" t="s">
        <v>483</v>
      </c>
      <c r="O1003" s="1" t="s">
        <v>32</v>
      </c>
      <c r="P1003" s="1" t="s">
        <v>488</v>
      </c>
      <c r="Q1003" s="1">
        <v>44692</v>
      </c>
      <c r="R1003" s="14">
        <v>5</v>
      </c>
      <c r="S1003" s="1" t="s">
        <v>22</v>
      </c>
      <c r="T1003" s="1" t="s">
        <v>22</v>
      </c>
      <c r="U1003" s="1" t="s">
        <v>22</v>
      </c>
    </row>
    <row r="1004" spans="1:21" x14ac:dyDescent="0.25">
      <c r="A1004" s="1" t="s">
        <v>2773</v>
      </c>
      <c r="B1004" s="2" t="s">
        <v>43</v>
      </c>
      <c r="C1004" s="1" t="s">
        <v>44</v>
      </c>
      <c r="D1004" s="1" t="s">
        <v>2787</v>
      </c>
      <c r="E1004" s="1" t="s">
        <v>37</v>
      </c>
      <c r="F1004" s="1">
        <v>44694</v>
      </c>
      <c r="G1004" s="14" t="s">
        <v>2775</v>
      </c>
      <c r="H1004" t="s">
        <v>2788</v>
      </c>
      <c r="I1004" s="2" t="s">
        <v>2788</v>
      </c>
      <c r="J1004" s="2">
        <v>0.010416666666666666</v>
      </c>
      <c r="K1004" s="1">
        <v>0.013888888888888888</v>
      </c>
      <c r="L1004" s="1">
        <v>0.024305555555555552</v>
      </c>
      <c r="M1004" s="1" t="s">
        <v>22</v>
      </c>
      <c r="N1004" s="1" t="s">
        <v>574</v>
      </c>
      <c r="O1004" s="1" t="s">
        <v>32</v>
      </c>
      <c r="P1004" s="1" t="s">
        <v>484</v>
      </c>
      <c r="Q1004" s="1">
        <v>44694</v>
      </c>
      <c r="R1004" s="14">
        <v>5</v>
      </c>
      <c r="S1004" s="1" t="s">
        <v>22</v>
      </c>
      <c r="T1004" s="1" t="s">
        <v>22</v>
      </c>
      <c r="U1004" s="1" t="s">
        <v>22</v>
      </c>
    </row>
    <row r="1005" spans="1:21" x14ac:dyDescent="0.25">
      <c r="A1005" s="1" t="s">
        <v>2773</v>
      </c>
      <c r="B1005" s="2" t="s">
        <v>163</v>
      </c>
      <c r="C1005" s="1" t="s">
        <v>25</v>
      </c>
      <c r="D1005" s="1" t="s">
        <v>2789</v>
      </c>
      <c r="E1005" s="1" t="s">
        <v>37</v>
      </c>
      <c r="F1005" s="1">
        <v>44699</v>
      </c>
      <c r="G1005" s="14" t="s">
        <v>2775</v>
      </c>
      <c r="H1005" t="s">
        <v>2790</v>
      </c>
      <c r="I1005" s="2" t="s">
        <v>2791</v>
      </c>
      <c r="J1005" s="2">
        <v>0.020833333333333332</v>
      </c>
      <c r="K1005" s="1">
        <v>0.006944444444444444</v>
      </c>
      <c r="L1005" s="1">
        <v>0.027777777777777776</v>
      </c>
      <c r="M1005" s="1" t="s">
        <v>22</v>
      </c>
      <c r="N1005" s="1" t="s">
        <v>31</v>
      </c>
      <c r="O1005" s="1" t="s">
        <v>32</v>
      </c>
      <c r="P1005" s="1" t="s">
        <v>488</v>
      </c>
      <c r="Q1005" s="1">
        <v>44699</v>
      </c>
      <c r="R1005" s="14">
        <v>5</v>
      </c>
      <c r="S1005" s="1" t="s">
        <v>22</v>
      </c>
      <c r="T1005" s="1" t="s">
        <v>22</v>
      </c>
      <c r="U1005" s="1" t="s">
        <v>22</v>
      </c>
    </row>
    <row r="1006" spans="1:21" x14ac:dyDescent="0.25">
      <c r="A1006" s="1" t="s">
        <v>2773</v>
      </c>
      <c r="B1006" s="2" t="s">
        <v>545</v>
      </c>
      <c r="C1006" s="1" t="s">
        <v>963</v>
      </c>
      <c r="D1006" s="1" t="s">
        <v>2792</v>
      </c>
      <c r="E1006" s="1" t="s">
        <v>37</v>
      </c>
      <c r="F1006" s="1">
        <v>44701</v>
      </c>
      <c r="G1006" s="14" t="s">
        <v>2793</v>
      </c>
      <c r="H1006" t="s">
        <v>2794</v>
      </c>
      <c r="I1006" s="2" t="s">
        <v>2794</v>
      </c>
      <c r="J1006" s="2">
        <v>0.010416666666666666</v>
      </c>
      <c r="K1006" s="1">
        <v>0.027777777777777776</v>
      </c>
      <c r="L1006" s="1">
        <v>0.03819444444444444</v>
      </c>
      <c r="M1006" s="1" t="s">
        <v>22</v>
      </c>
      <c r="N1006" s="1" t="s">
        <v>574</v>
      </c>
      <c r="O1006" s="1" t="s">
        <v>32</v>
      </c>
      <c r="P1006" s="1" t="s">
        <v>484</v>
      </c>
      <c r="Q1006" s="1">
        <v>44701</v>
      </c>
      <c r="R1006" s="14">
        <v>5</v>
      </c>
      <c r="S1006" s="1" t="s">
        <v>22</v>
      </c>
      <c r="T1006" s="1" t="s">
        <v>22</v>
      </c>
      <c r="U1006" s="1" t="s">
        <v>22</v>
      </c>
    </row>
    <row r="1007" spans="1:21" x14ac:dyDescent="0.25">
      <c r="A1007" s="1" t="s">
        <v>2773</v>
      </c>
      <c r="B1007" s="2" t="s">
        <v>163</v>
      </c>
      <c r="C1007" s="1" t="s">
        <v>25</v>
      </c>
      <c r="D1007" s="1" t="s">
        <v>2795</v>
      </c>
      <c r="E1007" s="1" t="s">
        <v>37</v>
      </c>
      <c r="F1007" s="1">
        <v>44706</v>
      </c>
      <c r="G1007" s="14" t="s">
        <v>133</v>
      </c>
      <c r="H1007" t="s">
        <v>2796</v>
      </c>
      <c r="I1007" s="2" t="s">
        <v>2797</v>
      </c>
      <c r="J1007" s="2">
        <v>0.013888888888888888</v>
      </c>
      <c r="K1007" s="1">
        <v>0.024999999999999998</v>
      </c>
      <c r="L1007" s="1">
        <v>0.03888888888888889</v>
      </c>
      <c r="M1007" s="1" t="s">
        <v>22</v>
      </c>
      <c r="N1007" s="1" t="s">
        <v>31</v>
      </c>
      <c r="O1007" s="1" t="s">
        <v>483</v>
      </c>
      <c r="P1007" s="1" t="s">
        <v>488</v>
      </c>
      <c r="Q1007" s="1">
        <v>44706</v>
      </c>
      <c r="R1007" s="14">
        <v>5</v>
      </c>
      <c r="S1007" s="1" t="s">
        <v>22</v>
      </c>
      <c r="T1007" s="1" t="s">
        <v>22</v>
      </c>
      <c r="U1007" s="1" t="s">
        <v>22</v>
      </c>
    </row>
    <row r="1008" spans="1:21" x14ac:dyDescent="0.25">
      <c r="A1008" s="1" t="s">
        <v>2773</v>
      </c>
      <c r="B1008" s="2" t="s">
        <v>258</v>
      </c>
      <c r="C1008" s="1" t="s">
        <v>25</v>
      </c>
      <c r="D1008" s="1" t="s">
        <v>2798</v>
      </c>
      <c r="E1008" s="1" t="s">
        <v>27</v>
      </c>
      <c r="F1008" s="1">
        <v>44707</v>
      </c>
      <c r="G1008" s="14" t="s">
        <v>38</v>
      </c>
      <c r="H1008" t="s">
        <v>2799</v>
      </c>
      <c r="I1008" s="2" t="s">
        <v>2800</v>
      </c>
      <c r="J1008" s="2">
        <v>0.020833333333333332</v>
      </c>
      <c r="K1008" s="1">
        <v>0.0798611111111111</v>
      </c>
      <c r="L1008" s="1">
        <v>0.10069444444444443</v>
      </c>
      <c r="M1008" s="1" t="s">
        <v>22</v>
      </c>
      <c r="N1008" s="1" t="s">
        <v>32</v>
      </c>
      <c r="O1008" s="1" t="s">
        <v>483</v>
      </c>
      <c r="P1008" s="1" t="s">
        <v>488</v>
      </c>
      <c r="Q1008" s="1">
        <v>44707</v>
      </c>
      <c r="R1008" s="14">
        <v>5</v>
      </c>
      <c r="S1008" s="1" t="s">
        <v>22</v>
      </c>
      <c r="T1008" s="1" t="s">
        <v>22</v>
      </c>
      <c r="U1008" s="1" t="s">
        <v>22</v>
      </c>
    </row>
    <row r="1009" spans="1:21" x14ac:dyDescent="0.25">
      <c r="A1009" s="1" t="s">
        <v>2773</v>
      </c>
      <c r="B1009" s="2" t="s">
        <v>163</v>
      </c>
      <c r="C1009" s="1" t="s">
        <v>25</v>
      </c>
      <c r="D1009" s="1" t="s">
        <v>2801</v>
      </c>
      <c r="E1009" s="1" t="s">
        <v>27</v>
      </c>
      <c r="F1009" s="1">
        <v>44707</v>
      </c>
      <c r="G1009" s="14" t="s">
        <v>38</v>
      </c>
      <c r="H1009" t="s">
        <v>2802</v>
      </c>
      <c r="I1009" s="2" t="s">
        <v>2803</v>
      </c>
      <c r="J1009" s="2">
        <v>0.010416666666666666</v>
      </c>
      <c r="K1009" s="1">
        <v>0.020833333333333332</v>
      </c>
      <c r="L1009" s="1">
        <v>0.03125</v>
      </c>
      <c r="M1009" s="1" t="s">
        <v>22</v>
      </c>
      <c r="N1009" s="1" t="s">
        <v>31</v>
      </c>
      <c r="O1009" s="1" t="s">
        <v>32</v>
      </c>
      <c r="P1009" s="1" t="s">
        <v>488</v>
      </c>
      <c r="Q1009" s="1">
        <v>44707</v>
      </c>
      <c r="R1009" s="14">
        <v>5</v>
      </c>
      <c r="S1009" s="1" t="s">
        <v>22</v>
      </c>
      <c r="T1009" s="1" t="s">
        <v>22</v>
      </c>
      <c r="U1009" s="1" t="s">
        <v>22</v>
      </c>
    </row>
    <row r="1010" spans="1:21" x14ac:dyDescent="0.25">
      <c r="A1010" s="1" t="s">
        <v>2773</v>
      </c>
      <c r="B1010" s="2" t="s">
        <v>163</v>
      </c>
      <c r="C1010" s="1" t="s">
        <v>25</v>
      </c>
      <c r="D1010" s="1" t="s">
        <v>2789</v>
      </c>
      <c r="E1010" s="1" t="s">
        <v>37</v>
      </c>
      <c r="F1010" s="1">
        <v>44708</v>
      </c>
      <c r="G1010" s="14" t="s">
        <v>38</v>
      </c>
      <c r="H1010" t="s">
        <v>2804</v>
      </c>
      <c r="I1010" s="2" t="s">
        <v>2805</v>
      </c>
      <c r="J1010" s="2">
        <v>0.013888888888888888</v>
      </c>
      <c r="K1010" s="1">
        <v>0.020833333333333332</v>
      </c>
      <c r="L1010" s="1">
        <v>0.034722222222222224</v>
      </c>
      <c r="M1010" s="1" t="s">
        <v>22</v>
      </c>
      <c r="N1010" s="1" t="s">
        <v>32</v>
      </c>
      <c r="O1010" s="1" t="s">
        <v>483</v>
      </c>
      <c r="P1010" s="1" t="s">
        <v>488</v>
      </c>
      <c r="Q1010" s="1">
        <v>44708</v>
      </c>
      <c r="R1010" s="14">
        <v>5</v>
      </c>
      <c r="S1010" s="1" t="s">
        <v>22</v>
      </c>
      <c r="T1010" s="1" t="s">
        <v>22</v>
      </c>
      <c r="U1010" s="1" t="s">
        <v>22</v>
      </c>
    </row>
    <row r="1011" spans="1:21" x14ac:dyDescent="0.25">
      <c r="A1011" s="1" t="s">
        <v>2773</v>
      </c>
      <c r="B1011" s="2" t="s">
        <v>2315</v>
      </c>
      <c r="C1011" s="1" t="s">
        <v>25</v>
      </c>
      <c r="D1011" s="1" t="s">
        <v>2806</v>
      </c>
      <c r="E1011" s="1" t="s">
        <v>37</v>
      </c>
      <c r="F1011" s="1">
        <v>44709</v>
      </c>
      <c r="G1011" s="14" t="s">
        <v>38</v>
      </c>
      <c r="H1011" t="s">
        <v>2807</v>
      </c>
      <c r="I1011" s="2" t="s">
        <v>2808</v>
      </c>
      <c r="J1011" s="2">
        <v>0.013888888888888888</v>
      </c>
      <c r="K1011" s="1">
        <v>0.027777777777777776</v>
      </c>
      <c r="L1011" s="1">
        <v>0.041666666666666664</v>
      </c>
      <c r="M1011" s="1" t="s">
        <v>22</v>
      </c>
      <c r="N1011" s="1" t="s">
        <v>32</v>
      </c>
      <c r="O1011" s="1" t="s">
        <v>483</v>
      </c>
      <c r="P1011" s="1" t="s">
        <v>484</v>
      </c>
      <c r="Q1011" s="1">
        <v>44709</v>
      </c>
      <c r="R1011" s="14">
        <v>5</v>
      </c>
      <c r="S1011" s="1" t="s">
        <v>22</v>
      </c>
      <c r="T1011" s="1" t="s">
        <v>22</v>
      </c>
      <c r="U1011" s="1" t="s">
        <v>22</v>
      </c>
    </row>
    <row r="1012" spans="1:21" x14ac:dyDescent="0.25">
      <c r="A1012" s="1" t="s">
        <v>2809</v>
      </c>
      <c r="B1012" s="2" t="s">
        <v>163</v>
      </c>
      <c r="C1012" s="1" t="s">
        <v>25</v>
      </c>
      <c r="D1012" s="1" t="s">
        <v>2810</v>
      </c>
      <c r="E1012" s="1" t="s">
        <v>27</v>
      </c>
      <c r="F1012" s="1">
        <v>44713</v>
      </c>
      <c r="G1012" s="14" t="s">
        <v>38</v>
      </c>
      <c r="H1012" t="s">
        <v>2811</v>
      </c>
      <c r="I1012" s="2" t="s">
        <v>2812</v>
      </c>
      <c r="J1012" s="2">
        <v>0.020833333333333332</v>
      </c>
      <c r="K1012" s="1">
        <v>0.027777777777777776</v>
      </c>
      <c r="L1012" s="1">
        <v>0.048611111111111105</v>
      </c>
      <c r="M1012" s="1" t="s">
        <v>22</v>
      </c>
      <c r="N1012" s="1" t="s">
        <v>32</v>
      </c>
      <c r="O1012" s="1" t="s">
        <v>483</v>
      </c>
      <c r="P1012" s="1" t="s">
        <v>488</v>
      </c>
      <c r="Q1012" s="1">
        <v>44713</v>
      </c>
      <c r="R1012" s="14">
        <v>5</v>
      </c>
      <c r="S1012" s="1" t="s">
        <v>22</v>
      </c>
      <c r="T1012" s="1" t="s">
        <v>22</v>
      </c>
      <c r="U1012" s="1" t="s">
        <v>22</v>
      </c>
    </row>
    <row r="1013" spans="1:21" x14ac:dyDescent="0.25">
      <c r="A1013" s="1" t="s">
        <v>2809</v>
      </c>
      <c r="B1013" s="2" t="s">
        <v>2813</v>
      </c>
      <c r="C1013" s="1" t="s">
        <v>25</v>
      </c>
      <c r="D1013" s="1" t="s">
        <v>2814</v>
      </c>
      <c r="E1013" s="1" t="s">
        <v>27</v>
      </c>
      <c r="F1013" s="1">
        <v>44713</v>
      </c>
      <c r="G1013" s="14" t="s">
        <v>38</v>
      </c>
      <c r="H1013" t="s">
        <v>2815</v>
      </c>
      <c r="I1013" s="2" t="s">
        <v>2816</v>
      </c>
      <c r="J1013" s="2">
        <v>0.020833333333333332</v>
      </c>
      <c r="K1013" s="1">
        <v>0.029861111111111113</v>
      </c>
      <c r="L1013" s="1">
        <v>0.050694444444444445</v>
      </c>
      <c r="M1013" s="1" t="s">
        <v>22</v>
      </c>
      <c r="N1013" s="1" t="s">
        <v>32</v>
      </c>
      <c r="O1013" s="1" t="s">
        <v>483</v>
      </c>
      <c r="P1013" s="1" t="s">
        <v>488</v>
      </c>
      <c r="Q1013" s="1">
        <v>44713</v>
      </c>
      <c r="R1013" s="14">
        <v>5</v>
      </c>
      <c r="S1013" s="1" t="s">
        <v>22</v>
      </c>
      <c r="T1013" s="1" t="s">
        <v>22</v>
      </c>
      <c r="U1013" s="1" t="s">
        <v>22</v>
      </c>
    </row>
    <row r="1014" spans="1:21" x14ac:dyDescent="0.25">
      <c r="A1014" s="1" t="s">
        <v>2809</v>
      </c>
      <c r="B1014" s="2" t="s">
        <v>2813</v>
      </c>
      <c r="C1014" s="1" t="s">
        <v>25</v>
      </c>
      <c r="D1014" s="1" t="s">
        <v>2814</v>
      </c>
      <c r="E1014" s="1" t="s">
        <v>27</v>
      </c>
      <c r="F1014" s="1">
        <v>44721</v>
      </c>
      <c r="G1014" s="14" t="s">
        <v>38</v>
      </c>
      <c r="H1014" t="s">
        <v>2817</v>
      </c>
      <c r="I1014" s="2" t="s">
        <v>2818</v>
      </c>
      <c r="J1014" s="2">
        <v>0.017361111111111112</v>
      </c>
      <c r="K1014" s="1">
        <v>0.03819444444444444</v>
      </c>
      <c r="L1014" s="1">
        <v>0.05555555555555555</v>
      </c>
      <c r="M1014" s="1" t="s">
        <v>22</v>
      </c>
      <c r="N1014" s="1" t="s">
        <v>32</v>
      </c>
      <c r="O1014" s="1" t="s">
        <v>483</v>
      </c>
      <c r="P1014" s="1" t="s">
        <v>488</v>
      </c>
      <c r="Q1014" s="1">
        <v>44721</v>
      </c>
      <c r="R1014" s="14">
        <v>5</v>
      </c>
      <c r="S1014" s="1" t="s">
        <v>22</v>
      </c>
      <c r="T1014" s="1" t="s">
        <v>22</v>
      </c>
      <c r="U1014" s="1" t="s">
        <v>22</v>
      </c>
    </row>
    <row r="1015" spans="1:21" x14ac:dyDescent="0.25">
      <c r="A1015" s="1" t="s">
        <v>2809</v>
      </c>
      <c r="B1015" s="2" t="s">
        <v>2514</v>
      </c>
      <c r="C1015" s="1" t="s">
        <v>1631</v>
      </c>
      <c r="D1015" s="1" t="s">
        <v>2819</v>
      </c>
      <c r="E1015" s="1" t="s">
        <v>27</v>
      </c>
      <c r="F1015" s="1">
        <v>44721</v>
      </c>
      <c r="G1015" s="14" t="s">
        <v>38</v>
      </c>
      <c r="H1015" t="s">
        <v>2820</v>
      </c>
      <c r="I1015" s="2" t="s">
        <v>2821</v>
      </c>
      <c r="J1015" s="2">
        <v>0.09375</v>
      </c>
      <c r="K1015" s="1">
        <v>0.07291666666666667</v>
      </c>
      <c r="L1015" s="1">
        <v>0.16666666666666669</v>
      </c>
      <c r="M1015" s="1" t="s">
        <v>22</v>
      </c>
      <c r="N1015" s="1" t="s">
        <v>31</v>
      </c>
      <c r="O1015" s="1" t="s">
        <v>483</v>
      </c>
      <c r="P1015" s="1" t="s">
        <v>488</v>
      </c>
      <c r="Q1015" s="1">
        <v>44721</v>
      </c>
      <c r="R1015" s="14">
        <v>5</v>
      </c>
      <c r="S1015" s="1" t="s">
        <v>22</v>
      </c>
      <c r="T1015" s="1" t="s">
        <v>22</v>
      </c>
      <c r="U1015" s="1" t="s">
        <v>22</v>
      </c>
    </row>
    <row r="1016" spans="1:21" x14ac:dyDescent="0.25">
      <c r="A1016" s="1" t="s">
        <v>2809</v>
      </c>
      <c r="B1016" s="2" t="s">
        <v>163</v>
      </c>
      <c r="C1016" s="1" t="s">
        <v>25</v>
      </c>
      <c r="D1016" s="1" t="s">
        <v>2822</v>
      </c>
      <c r="E1016" s="1" t="s">
        <v>27</v>
      </c>
      <c r="F1016" s="1">
        <v>44729</v>
      </c>
      <c r="G1016" s="14" t="s">
        <v>38</v>
      </c>
      <c r="H1016" t="s">
        <v>2823</v>
      </c>
      <c r="I1016" s="2" t="s">
        <v>2824</v>
      </c>
      <c r="J1016" s="2">
        <v>0.052083333333333336</v>
      </c>
      <c r="K1016" s="1">
        <v>0.0625</v>
      </c>
      <c r="L1016" s="1">
        <v>0.11458333333333334</v>
      </c>
      <c r="M1016" s="1" t="s">
        <v>22</v>
      </c>
      <c r="N1016" s="1" t="s">
        <v>31</v>
      </c>
      <c r="O1016" s="1" t="s">
        <v>32</v>
      </c>
      <c r="P1016" s="1" t="s">
        <v>488</v>
      </c>
      <c r="Q1016" s="1">
        <v>44729</v>
      </c>
      <c r="R1016" s="14">
        <v>5</v>
      </c>
      <c r="S1016" s="1" t="s">
        <v>22</v>
      </c>
      <c r="T1016" s="1" t="s">
        <v>22</v>
      </c>
      <c r="U1016" s="1" t="s">
        <v>22</v>
      </c>
    </row>
    <row r="1017" spans="1:21" x14ac:dyDescent="0.25">
      <c r="A1017" s="1" t="s">
        <v>2809</v>
      </c>
      <c r="B1017" s="2" t="s">
        <v>529</v>
      </c>
      <c r="C1017" s="1" t="s">
        <v>530</v>
      </c>
      <c r="D1017" s="1" t="s">
        <v>2825</v>
      </c>
      <c r="E1017" s="1" t="s">
        <v>27</v>
      </c>
      <c r="F1017" s="1">
        <v>44733</v>
      </c>
      <c r="G1017" s="14" t="s">
        <v>28</v>
      </c>
      <c r="H1017" t="s">
        <v>2826</v>
      </c>
      <c r="I1017" s="2" t="s">
        <v>2827</v>
      </c>
      <c r="J1017" s="2">
        <v>0.034722222222222224</v>
      </c>
      <c r="K1017" s="1">
        <v>0.05555555555555555</v>
      </c>
      <c r="L1017" s="1">
        <v>0.09027777777777778</v>
      </c>
      <c r="M1017" s="1" t="s">
        <v>22</v>
      </c>
      <c r="N1017" s="1" t="s">
        <v>574</v>
      </c>
      <c r="O1017" s="1" t="s">
        <v>32</v>
      </c>
      <c r="P1017" s="1" t="s">
        <v>484</v>
      </c>
      <c r="Q1017" s="1">
        <v>44733</v>
      </c>
      <c r="R1017" s="14">
        <v>5</v>
      </c>
      <c r="S1017" s="1" t="s">
        <v>22</v>
      </c>
      <c r="T1017" s="1" t="s">
        <v>22</v>
      </c>
      <c r="U1017" s="1" t="s">
        <v>22</v>
      </c>
    </row>
    <row r="1018" spans="1:21" x14ac:dyDescent="0.25">
      <c r="A1018" s="1" t="s">
        <v>2809</v>
      </c>
      <c r="B1018" s="2" t="s">
        <v>1451</v>
      </c>
      <c r="C1018" s="1" t="s">
        <v>287</v>
      </c>
      <c r="D1018" s="1" t="s">
        <v>2828</v>
      </c>
      <c r="E1018" s="1" t="s">
        <v>27</v>
      </c>
      <c r="F1018" s="1">
        <v>44736</v>
      </c>
      <c r="G1018" s="14" t="s">
        <v>38</v>
      </c>
      <c r="H1018" t="s">
        <v>2829</v>
      </c>
      <c r="I1018" s="2" t="s">
        <v>2830</v>
      </c>
      <c r="J1018" s="2">
        <v>0.027777777777777776</v>
      </c>
      <c r="K1018" s="1">
        <v>0.03819444444444444</v>
      </c>
      <c r="L1018" s="1">
        <v>0.06597222222222221</v>
      </c>
      <c r="M1018" s="1" t="s">
        <v>22</v>
      </c>
      <c r="N1018" s="1" t="s">
        <v>574</v>
      </c>
      <c r="O1018" s="1" t="s">
        <v>32</v>
      </c>
      <c r="P1018" s="1" t="s">
        <v>484</v>
      </c>
      <c r="Q1018" s="1">
        <v>44736</v>
      </c>
      <c r="R1018" s="14">
        <v>5</v>
      </c>
      <c r="S1018" s="1" t="s">
        <v>22</v>
      </c>
      <c r="T1018" s="1" t="s">
        <v>22</v>
      </c>
      <c r="U1018" s="1" t="s">
        <v>22</v>
      </c>
    </row>
    <row r="1019" spans="1:21" x14ac:dyDescent="0.25">
      <c r="A1019" s="1" t="s">
        <v>2809</v>
      </c>
      <c r="B1019" s="2" t="s">
        <v>334</v>
      </c>
      <c r="C1019" s="1" t="s">
        <v>335</v>
      </c>
      <c r="D1019" s="1" t="s">
        <v>2831</v>
      </c>
      <c r="E1019" s="1" t="s">
        <v>27</v>
      </c>
      <c r="F1019" s="1">
        <v>44736</v>
      </c>
      <c r="G1019" s="14" t="s">
        <v>38</v>
      </c>
      <c r="H1019" t="s">
        <v>2832</v>
      </c>
      <c r="I1019" s="2" t="s">
        <v>2833</v>
      </c>
      <c r="J1019" s="2">
        <v>0.041666666666666664</v>
      </c>
      <c r="K1019" s="1">
        <v>0.03819444444444444</v>
      </c>
      <c r="L1019" s="1">
        <v>0.0798611111111111</v>
      </c>
      <c r="M1019" s="1" t="s">
        <v>22</v>
      </c>
      <c r="N1019" s="1" t="s">
        <v>574</v>
      </c>
      <c r="O1019" s="1" t="s">
        <v>32</v>
      </c>
      <c r="P1019" s="1" t="s">
        <v>42</v>
      </c>
      <c r="Q1019" s="1">
        <v>44736</v>
      </c>
      <c r="R1019" s="14">
        <v>5</v>
      </c>
      <c r="S1019" s="1" t="s">
        <v>22</v>
      </c>
      <c r="T1019" s="1" t="s">
        <v>22</v>
      </c>
      <c r="U1019" s="1" t="s">
        <v>22</v>
      </c>
    </row>
    <row r="1020" spans="1:21" x14ac:dyDescent="0.25">
      <c r="A1020" s="1" t="s">
        <v>2809</v>
      </c>
      <c r="B1020" s="2" t="s">
        <v>199</v>
      </c>
      <c r="C1020" s="1" t="s">
        <v>541</v>
      </c>
      <c r="D1020" s="1" t="s">
        <v>2834</v>
      </c>
      <c r="E1020" s="1" t="s">
        <v>37</v>
      </c>
      <c r="F1020" s="1">
        <v>44737</v>
      </c>
      <c r="G1020" s="14" t="s">
        <v>38</v>
      </c>
      <c r="H1020" t="s">
        <v>2835</v>
      </c>
      <c r="I1020" s="2" t="s">
        <v>2836</v>
      </c>
      <c r="J1020" s="2">
        <v>0.020833333333333332</v>
      </c>
      <c r="K1020" s="1">
        <v>0.020833333333333332</v>
      </c>
      <c r="L1020" s="1">
        <v>0.041666666666666664</v>
      </c>
      <c r="M1020" s="1" t="s">
        <v>22</v>
      </c>
      <c r="N1020" s="1" t="s">
        <v>54</v>
      </c>
      <c r="O1020" s="1" t="s">
        <v>32</v>
      </c>
      <c r="P1020" s="1" t="s">
        <v>484</v>
      </c>
      <c r="Q1020" s="1">
        <v>44737</v>
      </c>
      <c r="R1020" s="14">
        <v>5</v>
      </c>
      <c r="S1020" s="1" t="s">
        <v>22</v>
      </c>
      <c r="T1020" s="1" t="s">
        <v>22</v>
      </c>
      <c r="U1020" s="1" t="s">
        <v>22</v>
      </c>
    </row>
    <row r="1021" spans="1:21" x14ac:dyDescent="0.25">
      <c r="A1021" s="1" t="s">
        <v>2809</v>
      </c>
      <c r="B1021" s="2" t="s">
        <v>258</v>
      </c>
      <c r="C1021" s="1" t="s">
        <v>25</v>
      </c>
      <c r="D1021" s="1" t="s">
        <v>2798</v>
      </c>
      <c r="E1021" s="1" t="s">
        <v>27</v>
      </c>
      <c r="F1021" s="1">
        <v>44737</v>
      </c>
      <c r="G1021" s="14" t="s">
        <v>38</v>
      </c>
      <c r="H1021" t="s">
        <v>2837</v>
      </c>
      <c r="I1021" s="2" t="s">
        <v>2838</v>
      </c>
      <c r="J1021" s="2">
        <v>0.03125</v>
      </c>
      <c r="K1021" s="1">
        <v>0.04513888888888889</v>
      </c>
      <c r="L1021" s="1">
        <v>0.0763888888888889</v>
      </c>
      <c r="M1021" s="1" t="s">
        <v>22</v>
      </c>
      <c r="N1021" s="1" t="s">
        <v>53</v>
      </c>
      <c r="O1021" s="1" t="s">
        <v>483</v>
      </c>
      <c r="P1021" s="1" t="s">
        <v>488</v>
      </c>
      <c r="Q1021" s="1">
        <v>44737</v>
      </c>
      <c r="R1021" s="14">
        <v>5</v>
      </c>
      <c r="S1021" s="1" t="s">
        <v>22</v>
      </c>
      <c r="T1021" s="1" t="s">
        <v>22</v>
      </c>
      <c r="U1021" s="1" t="s">
        <v>22</v>
      </c>
    </row>
    <row r="1022" spans="1:21" x14ac:dyDescent="0.25">
      <c r="A1022" s="1" t="s">
        <v>2809</v>
      </c>
      <c r="B1022" s="2" t="s">
        <v>529</v>
      </c>
      <c r="C1022" s="1" t="s">
        <v>530</v>
      </c>
      <c r="D1022" s="1" t="s">
        <v>2839</v>
      </c>
      <c r="E1022" s="1" t="s">
        <v>27</v>
      </c>
      <c r="F1022" s="1">
        <v>44737</v>
      </c>
      <c r="G1022" s="14" t="s">
        <v>28</v>
      </c>
      <c r="H1022" t="s">
        <v>2840</v>
      </c>
      <c r="I1022" s="2" t="s">
        <v>2841</v>
      </c>
      <c r="J1022" s="2">
        <v>0.034722222222222224</v>
      </c>
      <c r="K1022" s="1">
        <v>0.034722222222222224</v>
      </c>
      <c r="L1022" s="1">
        <v>0.06944444444444445</v>
      </c>
      <c r="M1022" s="1" t="s">
        <v>22</v>
      </c>
      <c r="N1022" s="1" t="s">
        <v>574</v>
      </c>
      <c r="O1022" s="1" t="s">
        <v>32</v>
      </c>
      <c r="P1022" s="1" t="s">
        <v>484</v>
      </c>
      <c r="Q1022" s="1">
        <v>44737</v>
      </c>
      <c r="R1022" s="14">
        <v>5</v>
      </c>
      <c r="S1022" s="1" t="s">
        <v>22</v>
      </c>
      <c r="T1022" s="1" t="s">
        <v>22</v>
      </c>
      <c r="U1022" s="1" t="s">
        <v>22</v>
      </c>
    </row>
    <row r="1023" spans="1:21" x14ac:dyDescent="0.25">
      <c r="A1023" s="1" t="s">
        <v>2809</v>
      </c>
      <c r="B1023" s="2" t="s">
        <v>2673</v>
      </c>
      <c r="C1023" s="1" t="s">
        <v>25</v>
      </c>
      <c r="D1023" s="1" t="s">
        <v>2842</v>
      </c>
      <c r="E1023" s="1" t="s">
        <v>37</v>
      </c>
      <c r="F1023" s="1">
        <v>44737</v>
      </c>
      <c r="G1023" s="14" t="s">
        <v>28</v>
      </c>
      <c r="H1023" t="s">
        <v>2843</v>
      </c>
      <c r="I1023" s="2" t="s">
        <v>2844</v>
      </c>
      <c r="J1023" s="2">
        <v>0.034722222222222224</v>
      </c>
      <c r="K1023" s="1">
        <v>0.04861111111111111</v>
      </c>
      <c r="L1023" s="1">
        <v>0.08333333333333334</v>
      </c>
      <c r="M1023" s="1" t="s">
        <v>22</v>
      </c>
      <c r="N1023" s="1" t="s">
        <v>31</v>
      </c>
      <c r="O1023" s="1" t="s">
        <v>483</v>
      </c>
      <c r="P1023" s="1" t="s">
        <v>488</v>
      </c>
      <c r="Q1023" s="1">
        <v>44737</v>
      </c>
      <c r="R1023" s="14">
        <v>5</v>
      </c>
      <c r="S1023" s="1" t="s">
        <v>22</v>
      </c>
      <c r="T1023" s="1" t="s">
        <v>22</v>
      </c>
      <c r="U1023" s="1" t="s">
        <v>22</v>
      </c>
    </row>
    <row r="1024" spans="1:21" x14ac:dyDescent="0.25">
      <c r="A1024" s="1" t="s">
        <v>2809</v>
      </c>
      <c r="B1024" s="2" t="s">
        <v>163</v>
      </c>
      <c r="C1024" s="1" t="s">
        <v>25</v>
      </c>
      <c r="D1024" s="1" t="s">
        <v>2822</v>
      </c>
      <c r="E1024" s="1" t="s">
        <v>27</v>
      </c>
      <c r="F1024" s="1">
        <v>44729</v>
      </c>
      <c r="G1024" s="14" t="s">
        <v>38</v>
      </c>
      <c r="H1024" t="s">
        <v>2845</v>
      </c>
      <c r="I1024" s="2" t="s">
        <v>2846</v>
      </c>
      <c r="J1024" s="2">
        <v>0.034722222222222224</v>
      </c>
      <c r="K1024" s="1">
        <v>0.03819444444444444</v>
      </c>
      <c r="L1024" s="1">
        <v>0.07291666666666666</v>
      </c>
      <c r="M1024" s="1" t="s">
        <v>22</v>
      </c>
      <c r="N1024" s="1" t="s">
        <v>31</v>
      </c>
      <c r="O1024" s="1" t="s">
        <v>483</v>
      </c>
      <c r="P1024" s="1" t="s">
        <v>488</v>
      </c>
      <c r="Q1024" s="1">
        <v>44742</v>
      </c>
      <c r="R1024" s="14">
        <v>5</v>
      </c>
      <c r="S1024" s="1" t="s">
        <v>22</v>
      </c>
      <c r="T1024" s="1" t="s">
        <v>22</v>
      </c>
      <c r="U1024" s="1" t="s">
        <v>22</v>
      </c>
    </row>
    <row r="1025" spans="1:21" x14ac:dyDescent="0.25">
      <c r="A1025" s="1" t="s">
        <v>2847</v>
      </c>
      <c r="B1025" s="2" t="s">
        <v>199</v>
      </c>
      <c r="C1025" s="1" t="s">
        <v>541</v>
      </c>
      <c r="D1025" s="1" t="s">
        <v>2848</v>
      </c>
      <c r="E1025" s="1" t="s">
        <v>37</v>
      </c>
      <c r="F1025" s="1">
        <v>44743</v>
      </c>
      <c r="G1025" s="14" t="s">
        <v>38</v>
      </c>
      <c r="H1025" t="s">
        <v>2849</v>
      </c>
      <c r="I1025" s="2" t="s">
        <v>2850</v>
      </c>
      <c r="J1025" s="2">
        <v>0.020833333333333332</v>
      </c>
      <c r="K1025" s="1">
        <v>0.020833333333333332</v>
      </c>
      <c r="L1025" s="1">
        <v>0.041666666666666664</v>
      </c>
      <c r="M1025" s="1" t="s">
        <v>22</v>
      </c>
      <c r="N1025" s="1" t="s">
        <v>53</v>
      </c>
      <c r="O1025" s="1" t="s">
        <v>483</v>
      </c>
      <c r="P1025" s="1" t="s">
        <v>488</v>
      </c>
      <c r="Q1025" s="1">
        <v>44743</v>
      </c>
      <c r="R1025" s="14">
        <v>5</v>
      </c>
      <c r="S1025" s="1" t="s">
        <v>22</v>
      </c>
      <c r="T1025" s="1" t="s">
        <v>22</v>
      </c>
      <c r="U1025" s="1" t="s">
        <v>22</v>
      </c>
    </row>
    <row r="1026" spans="1:21" x14ac:dyDescent="0.25">
      <c r="A1026" s="1" t="s">
        <v>2847</v>
      </c>
      <c r="B1026" s="2" t="s">
        <v>2582</v>
      </c>
      <c r="C1026" s="1" t="s">
        <v>25</v>
      </c>
      <c r="D1026" s="1" t="s">
        <v>2754</v>
      </c>
      <c r="E1026" s="1" t="s">
        <v>27</v>
      </c>
      <c r="F1026" s="1">
        <v>44743</v>
      </c>
      <c r="G1026" s="14" t="s">
        <v>38</v>
      </c>
      <c r="H1026" t="s">
        <v>2851</v>
      </c>
      <c r="I1026" s="2" t="s">
        <v>2852</v>
      </c>
      <c r="J1026" s="2">
        <v>0.010416666666666666</v>
      </c>
      <c r="K1026" s="1">
        <v>0.03819444444444444</v>
      </c>
      <c r="L1026" s="1">
        <v>0.048611111111111105</v>
      </c>
      <c r="M1026" s="1" t="s">
        <v>22</v>
      </c>
      <c r="N1026" s="1" t="s">
        <v>31</v>
      </c>
      <c r="O1026" s="1" t="s">
        <v>32</v>
      </c>
      <c r="P1026" s="1" t="s">
        <v>488</v>
      </c>
      <c r="Q1026" s="1">
        <v>44743</v>
      </c>
      <c r="R1026" s="14">
        <v>5</v>
      </c>
      <c r="S1026" s="1" t="s">
        <v>22</v>
      </c>
      <c r="T1026" s="1" t="s">
        <v>22</v>
      </c>
      <c r="U1026" s="1" t="s">
        <v>22</v>
      </c>
    </row>
    <row r="1027" spans="1:21" x14ac:dyDescent="0.25">
      <c r="A1027" s="1" t="s">
        <v>2847</v>
      </c>
      <c r="B1027" s="2" t="s">
        <v>258</v>
      </c>
      <c r="C1027" s="1" t="s">
        <v>25</v>
      </c>
      <c r="D1027" s="1" t="s">
        <v>2853</v>
      </c>
      <c r="E1027" s="1" t="s">
        <v>27</v>
      </c>
      <c r="F1027" s="1">
        <v>44743</v>
      </c>
      <c r="G1027" s="14" t="s">
        <v>38</v>
      </c>
      <c r="H1027" t="s">
        <v>2854</v>
      </c>
      <c r="I1027" s="2" t="s">
        <v>2855</v>
      </c>
      <c r="J1027" s="2">
        <v>0.020833333333333332</v>
      </c>
      <c r="K1027" s="1">
        <v>0.03819444444444444</v>
      </c>
      <c r="L1027" s="1">
        <v>0.059027777777777776</v>
      </c>
      <c r="M1027" s="1" t="s">
        <v>22</v>
      </c>
      <c r="N1027" s="1" t="s">
        <v>53</v>
      </c>
      <c r="O1027" s="1" t="s">
        <v>483</v>
      </c>
      <c r="P1027" s="1" t="s">
        <v>488</v>
      </c>
      <c r="Q1027" s="1">
        <v>44743</v>
      </c>
      <c r="R1027" s="14">
        <v>5</v>
      </c>
      <c r="S1027" s="1" t="s">
        <v>22</v>
      </c>
      <c r="T1027" s="1" t="s">
        <v>22</v>
      </c>
      <c r="U1027" s="1" t="s">
        <v>22</v>
      </c>
    </row>
    <row r="1028" spans="1:21" x14ac:dyDescent="0.25">
      <c r="A1028" s="1" t="s">
        <v>2847</v>
      </c>
      <c r="B1028" s="2" t="s">
        <v>288</v>
      </c>
      <c r="C1028" s="1" t="s">
        <v>2856</v>
      </c>
      <c r="D1028" s="1" t="s">
        <v>2857</v>
      </c>
      <c r="E1028" s="1" t="s">
        <v>27</v>
      </c>
      <c r="F1028" s="1">
        <v>44748</v>
      </c>
      <c r="G1028" s="14" t="s">
        <v>2858</v>
      </c>
      <c r="H1028" t="s">
        <v>2859</v>
      </c>
      <c r="I1028" s="2" t="s">
        <v>2860</v>
      </c>
      <c r="J1028" s="2">
        <v>0.020833333333333332</v>
      </c>
      <c r="K1028" s="1" t="s">
        <v>22</v>
      </c>
      <c r="L1028" s="1">
        <v>0.020833333333333332</v>
      </c>
      <c r="M1028" s="1" t="s">
        <v>22</v>
      </c>
      <c r="N1028" s="1" t="s">
        <v>53</v>
      </c>
      <c r="O1028" s="1" t="s">
        <v>22</v>
      </c>
      <c r="P1028" s="1" t="s">
        <v>488</v>
      </c>
      <c r="Q1028" s="1">
        <v>44748</v>
      </c>
      <c r="R1028" s="14">
        <v>5</v>
      </c>
      <c r="S1028" s="1" t="s">
        <v>22</v>
      </c>
      <c r="T1028" s="1" t="s">
        <v>22</v>
      </c>
      <c r="U1028" s="1" t="s">
        <v>22</v>
      </c>
    </row>
    <row r="1029" spans="1:21" x14ac:dyDescent="0.25">
      <c r="A1029" s="1" t="s">
        <v>2847</v>
      </c>
      <c r="B1029" s="2" t="s">
        <v>2514</v>
      </c>
      <c r="C1029" s="1" t="s">
        <v>2861</v>
      </c>
      <c r="D1029" s="1" t="s">
        <v>2819</v>
      </c>
      <c r="E1029" s="1" t="s">
        <v>27</v>
      </c>
      <c r="F1029" s="1">
        <v>44749</v>
      </c>
      <c r="G1029" s="14" t="s">
        <v>38</v>
      </c>
      <c r="H1029" t="s">
        <v>2862</v>
      </c>
      <c r="I1029" s="2" t="s">
        <v>2863</v>
      </c>
      <c r="J1029" s="2">
        <v>0.013888888888888888</v>
      </c>
      <c r="K1029" s="1">
        <v>0.017361111111111112</v>
      </c>
      <c r="L1029" s="1">
        <v>0.03125</v>
      </c>
      <c r="M1029" s="1" t="s">
        <v>22</v>
      </c>
      <c r="N1029" s="1" t="s">
        <v>32</v>
      </c>
      <c r="O1029" s="1" t="s">
        <v>483</v>
      </c>
      <c r="P1029" s="1" t="s">
        <v>488</v>
      </c>
      <c r="Q1029" s="1">
        <v>44749</v>
      </c>
      <c r="R1029" s="14">
        <v>5</v>
      </c>
      <c r="S1029" s="1" t="s">
        <v>22</v>
      </c>
      <c r="T1029" s="1" t="s">
        <v>22</v>
      </c>
      <c r="U1029" s="1" t="s">
        <v>22</v>
      </c>
    </row>
    <row r="1030" spans="1:21" x14ac:dyDescent="0.25">
      <c r="A1030" s="1" t="s">
        <v>2847</v>
      </c>
      <c r="B1030" s="2" t="s">
        <v>1040</v>
      </c>
      <c r="C1030" s="1" t="s">
        <v>1631</v>
      </c>
      <c r="D1030" s="1" t="s">
        <v>2864</v>
      </c>
      <c r="E1030" s="1" t="s">
        <v>37</v>
      </c>
      <c r="F1030" s="1">
        <v>44749</v>
      </c>
      <c r="G1030" s="14" t="s">
        <v>133</v>
      </c>
      <c r="H1030" t="s">
        <v>2865</v>
      </c>
      <c r="I1030" s="2" t="s">
        <v>2865</v>
      </c>
      <c r="J1030" s="2">
        <v>0.013888888888888888</v>
      </c>
      <c r="K1030" s="1">
        <v>0.013888888888888888</v>
      </c>
      <c r="L1030" s="1">
        <v>0.027777777777777776</v>
      </c>
      <c r="M1030" s="1" t="s">
        <v>22</v>
      </c>
      <c r="N1030" s="1" t="s">
        <v>574</v>
      </c>
      <c r="O1030" s="1" t="s">
        <v>483</v>
      </c>
      <c r="P1030" s="1" t="s">
        <v>42</v>
      </c>
      <c r="Q1030" s="1">
        <v>44749</v>
      </c>
      <c r="R1030" s="14">
        <v>5</v>
      </c>
      <c r="S1030" s="1" t="s">
        <v>22</v>
      </c>
      <c r="T1030" s="1" t="s">
        <v>22</v>
      </c>
      <c r="U1030" s="1" t="s">
        <v>22</v>
      </c>
    </row>
    <row r="1031" spans="1:21" x14ac:dyDescent="0.25">
      <c r="A1031" s="1" t="s">
        <v>2847</v>
      </c>
      <c r="B1031" s="2" t="s">
        <v>2673</v>
      </c>
      <c r="C1031" s="1" t="s">
        <v>25</v>
      </c>
      <c r="D1031" s="1" t="s">
        <v>2866</v>
      </c>
      <c r="E1031" s="1" t="s">
        <v>27</v>
      </c>
      <c r="F1031" s="1">
        <v>44750</v>
      </c>
      <c r="G1031" s="14" t="s">
        <v>38</v>
      </c>
      <c r="H1031" t="s">
        <v>2867</v>
      </c>
      <c r="I1031" s="2" t="s">
        <v>2867</v>
      </c>
      <c r="J1031" s="2">
        <v>0.027777777777777776</v>
      </c>
      <c r="K1031" s="1">
        <v>0.04513888888888889</v>
      </c>
      <c r="L1031" s="1">
        <v>0.07291666666666666</v>
      </c>
      <c r="M1031" s="1" t="s">
        <v>22</v>
      </c>
      <c r="N1031" s="1" t="s">
        <v>574</v>
      </c>
      <c r="O1031" s="1" t="s">
        <v>32</v>
      </c>
      <c r="P1031" s="1" t="s">
        <v>488</v>
      </c>
      <c r="Q1031" s="1">
        <v>44750</v>
      </c>
      <c r="R1031" s="14">
        <v>5</v>
      </c>
      <c r="S1031" s="1" t="s">
        <v>22</v>
      </c>
      <c r="T1031" s="1" t="s">
        <v>22</v>
      </c>
      <c r="U1031" s="1" t="s">
        <v>22</v>
      </c>
    </row>
    <row r="1032" spans="1:21" x14ac:dyDescent="0.25">
      <c r="A1032" s="1" t="s">
        <v>2847</v>
      </c>
      <c r="B1032" s="2" t="s">
        <v>43</v>
      </c>
      <c r="C1032" s="1" t="s">
        <v>44</v>
      </c>
      <c r="D1032" s="1" t="s">
        <v>2868</v>
      </c>
      <c r="E1032" s="1" t="s">
        <v>27</v>
      </c>
      <c r="F1032" s="1">
        <v>44750</v>
      </c>
      <c r="G1032" s="14" t="s">
        <v>28</v>
      </c>
      <c r="H1032" t="s">
        <v>2869</v>
      </c>
      <c r="I1032" s="2" t="s">
        <v>2870</v>
      </c>
      <c r="J1032" s="2">
        <v>0.027777777777777776</v>
      </c>
      <c r="K1032" s="1">
        <v>0.027777777777777776</v>
      </c>
      <c r="L1032" s="1">
        <v>0.05555555555555555</v>
      </c>
      <c r="M1032" s="1" t="s">
        <v>22</v>
      </c>
      <c r="N1032" s="1" t="s">
        <v>574</v>
      </c>
      <c r="O1032" s="1" t="s">
        <v>483</v>
      </c>
      <c r="P1032" s="1" t="s">
        <v>484</v>
      </c>
      <c r="Q1032" s="1">
        <v>44750</v>
      </c>
      <c r="R1032" s="14">
        <v>5</v>
      </c>
      <c r="S1032" s="1" t="s">
        <v>22</v>
      </c>
      <c r="T1032" s="1" t="s">
        <v>22</v>
      </c>
      <c r="U1032" s="1" t="s">
        <v>22</v>
      </c>
    </row>
    <row r="1033" spans="1:21" x14ac:dyDescent="0.25">
      <c r="A1033" s="1" t="s">
        <v>2847</v>
      </c>
      <c r="B1033" s="2" t="s">
        <v>1451</v>
      </c>
      <c r="C1033" s="1" t="s">
        <v>287</v>
      </c>
      <c r="D1033" s="1" t="s">
        <v>2871</v>
      </c>
      <c r="E1033" s="1" t="s">
        <v>27</v>
      </c>
      <c r="F1033" s="1">
        <v>44750</v>
      </c>
      <c r="G1033" s="14" t="s">
        <v>28</v>
      </c>
      <c r="H1033" t="s">
        <v>2872</v>
      </c>
      <c r="I1033" s="2" t="s">
        <v>2873</v>
      </c>
      <c r="J1033" s="2">
        <v>0.03819444444444444</v>
      </c>
      <c r="K1033" s="1">
        <v>0.0625</v>
      </c>
      <c r="L1033" s="1">
        <v>0.10069444444444445</v>
      </c>
      <c r="M1033" s="1" t="s">
        <v>22</v>
      </c>
      <c r="N1033" s="1" t="s">
        <v>574</v>
      </c>
      <c r="O1033" s="1" t="s">
        <v>32</v>
      </c>
      <c r="P1033" s="1" t="s">
        <v>484</v>
      </c>
      <c r="Q1033" s="1">
        <v>44750</v>
      </c>
      <c r="R1033" s="14">
        <v>5</v>
      </c>
      <c r="S1033" s="1" t="s">
        <v>22</v>
      </c>
      <c r="T1033" s="1" t="s">
        <v>22</v>
      </c>
      <c r="U1033" s="1" t="s">
        <v>22</v>
      </c>
    </row>
    <row r="1034" spans="1:21" x14ac:dyDescent="0.25">
      <c r="A1034" s="1" t="s">
        <v>2847</v>
      </c>
      <c r="B1034" s="2" t="s">
        <v>2315</v>
      </c>
      <c r="C1034" s="1" t="s">
        <v>25</v>
      </c>
      <c r="D1034" s="1" t="s">
        <v>2874</v>
      </c>
      <c r="E1034" s="1" t="s">
        <v>27</v>
      </c>
      <c r="F1034" s="1">
        <v>44762</v>
      </c>
      <c r="G1034" s="14" t="s">
        <v>38</v>
      </c>
      <c r="H1034" t="s">
        <v>2875</v>
      </c>
      <c r="I1034" s="2" t="s">
        <v>2876</v>
      </c>
      <c r="J1034" s="2">
        <v>0.013888888888888888</v>
      </c>
      <c r="K1034" s="1">
        <v>0.03125</v>
      </c>
      <c r="L1034" s="1">
        <v>0.04513888888888889</v>
      </c>
      <c r="M1034" s="1" t="s">
        <v>22</v>
      </c>
      <c r="N1034" s="1" t="s">
        <v>32</v>
      </c>
      <c r="O1034" s="1" t="s">
        <v>483</v>
      </c>
      <c r="P1034" s="1" t="s">
        <v>484</v>
      </c>
      <c r="Q1034" s="1">
        <v>44762</v>
      </c>
      <c r="R1034" s="14">
        <v>5</v>
      </c>
      <c r="S1034" s="1" t="s">
        <v>22</v>
      </c>
      <c r="T1034" s="1" t="s">
        <v>22</v>
      </c>
      <c r="U1034" s="1" t="s">
        <v>22</v>
      </c>
    </row>
    <row r="1035" spans="1:21" x14ac:dyDescent="0.25">
      <c r="A1035" s="1" t="s">
        <v>2847</v>
      </c>
      <c r="B1035" s="2" t="s">
        <v>308</v>
      </c>
      <c r="C1035" s="1" t="s">
        <v>309</v>
      </c>
      <c r="D1035" s="1" t="s">
        <v>2877</v>
      </c>
      <c r="E1035" s="1" t="s">
        <v>37</v>
      </c>
      <c r="F1035" s="1">
        <v>44762</v>
      </c>
      <c r="G1035" s="14" t="s">
        <v>28</v>
      </c>
      <c r="H1035" t="s">
        <v>2878</v>
      </c>
      <c r="I1035" s="2" t="s">
        <v>2878</v>
      </c>
      <c r="J1035" s="2">
        <v>0.029166666666666664</v>
      </c>
      <c r="K1035" s="1">
        <v>0.041666666666666664</v>
      </c>
      <c r="L1035" s="1">
        <v>0.07083333333333333</v>
      </c>
      <c r="M1035" s="1" t="s">
        <v>22</v>
      </c>
      <c r="N1035" s="1" t="s">
        <v>483</v>
      </c>
      <c r="O1035" s="1" t="s">
        <v>32</v>
      </c>
      <c r="P1035" s="1" t="s">
        <v>488</v>
      </c>
      <c r="Q1035" s="1">
        <v>44762</v>
      </c>
      <c r="R1035" s="14">
        <v>5</v>
      </c>
      <c r="S1035" s="1" t="s">
        <v>22</v>
      </c>
      <c r="T1035" s="1" t="s">
        <v>22</v>
      </c>
      <c r="U1035" s="1" t="s">
        <v>22</v>
      </c>
    </row>
    <row r="1036" spans="1:21" x14ac:dyDescent="0.25">
      <c r="A1036" s="1" t="s">
        <v>2847</v>
      </c>
      <c r="B1036" s="2" t="s">
        <v>2673</v>
      </c>
      <c r="C1036" s="1" t="s">
        <v>25</v>
      </c>
      <c r="D1036" s="1" t="s">
        <v>2879</v>
      </c>
      <c r="E1036" s="1" t="s">
        <v>27</v>
      </c>
      <c r="F1036" s="1">
        <v>44764</v>
      </c>
      <c r="G1036" s="14" t="s">
        <v>38</v>
      </c>
      <c r="H1036" t="s">
        <v>2880</v>
      </c>
      <c r="I1036" s="2" t="s">
        <v>2880</v>
      </c>
      <c r="J1036" s="2">
        <v>0.020833333333333332</v>
      </c>
      <c r="K1036" s="1">
        <v>0.03819444444444444</v>
      </c>
      <c r="L1036" s="1">
        <v>0.059027777777777776</v>
      </c>
      <c r="M1036" s="1" t="s">
        <v>22</v>
      </c>
      <c r="N1036" s="1" t="s">
        <v>31</v>
      </c>
      <c r="O1036" s="1" t="s">
        <v>32</v>
      </c>
      <c r="P1036" s="1" t="s">
        <v>488</v>
      </c>
      <c r="Q1036" s="1">
        <v>44764</v>
      </c>
      <c r="R1036" s="14">
        <v>5</v>
      </c>
      <c r="S1036" s="1" t="s">
        <v>22</v>
      </c>
      <c r="T1036" s="1" t="s">
        <v>22</v>
      </c>
      <c r="U1036" s="1" t="s">
        <v>22</v>
      </c>
    </row>
    <row r="1037" spans="1:21" x14ac:dyDescent="0.25">
      <c r="A1037" s="1" t="s">
        <v>2847</v>
      </c>
      <c r="B1037" s="2" t="s">
        <v>113</v>
      </c>
      <c r="C1037" s="1" t="s">
        <v>25</v>
      </c>
      <c r="D1037" s="1" t="s">
        <v>2881</v>
      </c>
      <c r="E1037" s="1" t="s">
        <v>27</v>
      </c>
      <c r="F1037" s="1">
        <v>44765</v>
      </c>
      <c r="G1037" s="14" t="s">
        <v>38</v>
      </c>
      <c r="H1037" t="s">
        <v>2882</v>
      </c>
      <c r="I1037" s="2" t="s">
        <v>2883</v>
      </c>
      <c r="J1037" s="2">
        <v>0.041666666666666664</v>
      </c>
      <c r="K1037" s="1">
        <v>0.013888888888888888</v>
      </c>
      <c r="L1037" s="1">
        <v>0.05555555555555555</v>
      </c>
      <c r="M1037" s="1" t="s">
        <v>22</v>
      </c>
      <c r="N1037" s="1" t="s">
        <v>31</v>
      </c>
      <c r="O1037" s="1" t="s">
        <v>32</v>
      </c>
      <c r="P1037" s="1" t="s">
        <v>484</v>
      </c>
      <c r="Q1037" s="1">
        <v>44765</v>
      </c>
      <c r="R1037" s="14">
        <v>5</v>
      </c>
      <c r="S1037" s="1" t="s">
        <v>22</v>
      </c>
      <c r="T1037" s="1" t="s">
        <v>22</v>
      </c>
      <c r="U1037" s="1" t="s">
        <v>22</v>
      </c>
    </row>
    <row r="1038" spans="1:21" x14ac:dyDescent="0.25">
      <c r="A1038" s="1" t="s">
        <v>2847</v>
      </c>
      <c r="B1038" s="2" t="s">
        <v>163</v>
      </c>
      <c r="C1038" s="1" t="s">
        <v>25</v>
      </c>
      <c r="D1038" s="1" t="s">
        <v>2884</v>
      </c>
      <c r="E1038" s="1" t="s">
        <v>37</v>
      </c>
      <c r="F1038" s="1">
        <v>44769</v>
      </c>
      <c r="G1038" s="14" t="s">
        <v>38</v>
      </c>
      <c r="H1038" t="s">
        <v>2885</v>
      </c>
      <c r="I1038" s="2" t="s">
        <v>2886</v>
      </c>
      <c r="J1038" s="2">
        <v>0.034722222222222224</v>
      </c>
      <c r="K1038" s="1">
        <v>0.05555555555555555</v>
      </c>
      <c r="L1038" s="1">
        <v>0.09027777777777778</v>
      </c>
      <c r="M1038" s="1" t="s">
        <v>22</v>
      </c>
      <c r="N1038" s="1" t="s">
        <v>31</v>
      </c>
      <c r="O1038" s="1" t="s">
        <v>32</v>
      </c>
      <c r="P1038" s="1" t="s">
        <v>488</v>
      </c>
      <c r="Q1038" s="1">
        <v>44769</v>
      </c>
      <c r="R1038" s="14">
        <v>5</v>
      </c>
      <c r="S1038" s="1" t="s">
        <v>22</v>
      </c>
      <c r="T1038" s="1" t="s">
        <v>22</v>
      </c>
      <c r="U1038" s="1" t="s">
        <v>22</v>
      </c>
    </row>
    <row r="1039" spans="1:21" x14ac:dyDescent="0.25">
      <c r="A1039" s="1" t="s">
        <v>2847</v>
      </c>
      <c r="B1039" s="2" t="s">
        <v>288</v>
      </c>
      <c r="C1039" s="1" t="s">
        <v>289</v>
      </c>
      <c r="D1039" s="1" t="s">
        <v>2887</v>
      </c>
      <c r="E1039" s="1" t="s">
        <v>27</v>
      </c>
      <c r="F1039" s="1">
        <v>44769</v>
      </c>
      <c r="G1039" s="14" t="s">
        <v>38</v>
      </c>
      <c r="H1039" t="s">
        <v>2888</v>
      </c>
      <c r="I1039" s="2" t="s">
        <v>2889</v>
      </c>
      <c r="J1039" s="2">
        <v>0.07291666666666667</v>
      </c>
      <c r="K1039" s="1">
        <v>0.03819444444444444</v>
      </c>
      <c r="L1039" s="1">
        <v>0.1111111111111111</v>
      </c>
      <c r="M1039" s="1" t="s">
        <v>22</v>
      </c>
      <c r="N1039" s="1" t="s">
        <v>53</v>
      </c>
      <c r="O1039" s="1" t="s">
        <v>483</v>
      </c>
      <c r="P1039" s="1" t="s">
        <v>488</v>
      </c>
      <c r="Q1039" s="1">
        <v>44769</v>
      </c>
      <c r="R1039" s="14">
        <v>5</v>
      </c>
      <c r="S1039" s="1" t="s">
        <v>22</v>
      </c>
      <c r="T1039" s="1" t="s">
        <v>22</v>
      </c>
      <c r="U1039" s="1" t="s">
        <v>22</v>
      </c>
    </row>
    <row r="1040" spans="1:21" x14ac:dyDescent="0.25">
      <c r="A1040" s="1" t="s">
        <v>2890</v>
      </c>
      <c r="B1040" s="2" t="s">
        <v>146</v>
      </c>
      <c r="C1040" s="1" t="s">
        <v>186</v>
      </c>
      <c r="D1040" s="1" t="s">
        <v>2891</v>
      </c>
      <c r="E1040" s="1" t="s">
        <v>27</v>
      </c>
      <c r="F1040" s="1">
        <v>44779</v>
      </c>
      <c r="G1040" s="14" t="s">
        <v>38</v>
      </c>
      <c r="H1040" t="s">
        <v>2892</v>
      </c>
      <c r="I1040" s="2" t="s">
        <v>2893</v>
      </c>
      <c r="J1040" s="2">
        <v>0.03125</v>
      </c>
      <c r="K1040" s="1">
        <v>0.03819444444444444</v>
      </c>
      <c r="L1040" s="1">
        <v>0.06944444444444445</v>
      </c>
      <c r="M1040" s="1" t="s">
        <v>22</v>
      </c>
      <c r="N1040" s="1" t="s">
        <v>53</v>
      </c>
      <c r="O1040" s="1" t="s">
        <v>483</v>
      </c>
      <c r="P1040" s="1" t="s">
        <v>488</v>
      </c>
      <c r="Q1040" s="1">
        <v>44779</v>
      </c>
      <c r="R1040" s="14">
        <v>5</v>
      </c>
      <c r="S1040" s="1" t="s">
        <v>22</v>
      </c>
      <c r="T1040" s="1" t="s">
        <v>22</v>
      </c>
      <c r="U1040" s="1" t="s">
        <v>22</v>
      </c>
    </row>
    <row r="1041" spans="1:21" x14ac:dyDescent="0.25">
      <c r="A1041" s="1" t="s">
        <v>2890</v>
      </c>
      <c r="B1041" s="2" t="s">
        <v>2673</v>
      </c>
      <c r="C1041" s="1" t="s">
        <v>25</v>
      </c>
      <c r="D1041" s="1" t="s">
        <v>2894</v>
      </c>
      <c r="E1041" s="1" t="s">
        <v>27</v>
      </c>
      <c r="F1041" s="1">
        <v>44779</v>
      </c>
      <c r="G1041" s="14" t="s">
        <v>28</v>
      </c>
      <c r="H1041" t="s">
        <v>2895</v>
      </c>
      <c r="I1041" s="2" t="s">
        <v>2896</v>
      </c>
      <c r="J1041" s="2">
        <v>0.041666666666666664</v>
      </c>
      <c r="K1041" s="1">
        <v>0.04861111111111111</v>
      </c>
      <c r="L1041" s="1">
        <v>0.09027777777777778</v>
      </c>
      <c r="M1041" s="1" t="s">
        <v>22</v>
      </c>
      <c r="N1041" s="1" t="s">
        <v>53</v>
      </c>
      <c r="O1041" s="1" t="s">
        <v>483</v>
      </c>
      <c r="P1041" s="1" t="s">
        <v>488</v>
      </c>
      <c r="Q1041" s="1">
        <v>44779</v>
      </c>
      <c r="R1041" s="14">
        <v>5</v>
      </c>
      <c r="S1041" s="1" t="s">
        <v>22</v>
      </c>
      <c r="T1041" s="1" t="s">
        <v>22</v>
      </c>
      <c r="U1041" s="1" t="s">
        <v>22</v>
      </c>
    </row>
    <row r="1042" spans="1:21" x14ac:dyDescent="0.25">
      <c r="A1042" s="1" t="s">
        <v>2890</v>
      </c>
      <c r="B1042" s="2" t="s">
        <v>258</v>
      </c>
      <c r="C1042" s="1" t="s">
        <v>25</v>
      </c>
      <c r="D1042" s="1" t="s">
        <v>2897</v>
      </c>
      <c r="E1042" s="1" t="s">
        <v>27</v>
      </c>
      <c r="F1042" s="1">
        <v>44782</v>
      </c>
      <c r="G1042" s="14" t="s">
        <v>38</v>
      </c>
      <c r="H1042" t="s">
        <v>2898</v>
      </c>
      <c r="I1042" s="2" t="s">
        <v>2899</v>
      </c>
      <c r="J1042" s="2">
        <v>0.013888888888888888</v>
      </c>
      <c r="K1042" s="1">
        <v>0.05902777777777778</v>
      </c>
      <c r="L1042" s="1">
        <v>0.07291666666666667</v>
      </c>
      <c r="M1042" s="1" t="s">
        <v>22</v>
      </c>
      <c r="N1042" s="1" t="s">
        <v>31</v>
      </c>
      <c r="O1042" s="1" t="s">
        <v>483</v>
      </c>
      <c r="P1042" s="1" t="s">
        <v>488</v>
      </c>
      <c r="Q1042" s="1">
        <v>44782</v>
      </c>
      <c r="R1042" s="14">
        <v>5</v>
      </c>
      <c r="S1042" s="1" t="s">
        <v>22</v>
      </c>
      <c r="T1042" s="1" t="s">
        <v>22</v>
      </c>
      <c r="U1042" s="1" t="s">
        <v>22</v>
      </c>
    </row>
    <row r="1043" spans="1:21" x14ac:dyDescent="0.25">
      <c r="A1043" s="1" t="s">
        <v>2890</v>
      </c>
      <c r="B1043" s="2" t="s">
        <v>2315</v>
      </c>
      <c r="C1043" s="1" t="s">
        <v>25</v>
      </c>
      <c r="D1043" s="1" t="s">
        <v>2900</v>
      </c>
      <c r="E1043" s="1" t="s">
        <v>37</v>
      </c>
      <c r="F1043" s="1">
        <v>44783</v>
      </c>
      <c r="G1043" s="14" t="s">
        <v>28</v>
      </c>
      <c r="H1043" t="s">
        <v>2901</v>
      </c>
      <c r="I1043" s="2" t="s">
        <v>2902</v>
      </c>
      <c r="J1043" s="2">
        <v>0.03125</v>
      </c>
      <c r="K1043" s="1">
        <v>0.041666666666666664</v>
      </c>
      <c r="L1043" s="1">
        <v>0.07291666666666666</v>
      </c>
      <c r="M1043" s="1" t="s">
        <v>22</v>
      </c>
      <c r="N1043" s="1" t="s">
        <v>483</v>
      </c>
      <c r="O1043" s="1" t="s">
        <v>32</v>
      </c>
      <c r="P1043" s="1" t="s">
        <v>484</v>
      </c>
      <c r="Q1043" s="1">
        <v>44783</v>
      </c>
      <c r="R1043" s="14">
        <v>5</v>
      </c>
      <c r="S1043" s="1" t="s">
        <v>22</v>
      </c>
      <c r="T1043" s="1" t="s">
        <v>22</v>
      </c>
      <c r="U1043" s="1" t="s">
        <v>22</v>
      </c>
    </row>
    <row r="1044" spans="1:21" x14ac:dyDescent="0.25">
      <c r="A1044" s="1" t="s">
        <v>2890</v>
      </c>
      <c r="B1044" s="2" t="s">
        <v>199</v>
      </c>
      <c r="C1044" s="1" t="s">
        <v>541</v>
      </c>
      <c r="D1044" s="1" t="s">
        <v>2903</v>
      </c>
      <c r="E1044" s="1" t="s">
        <v>37</v>
      </c>
      <c r="F1044" s="1">
        <v>44789</v>
      </c>
      <c r="G1044" s="14" t="s">
        <v>2775</v>
      </c>
      <c r="H1044" t="s">
        <v>2904</v>
      </c>
      <c r="I1044" s="2" t="s">
        <v>2905</v>
      </c>
      <c r="J1044" s="2">
        <v>0.017361111111111112</v>
      </c>
      <c r="K1044" s="1">
        <v>0.04861111111111111</v>
      </c>
      <c r="L1044" s="1">
        <v>0.06597222222222222</v>
      </c>
      <c r="M1044" s="1" t="s">
        <v>22</v>
      </c>
      <c r="N1044" s="1" t="s">
        <v>32</v>
      </c>
      <c r="O1044" s="1" t="s">
        <v>483</v>
      </c>
      <c r="P1044" s="1" t="s">
        <v>488</v>
      </c>
      <c r="Q1044" s="1">
        <v>44789</v>
      </c>
      <c r="R1044" s="14">
        <v>5</v>
      </c>
      <c r="S1044" s="1" t="s">
        <v>22</v>
      </c>
      <c r="T1044" s="1" t="s">
        <v>22</v>
      </c>
      <c r="U1044" s="1" t="s">
        <v>22</v>
      </c>
    </row>
    <row r="1045" spans="1:21" x14ac:dyDescent="0.25">
      <c r="A1045" s="1" t="s">
        <v>2890</v>
      </c>
      <c r="B1045" s="2" t="s">
        <v>286</v>
      </c>
      <c r="C1045" s="1" t="s">
        <v>287</v>
      </c>
      <c r="D1045" s="1" t="s">
        <v>2906</v>
      </c>
      <c r="E1045" s="1" t="s">
        <v>37</v>
      </c>
      <c r="F1045" s="1">
        <v>44789</v>
      </c>
      <c r="G1045" s="14" t="s">
        <v>50</v>
      </c>
      <c r="H1045" t="s">
        <v>2907</v>
      </c>
      <c r="I1045" s="2" t="s">
        <v>2908</v>
      </c>
      <c r="J1045" s="2">
        <v>0.017361111111111112</v>
      </c>
      <c r="K1045" s="1">
        <v>0.020833333333333332</v>
      </c>
      <c r="L1045" s="1">
        <v>0.03819444444444445</v>
      </c>
      <c r="M1045" s="1" t="s">
        <v>22</v>
      </c>
      <c r="N1045" s="1" t="s">
        <v>483</v>
      </c>
      <c r="O1045" s="1" t="s">
        <v>32</v>
      </c>
      <c r="P1045" s="1" t="s">
        <v>484</v>
      </c>
      <c r="Q1045" s="1">
        <v>44789</v>
      </c>
      <c r="R1045" s="14">
        <v>5</v>
      </c>
      <c r="S1045" s="1" t="s">
        <v>22</v>
      </c>
      <c r="T1045" s="1" t="s">
        <v>22</v>
      </c>
      <c r="U1045" s="1" t="s">
        <v>22</v>
      </c>
    </row>
    <row r="1046" spans="1:21" x14ac:dyDescent="0.25">
      <c r="A1046" s="1" t="s">
        <v>2890</v>
      </c>
      <c r="B1046" s="2" t="s">
        <v>113</v>
      </c>
      <c r="C1046" s="1" t="s">
        <v>25</v>
      </c>
      <c r="D1046" s="1" t="s">
        <v>2909</v>
      </c>
      <c r="E1046" s="1" t="s">
        <v>37</v>
      </c>
      <c r="F1046" s="1">
        <v>44790</v>
      </c>
      <c r="G1046" s="14" t="s">
        <v>38</v>
      </c>
      <c r="H1046" t="s">
        <v>2910</v>
      </c>
      <c r="I1046" s="2" t="s">
        <v>2911</v>
      </c>
      <c r="J1046" s="2">
        <v>0.017361111111111112</v>
      </c>
      <c r="K1046" s="1">
        <v>0.017361111111111112</v>
      </c>
      <c r="L1046" s="1">
        <v>0.034722222222222224</v>
      </c>
      <c r="M1046" s="1" t="s">
        <v>22</v>
      </c>
      <c r="N1046" s="1" t="s">
        <v>31</v>
      </c>
      <c r="O1046" s="1" t="s">
        <v>32</v>
      </c>
      <c r="P1046" s="1" t="s">
        <v>42</v>
      </c>
      <c r="Q1046" s="1">
        <v>44790</v>
      </c>
      <c r="R1046" s="14">
        <v>5</v>
      </c>
      <c r="S1046" s="1" t="s">
        <v>22</v>
      </c>
      <c r="T1046" s="1" t="s">
        <v>22</v>
      </c>
      <c r="U1046" s="1" t="s">
        <v>22</v>
      </c>
    </row>
    <row r="1047" spans="1:21" x14ac:dyDescent="0.25">
      <c r="A1047" s="1" t="s">
        <v>2890</v>
      </c>
      <c r="B1047" s="2" t="s">
        <v>529</v>
      </c>
      <c r="C1047" s="1" t="s">
        <v>530</v>
      </c>
      <c r="D1047" s="1" t="s">
        <v>2912</v>
      </c>
      <c r="E1047" s="1" t="s">
        <v>27</v>
      </c>
      <c r="F1047" s="1">
        <v>44803</v>
      </c>
      <c r="G1047" s="14" t="s">
        <v>38</v>
      </c>
      <c r="H1047" t="s">
        <v>2913</v>
      </c>
      <c r="I1047" s="2" t="s">
        <v>2914</v>
      </c>
      <c r="J1047" s="2">
        <v>0.013888888888888888</v>
      </c>
      <c r="K1047" s="1">
        <v>0.018055555555555557</v>
      </c>
      <c r="L1047" s="1">
        <v>0.03194444444444444</v>
      </c>
      <c r="M1047" s="1" t="s">
        <v>22</v>
      </c>
      <c r="N1047" s="1" t="s">
        <v>32</v>
      </c>
      <c r="O1047" s="1" t="s">
        <v>483</v>
      </c>
      <c r="P1047" s="1" t="s">
        <v>484</v>
      </c>
      <c r="Q1047" s="1">
        <v>44803</v>
      </c>
      <c r="R1047" s="14">
        <v>5</v>
      </c>
      <c r="S1047" s="1" t="s">
        <v>22</v>
      </c>
      <c r="T1047" s="1" t="s">
        <v>22</v>
      </c>
      <c r="U1047" s="1" t="s">
        <v>22</v>
      </c>
    </row>
    <row r="1048" spans="1:21" x14ac:dyDescent="0.25">
      <c r="A1048" s="1" t="s">
        <v>2915</v>
      </c>
      <c r="B1048" s="2" t="s">
        <v>258</v>
      </c>
      <c r="C1048" s="1" t="s">
        <v>25</v>
      </c>
      <c r="D1048" s="1" t="s">
        <v>2916</v>
      </c>
      <c r="E1048" s="1" t="s">
        <v>27</v>
      </c>
      <c r="F1048" s="1">
        <v>44805</v>
      </c>
      <c r="G1048" s="14" t="s">
        <v>38</v>
      </c>
      <c r="H1048" t="s">
        <v>2917</v>
      </c>
      <c r="I1048" s="2" t="s">
        <v>2918</v>
      </c>
      <c r="J1048" s="2">
        <v>0.020833333333333332</v>
      </c>
      <c r="K1048" s="1" t="s">
        <v>22</v>
      </c>
      <c r="L1048" s="1">
        <v>0.020833333333333332</v>
      </c>
      <c r="M1048" s="1" t="s">
        <v>22</v>
      </c>
      <c r="N1048" s="1" t="s">
        <v>53</v>
      </c>
      <c r="O1048" s="1" t="s">
        <v>22</v>
      </c>
      <c r="P1048" s="1" t="s">
        <v>488</v>
      </c>
      <c r="Q1048" s="1">
        <v>44805</v>
      </c>
      <c r="R1048" s="14">
        <v>5</v>
      </c>
      <c r="S1048" s="1" t="s">
        <v>22</v>
      </c>
      <c r="T1048" s="1" t="s">
        <v>22</v>
      </c>
      <c r="U1048" s="1" t="s">
        <v>22</v>
      </c>
    </row>
    <row r="1049" spans="1:21" x14ac:dyDescent="0.25">
      <c r="A1049" s="1" t="s">
        <v>2915</v>
      </c>
      <c r="B1049" s="2" t="s">
        <v>529</v>
      </c>
      <c r="C1049" s="1" t="s">
        <v>530</v>
      </c>
      <c r="D1049" s="1" t="s">
        <v>2919</v>
      </c>
      <c r="E1049" s="1" t="s">
        <v>37</v>
      </c>
      <c r="F1049" s="1">
        <v>44805</v>
      </c>
      <c r="G1049" s="14" t="s">
        <v>28</v>
      </c>
      <c r="H1049" t="s">
        <v>2920</v>
      </c>
      <c r="I1049" s="2" t="s">
        <v>2921</v>
      </c>
      <c r="J1049" s="2">
        <v>0.03125</v>
      </c>
      <c r="K1049" s="1">
        <v>0.041666666666666664</v>
      </c>
      <c r="L1049" s="1">
        <v>0.07291666666666666</v>
      </c>
      <c r="M1049" s="1" t="s">
        <v>22</v>
      </c>
      <c r="N1049" s="1" t="s">
        <v>31</v>
      </c>
      <c r="O1049" s="1" t="s">
        <v>483</v>
      </c>
      <c r="P1049" s="1" t="s">
        <v>484</v>
      </c>
      <c r="Q1049" s="1">
        <v>44805</v>
      </c>
      <c r="R1049" s="14">
        <v>5</v>
      </c>
      <c r="S1049" s="1" t="s">
        <v>22</v>
      </c>
      <c r="T1049" s="1" t="s">
        <v>22</v>
      </c>
      <c r="U1049" s="1" t="s">
        <v>22</v>
      </c>
    </row>
    <row r="1050" spans="1:21" x14ac:dyDescent="0.25">
      <c r="A1050" s="1" t="s">
        <v>2915</v>
      </c>
      <c r="B1050" s="2" t="s">
        <v>529</v>
      </c>
      <c r="C1050" s="1" t="s">
        <v>530</v>
      </c>
      <c r="D1050" s="1" t="s">
        <v>2922</v>
      </c>
      <c r="E1050" s="1" t="s">
        <v>27</v>
      </c>
      <c r="F1050" s="1">
        <v>44805</v>
      </c>
      <c r="G1050" s="14" t="s">
        <v>38</v>
      </c>
      <c r="H1050" t="s">
        <v>2923</v>
      </c>
      <c r="I1050" s="2" t="s">
        <v>2924</v>
      </c>
      <c r="J1050" s="2">
        <v>0.052083333333333336</v>
      </c>
      <c r="K1050" s="1">
        <v>0.04861111111111111</v>
      </c>
      <c r="L1050" s="1">
        <v>0.10069444444444445</v>
      </c>
      <c r="M1050" s="1" t="s">
        <v>22</v>
      </c>
      <c r="N1050" s="1" t="s">
        <v>31</v>
      </c>
      <c r="O1050" s="1" t="s">
        <v>483</v>
      </c>
      <c r="P1050" s="1" t="s">
        <v>484</v>
      </c>
      <c r="Q1050" s="1">
        <v>44805</v>
      </c>
      <c r="R1050" s="14">
        <v>5</v>
      </c>
      <c r="S1050" s="1" t="s">
        <v>22</v>
      </c>
      <c r="T1050" s="1" t="s">
        <v>22</v>
      </c>
      <c r="U1050" s="1" t="s">
        <v>22</v>
      </c>
    </row>
    <row r="1051" spans="1:21" x14ac:dyDescent="0.25">
      <c r="A1051" s="1" t="s">
        <v>2915</v>
      </c>
      <c r="B1051" s="2" t="s">
        <v>2315</v>
      </c>
      <c r="C1051" s="1" t="s">
        <v>25</v>
      </c>
      <c r="D1051" s="1" t="s">
        <v>2925</v>
      </c>
      <c r="E1051" s="1" t="s">
        <v>27</v>
      </c>
      <c r="F1051" s="1">
        <v>44819</v>
      </c>
      <c r="G1051" s="14" t="s">
        <v>38</v>
      </c>
      <c r="H1051" t="s">
        <v>2926</v>
      </c>
      <c r="I1051" s="2" t="s">
        <v>2927</v>
      </c>
      <c r="J1051" s="2">
        <v>0.03125</v>
      </c>
      <c r="K1051" s="1">
        <v>0.034722222222222224</v>
      </c>
      <c r="L1051" s="1">
        <v>0.06597222222222222</v>
      </c>
      <c r="M1051" s="1" t="s">
        <v>22</v>
      </c>
      <c r="N1051" s="1" t="s">
        <v>31</v>
      </c>
      <c r="O1051" s="1" t="s">
        <v>32</v>
      </c>
      <c r="P1051" s="1" t="s">
        <v>484</v>
      </c>
      <c r="Q1051" s="1">
        <v>44819</v>
      </c>
      <c r="R1051" s="14">
        <v>5</v>
      </c>
      <c r="S1051" s="1" t="s">
        <v>22</v>
      </c>
      <c r="T1051" s="1" t="s">
        <v>22</v>
      </c>
      <c r="U1051" s="1" t="s">
        <v>22</v>
      </c>
    </row>
    <row r="1052" spans="1:21" x14ac:dyDescent="0.25">
      <c r="A1052" s="1" t="s">
        <v>2915</v>
      </c>
      <c r="B1052" s="2" t="s">
        <v>163</v>
      </c>
      <c r="C1052" s="1" t="s">
        <v>25</v>
      </c>
      <c r="D1052" s="1" t="s">
        <v>2928</v>
      </c>
      <c r="E1052" s="1" t="s">
        <v>27</v>
      </c>
      <c r="F1052" s="1">
        <v>44820</v>
      </c>
      <c r="G1052" s="14" t="s">
        <v>38</v>
      </c>
      <c r="H1052" t="s">
        <v>2929</v>
      </c>
      <c r="I1052" s="2" t="s">
        <v>2930</v>
      </c>
      <c r="J1052" s="2">
        <v>0.020833333333333332</v>
      </c>
      <c r="K1052" s="1">
        <v>0.03125</v>
      </c>
      <c r="L1052" s="1">
        <v>0.05208333333333333</v>
      </c>
      <c r="M1052" s="1" t="s">
        <v>22</v>
      </c>
      <c r="N1052" s="1" t="s">
        <v>574</v>
      </c>
      <c r="O1052" s="1" t="s">
        <v>32</v>
      </c>
      <c r="P1052" s="1" t="s">
        <v>488</v>
      </c>
      <c r="Q1052" s="1">
        <v>44820</v>
      </c>
      <c r="R1052" s="14">
        <v>5</v>
      </c>
      <c r="S1052" s="1" t="s">
        <v>22</v>
      </c>
      <c r="T1052" s="1" t="s">
        <v>22</v>
      </c>
      <c r="U1052" s="1" t="s">
        <v>22</v>
      </c>
    </row>
    <row r="1053" spans="1:21" x14ac:dyDescent="0.25">
      <c r="A1053" s="1" t="s">
        <v>2915</v>
      </c>
      <c r="B1053" s="2" t="s">
        <v>985</v>
      </c>
      <c r="C1053" s="1" t="s">
        <v>25</v>
      </c>
      <c r="D1053" s="1" t="s">
        <v>2931</v>
      </c>
      <c r="E1053" s="1" t="s">
        <v>27</v>
      </c>
      <c r="F1053" s="1">
        <v>44820</v>
      </c>
      <c r="G1053" s="14" t="s">
        <v>38</v>
      </c>
      <c r="H1053" t="s">
        <v>2932</v>
      </c>
      <c r="I1053" s="2" t="s">
        <v>2933</v>
      </c>
      <c r="J1053" s="2">
        <v>0.020833333333333332</v>
      </c>
      <c r="K1053" s="1">
        <v>0.020833333333333332</v>
      </c>
      <c r="L1053" s="1">
        <v>0.041666666666666664</v>
      </c>
      <c r="M1053" s="1" t="s">
        <v>22</v>
      </c>
      <c r="N1053" s="1" t="s">
        <v>574</v>
      </c>
      <c r="O1053" s="1" t="s">
        <v>32</v>
      </c>
      <c r="P1053" s="1" t="s">
        <v>488</v>
      </c>
      <c r="Q1053" s="1">
        <v>44820</v>
      </c>
      <c r="R1053" s="14">
        <v>5</v>
      </c>
      <c r="S1053" s="1" t="s">
        <v>22</v>
      </c>
      <c r="T1053" s="1" t="s">
        <v>22</v>
      </c>
      <c r="U1053" s="1" t="s">
        <v>22</v>
      </c>
    </row>
    <row r="1054" spans="1:21" x14ac:dyDescent="0.25">
      <c r="A1054" s="1" t="s">
        <v>2915</v>
      </c>
      <c r="B1054" s="2" t="s">
        <v>616</v>
      </c>
      <c r="C1054" s="1" t="s">
        <v>617</v>
      </c>
      <c r="D1054" s="1" t="s">
        <v>2934</v>
      </c>
      <c r="E1054" s="1" t="s">
        <v>37</v>
      </c>
      <c r="F1054" s="1">
        <v>44826</v>
      </c>
      <c r="G1054" s="14" t="s">
        <v>28</v>
      </c>
      <c r="H1054" t="s">
        <v>2935</v>
      </c>
      <c r="I1054" s="2" t="s">
        <v>2936</v>
      </c>
      <c r="J1054" s="2">
        <v>0.020833333333333332</v>
      </c>
      <c r="K1054" s="1">
        <v>0.041666666666666664</v>
      </c>
      <c r="L1054" s="1">
        <v>0.0625</v>
      </c>
      <c r="M1054" s="1" t="s">
        <v>22</v>
      </c>
      <c r="N1054" s="1" t="s">
        <v>32</v>
      </c>
      <c r="O1054" s="1" t="s">
        <v>483</v>
      </c>
      <c r="P1054" s="1" t="s">
        <v>484</v>
      </c>
      <c r="Q1054" s="1">
        <v>44826</v>
      </c>
      <c r="R1054" s="14">
        <v>5</v>
      </c>
      <c r="S1054" s="1" t="s">
        <v>22</v>
      </c>
      <c r="T1054" s="1" t="s">
        <v>22</v>
      </c>
      <c r="U1054" s="1" t="s">
        <v>22</v>
      </c>
    </row>
    <row r="1055" spans="1:21" x14ac:dyDescent="0.25">
      <c r="A1055" s="1" t="s">
        <v>2915</v>
      </c>
      <c r="B1055" s="2" t="s">
        <v>258</v>
      </c>
      <c r="C1055" s="1" t="s">
        <v>25</v>
      </c>
      <c r="D1055" s="1" t="s">
        <v>2937</v>
      </c>
      <c r="E1055" s="1" t="s">
        <v>27</v>
      </c>
      <c r="F1055" s="1">
        <v>44832</v>
      </c>
      <c r="G1055" s="14" t="s">
        <v>38</v>
      </c>
      <c r="H1055" t="s">
        <v>2938</v>
      </c>
      <c r="I1055" s="2" t="s">
        <v>2939</v>
      </c>
      <c r="J1055" s="2">
        <v>0.041666666666666664</v>
      </c>
      <c r="K1055" s="1">
        <v>0.027777777777777776</v>
      </c>
      <c r="L1055" s="1">
        <v>0.06944444444444445</v>
      </c>
      <c r="M1055" s="1" t="s">
        <v>22</v>
      </c>
      <c r="N1055" s="1" t="s">
        <v>574</v>
      </c>
      <c r="O1055" s="1" t="s">
        <v>483</v>
      </c>
      <c r="P1055" s="1" t="s">
        <v>488</v>
      </c>
      <c r="Q1055" s="1">
        <v>44832</v>
      </c>
      <c r="R1055" s="14">
        <v>5</v>
      </c>
      <c r="S1055" s="1" t="s">
        <v>22</v>
      </c>
      <c r="T1055" s="1" t="s">
        <v>22</v>
      </c>
      <c r="U1055" s="1" t="s">
        <v>22</v>
      </c>
    </row>
    <row r="1056" spans="1:21" x14ac:dyDescent="0.25">
      <c r="A1056" s="1" t="s">
        <v>2915</v>
      </c>
      <c r="B1056" s="2" t="s">
        <v>258</v>
      </c>
      <c r="C1056" s="1" t="s">
        <v>25</v>
      </c>
      <c r="D1056" s="1" t="s">
        <v>2937</v>
      </c>
      <c r="E1056" s="1" t="s">
        <v>27</v>
      </c>
      <c r="F1056" s="1">
        <v>44834</v>
      </c>
      <c r="G1056" s="14" t="s">
        <v>38</v>
      </c>
      <c r="H1056" t="s">
        <v>2940</v>
      </c>
      <c r="I1056" s="2" t="s">
        <v>2941</v>
      </c>
      <c r="J1056" s="2">
        <v>0.017361111111111112</v>
      </c>
      <c r="K1056" s="1">
        <v>0.013888888888888888</v>
      </c>
      <c r="L1056" s="1">
        <v>0.03125</v>
      </c>
      <c r="M1056" s="1" t="s">
        <v>22</v>
      </c>
      <c r="N1056" s="1" t="s">
        <v>32</v>
      </c>
      <c r="O1056" s="1" t="s">
        <v>483</v>
      </c>
      <c r="P1056" s="1" t="s">
        <v>488</v>
      </c>
      <c r="Q1056" s="1">
        <v>44834</v>
      </c>
      <c r="R1056" s="14">
        <v>5</v>
      </c>
      <c r="S1056" s="1" t="s">
        <v>22</v>
      </c>
      <c r="T1056" s="1" t="s">
        <v>22</v>
      </c>
      <c r="U1056" s="1" t="s">
        <v>22</v>
      </c>
    </row>
    <row r="1057" spans="1:21" x14ac:dyDescent="0.25">
      <c r="A1057" s="1" t="s">
        <v>2942</v>
      </c>
      <c r="B1057" s="2" t="s">
        <v>2813</v>
      </c>
      <c r="C1057" s="1" t="s">
        <v>25</v>
      </c>
      <c r="D1057" s="1" t="s">
        <v>2943</v>
      </c>
      <c r="E1057" s="1" t="s">
        <v>37</v>
      </c>
      <c r="F1057" s="1">
        <v>44835</v>
      </c>
      <c r="G1057" s="14" t="s">
        <v>133</v>
      </c>
      <c r="H1057" t="s">
        <v>2944</v>
      </c>
      <c r="I1057" s="2" t="s">
        <v>2945</v>
      </c>
      <c r="J1057" s="2">
        <v>0.017361111111111112</v>
      </c>
      <c r="K1057" s="1">
        <v>0.01875</v>
      </c>
      <c r="L1057" s="1">
        <v>0.03611111111111111</v>
      </c>
      <c r="M1057" s="1" t="s">
        <v>22</v>
      </c>
      <c r="N1057" s="1" t="s">
        <v>31</v>
      </c>
      <c r="O1057" s="1" t="s">
        <v>483</v>
      </c>
      <c r="P1057" s="1" t="s">
        <v>488</v>
      </c>
      <c r="Q1057" s="1">
        <v>44835</v>
      </c>
      <c r="R1057" s="14">
        <v>5</v>
      </c>
      <c r="S1057" s="1" t="s">
        <v>22</v>
      </c>
      <c r="T1057" s="1" t="s">
        <v>22</v>
      </c>
      <c r="U1057" s="1" t="s">
        <v>22</v>
      </c>
    </row>
    <row r="1058" spans="1:21" x14ac:dyDescent="0.25">
      <c r="A1058" s="1" t="s">
        <v>2942</v>
      </c>
      <c r="B1058" s="2" t="s">
        <v>286</v>
      </c>
      <c r="C1058" s="1" t="s">
        <v>287</v>
      </c>
      <c r="D1058" s="1" t="s">
        <v>2946</v>
      </c>
      <c r="E1058" s="1" t="s">
        <v>37</v>
      </c>
      <c r="F1058" s="1">
        <v>44840</v>
      </c>
      <c r="G1058" s="14" t="s">
        <v>50</v>
      </c>
      <c r="H1058" t="s">
        <v>2947</v>
      </c>
      <c r="I1058" s="2" t="s">
        <v>2948</v>
      </c>
      <c r="J1058" s="2">
        <v>0.020833333333333332</v>
      </c>
      <c r="K1058" s="1">
        <v>0.022222222222222223</v>
      </c>
      <c r="L1058" s="1">
        <v>0.043055555555555555</v>
      </c>
      <c r="M1058" s="1" t="s">
        <v>22</v>
      </c>
      <c r="N1058" s="1" t="s">
        <v>32</v>
      </c>
      <c r="O1058" s="1" t="s">
        <v>483</v>
      </c>
      <c r="P1058" s="1" t="s">
        <v>484</v>
      </c>
      <c r="Q1058" s="1">
        <v>44840</v>
      </c>
      <c r="R1058" s="14">
        <v>5</v>
      </c>
      <c r="S1058" s="1" t="s">
        <v>22</v>
      </c>
      <c r="T1058" s="1" t="s">
        <v>22</v>
      </c>
      <c r="U1058" s="1" t="s">
        <v>22</v>
      </c>
    </row>
    <row r="1059" spans="1:21" x14ac:dyDescent="0.25">
      <c r="A1059" s="1" t="s">
        <v>2942</v>
      </c>
      <c r="B1059" s="2" t="s">
        <v>529</v>
      </c>
      <c r="C1059" s="1" t="s">
        <v>530</v>
      </c>
      <c r="D1059" s="1" t="s">
        <v>2949</v>
      </c>
      <c r="E1059" s="1" t="s">
        <v>37</v>
      </c>
      <c r="F1059" s="1">
        <v>44852</v>
      </c>
      <c r="G1059" s="14" t="s">
        <v>2950</v>
      </c>
      <c r="H1059" t="s">
        <v>2951</v>
      </c>
      <c r="I1059" s="2" t="s">
        <v>2952</v>
      </c>
      <c r="J1059" s="2">
        <v>0.020833333333333332</v>
      </c>
      <c r="K1059" s="1">
        <v>0.041666666666666664</v>
      </c>
      <c r="L1059" s="1">
        <v>0.0625</v>
      </c>
      <c r="M1059" s="1" t="s">
        <v>22</v>
      </c>
      <c r="N1059" s="1" t="s">
        <v>32</v>
      </c>
      <c r="O1059" s="1" t="s">
        <v>483</v>
      </c>
      <c r="P1059" s="1" t="s">
        <v>484</v>
      </c>
      <c r="Q1059" s="1">
        <v>44852</v>
      </c>
      <c r="R1059" s="14">
        <v>5</v>
      </c>
      <c r="S1059" s="1" t="s">
        <v>22</v>
      </c>
      <c r="T1059" s="1" t="s">
        <v>22</v>
      </c>
      <c r="U1059" s="1" t="s">
        <v>22</v>
      </c>
    </row>
    <row r="1060" spans="1:21" x14ac:dyDescent="0.25">
      <c r="A1060" s="1" t="s">
        <v>2942</v>
      </c>
      <c r="B1060" s="2" t="s">
        <v>529</v>
      </c>
      <c r="C1060" s="1" t="s">
        <v>530</v>
      </c>
      <c r="D1060" s="1" t="s">
        <v>2953</v>
      </c>
      <c r="E1060" s="1" t="s">
        <v>37</v>
      </c>
      <c r="F1060" s="1">
        <v>44858</v>
      </c>
      <c r="G1060" s="14" t="s">
        <v>2950</v>
      </c>
      <c r="H1060" t="s">
        <v>2954</v>
      </c>
      <c r="I1060" s="2" t="s">
        <v>2955</v>
      </c>
      <c r="J1060" s="2">
        <v>0.020833333333333332</v>
      </c>
      <c r="K1060" s="1">
        <v>0.041666666666666664</v>
      </c>
      <c r="L1060" s="1">
        <v>0.0625</v>
      </c>
      <c r="M1060" s="1" t="s">
        <v>22</v>
      </c>
      <c r="N1060" s="1" t="s">
        <v>53</v>
      </c>
      <c r="O1060" s="1" t="s">
        <v>483</v>
      </c>
      <c r="P1060" s="1" t="s">
        <v>484</v>
      </c>
      <c r="Q1060" s="1">
        <v>44858</v>
      </c>
      <c r="R1060" s="14">
        <v>5</v>
      </c>
      <c r="S1060" s="1" t="s">
        <v>22</v>
      </c>
      <c r="T1060" s="1" t="s">
        <v>22</v>
      </c>
      <c r="U1060" s="1" t="s">
        <v>22</v>
      </c>
    </row>
    <row r="1061" spans="1:21" x14ac:dyDescent="0.25">
      <c r="A1061" s="1" t="s">
        <v>2942</v>
      </c>
      <c r="B1061" s="2" t="s">
        <v>2315</v>
      </c>
      <c r="C1061" s="1" t="s">
        <v>25</v>
      </c>
      <c r="D1061" s="1" t="s">
        <v>2956</v>
      </c>
      <c r="E1061" s="1" t="s">
        <v>27</v>
      </c>
      <c r="F1061" s="1">
        <v>44861</v>
      </c>
      <c r="G1061" s="14" t="s">
        <v>38</v>
      </c>
      <c r="H1061" t="s">
        <v>2957</v>
      </c>
      <c r="I1061" s="2" t="s">
        <v>2957</v>
      </c>
      <c r="J1061" s="2">
        <v>0.0625</v>
      </c>
      <c r="K1061" s="1">
        <v>0.0625</v>
      </c>
      <c r="L1061" s="1">
        <v>0.125</v>
      </c>
      <c r="M1061" s="1" t="s">
        <v>22</v>
      </c>
      <c r="N1061" s="1" t="s">
        <v>31</v>
      </c>
      <c r="O1061" s="1" t="s">
        <v>32</v>
      </c>
      <c r="P1061" s="1" t="s">
        <v>488</v>
      </c>
      <c r="Q1061" s="1">
        <v>44861</v>
      </c>
      <c r="R1061" s="14">
        <v>5</v>
      </c>
      <c r="S1061" s="1" t="s">
        <v>22</v>
      </c>
      <c r="T1061" s="1" t="s">
        <v>22</v>
      </c>
      <c r="U1061" s="1" t="s">
        <v>22</v>
      </c>
    </row>
    <row r="1062" spans="1:21" x14ac:dyDescent="0.25">
      <c r="A1062" s="1" t="s">
        <v>2942</v>
      </c>
      <c r="B1062" s="2" t="s">
        <v>288</v>
      </c>
      <c r="C1062" s="1" t="s">
        <v>289</v>
      </c>
      <c r="D1062" s="1" t="s">
        <v>2958</v>
      </c>
      <c r="E1062" s="1" t="s">
        <v>27</v>
      </c>
      <c r="F1062" s="1">
        <v>44862</v>
      </c>
      <c r="G1062" s="14" t="s">
        <v>38</v>
      </c>
      <c r="H1062" t="s">
        <v>2959</v>
      </c>
      <c r="I1062" s="2" t="s">
        <v>2960</v>
      </c>
      <c r="J1062" s="2">
        <v>0.020833333333333332</v>
      </c>
      <c r="K1062" s="1">
        <v>0.024305555555555556</v>
      </c>
      <c r="L1062" s="1">
        <v>0.04513888888888889</v>
      </c>
      <c r="M1062" s="1" t="s">
        <v>22</v>
      </c>
      <c r="N1062" s="1" t="s">
        <v>53</v>
      </c>
      <c r="O1062" s="1" t="s">
        <v>32</v>
      </c>
      <c r="P1062" s="1" t="s">
        <v>488</v>
      </c>
      <c r="Q1062" s="1">
        <v>44862</v>
      </c>
      <c r="R1062" s="14">
        <v>5</v>
      </c>
      <c r="S1062" s="1" t="s">
        <v>22</v>
      </c>
      <c r="T1062" s="1" t="s">
        <v>22</v>
      </c>
      <c r="U1062" s="1" t="s">
        <v>22</v>
      </c>
    </row>
    <row r="1063" spans="1:21" x14ac:dyDescent="0.25">
      <c r="A1063" s="1" t="s">
        <v>2961</v>
      </c>
      <c r="B1063" s="2" t="s">
        <v>1451</v>
      </c>
      <c r="C1063" s="1" t="s">
        <v>287</v>
      </c>
      <c r="D1063" s="1" t="s">
        <v>2962</v>
      </c>
      <c r="E1063" s="1" t="s">
        <v>37</v>
      </c>
      <c r="F1063" s="1">
        <v>44868</v>
      </c>
      <c r="G1063" s="14" t="s">
        <v>38</v>
      </c>
      <c r="H1063" t="s">
        <v>2963</v>
      </c>
      <c r="I1063" s="2" t="s">
        <v>2964</v>
      </c>
      <c r="J1063" s="2">
        <v>0.020833333333333332</v>
      </c>
      <c r="K1063" s="1">
        <v>0.020833333333333332</v>
      </c>
      <c r="L1063" s="1">
        <v>0.041666666666666664</v>
      </c>
      <c r="M1063" s="1" t="s">
        <v>22</v>
      </c>
      <c r="N1063" s="1" t="s">
        <v>31</v>
      </c>
      <c r="O1063" s="1" t="s">
        <v>483</v>
      </c>
      <c r="P1063" s="1" t="s">
        <v>484</v>
      </c>
      <c r="Q1063" s="1">
        <v>44868</v>
      </c>
      <c r="R1063" s="14">
        <v>5</v>
      </c>
      <c r="S1063" s="1" t="s">
        <v>22</v>
      </c>
      <c r="T1063" s="1" t="s">
        <v>22</v>
      </c>
      <c r="U1063" s="1" t="s">
        <v>22</v>
      </c>
    </row>
    <row r="1064" spans="1:21" x14ac:dyDescent="0.25">
      <c r="A1064" s="1" t="s">
        <v>2961</v>
      </c>
      <c r="B1064" s="2" t="s">
        <v>258</v>
      </c>
      <c r="C1064" s="1" t="s">
        <v>25</v>
      </c>
      <c r="D1064" s="1" t="s">
        <v>2965</v>
      </c>
      <c r="E1064" s="1" t="s">
        <v>37</v>
      </c>
      <c r="F1064" s="1">
        <v>44868</v>
      </c>
      <c r="G1064" s="14" t="s">
        <v>28</v>
      </c>
      <c r="H1064" t="s">
        <v>2966</v>
      </c>
      <c r="I1064" s="2" t="s">
        <v>2967</v>
      </c>
      <c r="J1064" s="2">
        <v>0.03125</v>
      </c>
      <c r="K1064" s="1">
        <v>0.03819444444444444</v>
      </c>
      <c r="L1064" s="1">
        <v>0.06944444444444445</v>
      </c>
      <c r="M1064" s="1" t="s">
        <v>22</v>
      </c>
      <c r="N1064" s="1" t="s">
        <v>31</v>
      </c>
      <c r="O1064" s="1" t="s">
        <v>483</v>
      </c>
      <c r="P1064" s="1" t="s">
        <v>488</v>
      </c>
      <c r="Q1064" s="1">
        <v>44868</v>
      </c>
      <c r="R1064" s="14">
        <v>5</v>
      </c>
      <c r="S1064" s="1" t="s">
        <v>22</v>
      </c>
      <c r="T1064" s="1" t="s">
        <v>22</v>
      </c>
      <c r="U1064" s="1" t="s">
        <v>22</v>
      </c>
    </row>
    <row r="1065" spans="1:21" x14ac:dyDescent="0.25">
      <c r="A1065" s="1" t="s">
        <v>2961</v>
      </c>
      <c r="B1065" s="2" t="s">
        <v>288</v>
      </c>
      <c r="C1065" s="1" t="s">
        <v>289</v>
      </c>
      <c r="D1065" s="1" t="s">
        <v>2958</v>
      </c>
      <c r="E1065" s="1" t="s">
        <v>27</v>
      </c>
      <c r="F1065" s="1">
        <v>44872</v>
      </c>
      <c r="G1065" s="14" t="s">
        <v>38</v>
      </c>
      <c r="H1065" t="s">
        <v>2968</v>
      </c>
      <c r="I1065" s="2" t="s">
        <v>2969</v>
      </c>
      <c r="J1065" s="2">
        <v>0.020833333333333332</v>
      </c>
      <c r="K1065" s="1">
        <v>0.024305555555555556</v>
      </c>
      <c r="L1065" s="1">
        <v>0.04513888888888889</v>
      </c>
      <c r="M1065" s="1" t="s">
        <v>22</v>
      </c>
      <c r="N1065" s="1" t="s">
        <v>54</v>
      </c>
      <c r="O1065" s="1" t="s">
        <v>32</v>
      </c>
      <c r="P1065" s="1" t="s">
        <v>488</v>
      </c>
      <c r="Q1065" s="1">
        <v>44872</v>
      </c>
      <c r="R1065" s="14">
        <v>5</v>
      </c>
      <c r="S1065" s="1" t="s">
        <v>22</v>
      </c>
      <c r="T1065" s="1" t="s">
        <v>22</v>
      </c>
      <c r="U1065" s="1" t="s">
        <v>22</v>
      </c>
    </row>
    <row r="1066" spans="1:21" x14ac:dyDescent="0.25">
      <c r="A1066" s="1" t="s">
        <v>2961</v>
      </c>
      <c r="B1066" s="2" t="s">
        <v>185</v>
      </c>
      <c r="C1066" s="1" t="s">
        <v>186</v>
      </c>
      <c r="D1066" s="1" t="s">
        <v>2970</v>
      </c>
      <c r="E1066" s="1" t="s">
        <v>27</v>
      </c>
      <c r="F1066" s="1">
        <v>44873</v>
      </c>
      <c r="G1066" s="14" t="s">
        <v>2775</v>
      </c>
      <c r="H1066" t="s">
        <v>2971</v>
      </c>
      <c r="I1066" s="2" t="s">
        <v>2972</v>
      </c>
      <c r="J1066" s="2">
        <v>0.013888888888888888</v>
      </c>
      <c r="K1066" s="1">
        <v>0.020833333333333332</v>
      </c>
      <c r="L1066" s="1">
        <v>0.034722222222222224</v>
      </c>
      <c r="M1066" s="1" t="s">
        <v>22</v>
      </c>
      <c r="N1066" s="1" t="s">
        <v>31</v>
      </c>
      <c r="O1066" s="1" t="s">
        <v>32</v>
      </c>
      <c r="P1066" s="1" t="s">
        <v>484</v>
      </c>
      <c r="Q1066" s="1">
        <v>44873</v>
      </c>
      <c r="R1066" s="14">
        <v>5</v>
      </c>
      <c r="S1066" s="1" t="s">
        <v>22</v>
      </c>
      <c r="T1066" s="1" t="s">
        <v>22</v>
      </c>
      <c r="U1066" s="1" t="s">
        <v>22</v>
      </c>
    </row>
    <row r="1067" spans="1:21" x14ac:dyDescent="0.25">
      <c r="A1067" s="1" t="s">
        <v>2961</v>
      </c>
      <c r="B1067" s="2" t="s">
        <v>35</v>
      </c>
      <c r="C1067" s="1" t="s">
        <v>25</v>
      </c>
      <c r="D1067" s="1" t="s">
        <v>2973</v>
      </c>
      <c r="E1067" s="1" t="s">
        <v>27</v>
      </c>
      <c r="F1067" s="1">
        <v>44876</v>
      </c>
      <c r="G1067" s="14" t="s">
        <v>38</v>
      </c>
      <c r="H1067" t="s">
        <v>2974</v>
      </c>
      <c r="I1067" s="2" t="s">
        <v>2975</v>
      </c>
      <c r="J1067" s="2">
        <v>0.013888888888888888</v>
      </c>
      <c r="K1067" s="1">
        <v>0.024305555555555556</v>
      </c>
      <c r="L1067" s="1">
        <v>0.03819444444444445</v>
      </c>
      <c r="M1067" s="1" t="s">
        <v>22</v>
      </c>
      <c r="N1067" s="1" t="s">
        <v>31</v>
      </c>
      <c r="O1067" s="1" t="s">
        <v>32</v>
      </c>
      <c r="P1067" s="1" t="s">
        <v>42</v>
      </c>
      <c r="Q1067" s="1">
        <v>44876</v>
      </c>
      <c r="R1067" s="14">
        <v>5</v>
      </c>
      <c r="S1067" s="1" t="s">
        <v>22</v>
      </c>
      <c r="T1067" s="1" t="s">
        <v>22</v>
      </c>
      <c r="U1067" s="1" t="s">
        <v>22</v>
      </c>
    </row>
    <row r="1068" spans="1:21" x14ac:dyDescent="0.25">
      <c r="A1068" s="1" t="s">
        <v>2961</v>
      </c>
      <c r="B1068" s="2" t="s">
        <v>99</v>
      </c>
      <c r="C1068" s="1" t="s">
        <v>25</v>
      </c>
      <c r="D1068" s="1" t="s">
        <v>2976</v>
      </c>
      <c r="E1068" s="1" t="s">
        <v>27</v>
      </c>
      <c r="F1068" s="1">
        <v>44881</v>
      </c>
      <c r="G1068" s="14" t="s">
        <v>2950</v>
      </c>
      <c r="H1068" t="s">
        <v>2977</v>
      </c>
      <c r="I1068" s="2" t="s">
        <v>2978</v>
      </c>
      <c r="J1068" s="2">
        <v>0.027777777777777776</v>
      </c>
      <c r="K1068" s="1">
        <v>0.03819444444444444</v>
      </c>
      <c r="L1068" s="1">
        <v>0.06597222222222221</v>
      </c>
      <c r="M1068" s="1" t="s">
        <v>22</v>
      </c>
      <c r="N1068" s="1" t="s">
        <v>32</v>
      </c>
      <c r="O1068" s="1" t="s">
        <v>483</v>
      </c>
      <c r="P1068" s="1" t="s">
        <v>484</v>
      </c>
      <c r="Q1068" s="1">
        <v>44881</v>
      </c>
      <c r="R1068" s="14">
        <v>5</v>
      </c>
      <c r="S1068" s="1" t="s">
        <v>22</v>
      </c>
      <c r="T1068" s="1" t="s">
        <v>22</v>
      </c>
      <c r="U1068" s="1" t="s">
        <v>22</v>
      </c>
    </row>
    <row r="1069" spans="1:21" x14ac:dyDescent="0.25">
      <c r="A1069" s="1" t="s">
        <v>2961</v>
      </c>
      <c r="B1069" s="2" t="s">
        <v>529</v>
      </c>
      <c r="C1069" s="1" t="s">
        <v>530</v>
      </c>
      <c r="D1069" s="1" t="s">
        <v>2979</v>
      </c>
      <c r="E1069" s="1" t="s">
        <v>37</v>
      </c>
      <c r="F1069" s="1">
        <v>44881</v>
      </c>
      <c r="G1069" s="14" t="s">
        <v>2950</v>
      </c>
      <c r="H1069" t="s">
        <v>2980</v>
      </c>
      <c r="I1069" s="2" t="s">
        <v>2981</v>
      </c>
      <c r="J1069" s="2">
        <v>0.020833333333333332</v>
      </c>
      <c r="K1069" s="1">
        <v>0.03125</v>
      </c>
      <c r="L1069" s="1">
        <v>0.05208333333333333</v>
      </c>
      <c r="M1069" s="1" t="s">
        <v>22</v>
      </c>
      <c r="N1069" s="1" t="s">
        <v>32</v>
      </c>
      <c r="O1069" s="1" t="s">
        <v>483</v>
      </c>
      <c r="P1069" s="1" t="s">
        <v>484</v>
      </c>
      <c r="Q1069" s="1">
        <v>44881</v>
      </c>
      <c r="R1069" s="14">
        <v>5</v>
      </c>
      <c r="S1069" s="1" t="s">
        <v>22</v>
      </c>
      <c r="T1069" s="1" t="s">
        <v>22</v>
      </c>
      <c r="U1069" s="1" t="s">
        <v>22</v>
      </c>
    </row>
    <row r="1070" spans="1:21" x14ac:dyDescent="0.25">
      <c r="A1070" s="1" t="s">
        <v>2961</v>
      </c>
      <c r="B1070" s="2" t="s">
        <v>43</v>
      </c>
      <c r="C1070" s="1" t="s">
        <v>44</v>
      </c>
      <c r="D1070" s="1" t="s">
        <v>2982</v>
      </c>
      <c r="E1070" s="1" t="s">
        <v>37</v>
      </c>
      <c r="F1070" s="1">
        <v>44882</v>
      </c>
      <c r="G1070" s="14" t="s">
        <v>133</v>
      </c>
      <c r="H1070" t="s">
        <v>2983</v>
      </c>
      <c r="I1070" s="2" t="s">
        <v>2984</v>
      </c>
      <c r="J1070" s="2">
        <v>0.010416666666666666</v>
      </c>
      <c r="K1070" s="1">
        <v>0.017361111111111112</v>
      </c>
      <c r="L1070" s="1">
        <v>0.027777777777777776</v>
      </c>
      <c r="M1070" s="1" t="s">
        <v>22</v>
      </c>
      <c r="N1070" s="1" t="s">
        <v>32</v>
      </c>
      <c r="O1070" s="1" t="s">
        <v>483</v>
      </c>
      <c r="P1070" s="1" t="s">
        <v>484</v>
      </c>
      <c r="Q1070" s="1">
        <v>44882</v>
      </c>
      <c r="R1070" s="14">
        <v>5</v>
      </c>
      <c r="S1070" s="1" t="s">
        <v>22</v>
      </c>
      <c r="T1070" s="1" t="s">
        <v>22</v>
      </c>
      <c r="U1070" s="1" t="s">
        <v>22</v>
      </c>
    </row>
    <row r="1071" spans="1:21" x14ac:dyDescent="0.25">
      <c r="A1071" s="1" t="s">
        <v>2961</v>
      </c>
      <c r="B1071" s="2" t="s">
        <v>288</v>
      </c>
      <c r="C1071" s="1" t="s">
        <v>289</v>
      </c>
      <c r="D1071" s="1" t="s">
        <v>2985</v>
      </c>
      <c r="E1071" s="1" t="s">
        <v>37</v>
      </c>
      <c r="F1071" s="1">
        <v>44884</v>
      </c>
      <c r="G1071" s="14" t="s">
        <v>38</v>
      </c>
      <c r="H1071" t="s">
        <v>2986</v>
      </c>
      <c r="I1071" s="2" t="s">
        <v>2987</v>
      </c>
      <c r="J1071" s="2">
        <v>0.003472222222222222</v>
      </c>
      <c r="K1071" s="1">
        <v>0.003472222222222222</v>
      </c>
      <c r="L1071" s="1">
        <v>0.006944444444444444</v>
      </c>
      <c r="M1071" s="1" t="s">
        <v>22</v>
      </c>
      <c r="N1071" s="1" t="s">
        <v>31</v>
      </c>
      <c r="O1071" s="1" t="s">
        <v>31</v>
      </c>
      <c r="P1071" s="1" t="s">
        <v>488</v>
      </c>
      <c r="Q1071" s="1">
        <v>44884</v>
      </c>
      <c r="R1071" s="14">
        <v>5</v>
      </c>
      <c r="S1071" s="1" t="s">
        <v>22</v>
      </c>
      <c r="T1071" s="1" t="s">
        <v>22</v>
      </c>
      <c r="U1071" s="1" t="s">
        <v>22</v>
      </c>
    </row>
    <row r="1072" spans="1:21" x14ac:dyDescent="0.25">
      <c r="A1072" s="1" t="s">
        <v>2961</v>
      </c>
      <c r="B1072" s="2" t="s">
        <v>99</v>
      </c>
      <c r="C1072" s="1" t="s">
        <v>25</v>
      </c>
      <c r="D1072" s="1" t="s">
        <v>2988</v>
      </c>
      <c r="E1072" s="1" t="s">
        <v>37</v>
      </c>
      <c r="F1072" s="1">
        <v>44889</v>
      </c>
      <c r="G1072" s="14" t="s">
        <v>2950</v>
      </c>
      <c r="H1072" t="s">
        <v>2989</v>
      </c>
      <c r="I1072" s="2" t="s">
        <v>2990</v>
      </c>
      <c r="J1072" s="2">
        <v>0.024305555555555556</v>
      </c>
      <c r="K1072" s="1">
        <v>0.041666666666666664</v>
      </c>
      <c r="L1072" s="1">
        <v>0.06597222222222222</v>
      </c>
      <c r="M1072" s="1" t="s">
        <v>22</v>
      </c>
      <c r="N1072" s="1" t="s">
        <v>32</v>
      </c>
      <c r="O1072" s="1" t="s">
        <v>483</v>
      </c>
      <c r="P1072" s="1" t="s">
        <v>484</v>
      </c>
      <c r="Q1072" s="1">
        <v>44889</v>
      </c>
      <c r="R1072" s="14">
        <v>5</v>
      </c>
      <c r="S1072" s="1" t="s">
        <v>22</v>
      </c>
      <c r="T1072" s="1" t="s">
        <v>22</v>
      </c>
      <c r="U1072" s="1" t="s">
        <v>22</v>
      </c>
    </row>
    <row r="1073" spans="1:21" x14ac:dyDescent="0.25">
      <c r="A1073" s="1" t="s">
        <v>2961</v>
      </c>
      <c r="B1073" s="2" t="s">
        <v>2473</v>
      </c>
      <c r="C1073" s="1" t="s">
        <v>530</v>
      </c>
      <c r="D1073" s="1" t="s">
        <v>2979</v>
      </c>
      <c r="E1073" s="1" t="s">
        <v>37</v>
      </c>
      <c r="F1073" s="1">
        <v>44889</v>
      </c>
      <c r="G1073" s="14" t="s">
        <v>2950</v>
      </c>
      <c r="H1073" t="s">
        <v>2991</v>
      </c>
      <c r="I1073" s="2" t="s">
        <v>2992</v>
      </c>
      <c r="J1073" s="2">
        <v>0.034722222222222224</v>
      </c>
      <c r="K1073" s="1">
        <v>0.020833333333333332</v>
      </c>
      <c r="L1073" s="1">
        <v>0.05555555555555555</v>
      </c>
      <c r="M1073" s="1" t="s">
        <v>22</v>
      </c>
      <c r="N1073" s="1" t="s">
        <v>31</v>
      </c>
      <c r="O1073" s="1" t="s">
        <v>32</v>
      </c>
      <c r="P1073" s="1" t="s">
        <v>484</v>
      </c>
      <c r="Q1073" s="1">
        <v>44889</v>
      </c>
      <c r="R1073" s="14">
        <v>5</v>
      </c>
      <c r="S1073" s="1" t="s">
        <v>22</v>
      </c>
      <c r="T1073" s="1" t="s">
        <v>22</v>
      </c>
      <c r="U1073" s="1" t="s">
        <v>22</v>
      </c>
    </row>
    <row r="1074" spans="1:21" x14ac:dyDescent="0.25">
      <c r="A1074" s="1" t="s">
        <v>2993</v>
      </c>
      <c r="B1074" s="2" t="s">
        <v>525</v>
      </c>
      <c r="C1074" s="1" t="s">
        <v>25</v>
      </c>
      <c r="D1074" s="1" t="s">
        <v>2994</v>
      </c>
      <c r="E1074" s="1" t="s">
        <v>37</v>
      </c>
      <c r="F1074" s="1">
        <v>44897</v>
      </c>
      <c r="G1074" s="14" t="s">
        <v>2950</v>
      </c>
      <c r="H1074" t="s">
        <v>2995</v>
      </c>
      <c r="I1074" s="2" t="s">
        <v>2996</v>
      </c>
      <c r="J1074" s="2">
        <v>0.020833333333333332</v>
      </c>
      <c r="K1074" s="1">
        <v>0.041666666666666664</v>
      </c>
      <c r="L1074" s="1">
        <v>0.0625</v>
      </c>
      <c r="M1074" s="1" t="s">
        <v>22</v>
      </c>
      <c r="N1074" s="1" t="s">
        <v>53</v>
      </c>
      <c r="O1074" s="1" t="s">
        <v>483</v>
      </c>
      <c r="P1074" s="1" t="s">
        <v>484</v>
      </c>
      <c r="Q1074" s="1">
        <v>44897</v>
      </c>
      <c r="R1074" s="14">
        <v>5</v>
      </c>
      <c r="S1074" s="1" t="s">
        <v>22</v>
      </c>
      <c r="T1074" s="1" t="s">
        <v>22</v>
      </c>
      <c r="U1074" s="1" t="s">
        <v>22</v>
      </c>
    </row>
    <row r="1075" spans="1:21" x14ac:dyDescent="0.25">
      <c r="A1075" s="1" t="s">
        <v>2993</v>
      </c>
      <c r="B1075" s="2" t="s">
        <v>2997</v>
      </c>
      <c r="C1075" s="1" t="s">
        <v>25</v>
      </c>
      <c r="D1075" s="1" t="s">
        <v>2998</v>
      </c>
      <c r="E1075" s="1" t="s">
        <v>37</v>
      </c>
      <c r="F1075" s="1">
        <v>44900</v>
      </c>
      <c r="G1075" s="14" t="s">
        <v>2950</v>
      </c>
      <c r="H1075" t="s">
        <v>2999</v>
      </c>
      <c r="I1075" s="2" t="s">
        <v>3000</v>
      </c>
      <c r="J1075" s="2">
        <v>0.010416666666666666</v>
      </c>
      <c r="K1075" s="1" t="s">
        <v>22</v>
      </c>
      <c r="L1075" s="1">
        <v>0.010416666666666666</v>
      </c>
      <c r="M1075" s="1" t="s">
        <v>22</v>
      </c>
      <c r="N1075" s="1" t="s">
        <v>31</v>
      </c>
      <c r="O1075" s="1" t="s">
        <v>22</v>
      </c>
      <c r="P1075" s="1" t="s">
        <v>488</v>
      </c>
      <c r="Q1075" s="1">
        <v>44900</v>
      </c>
      <c r="R1075" s="14">
        <v>5</v>
      </c>
      <c r="S1075" s="1" t="s">
        <v>22</v>
      </c>
      <c r="T1075" s="1" t="s">
        <v>22</v>
      </c>
      <c r="U1075" s="1" t="s">
        <v>22</v>
      </c>
    </row>
    <row r="1076" spans="1:21" x14ac:dyDescent="0.25">
      <c r="A1076" s="1" t="s">
        <v>2993</v>
      </c>
      <c r="B1076" s="2" t="s">
        <v>529</v>
      </c>
      <c r="C1076" s="1" t="s">
        <v>530</v>
      </c>
      <c r="D1076" s="1" t="s">
        <v>3001</v>
      </c>
      <c r="E1076" s="1" t="s">
        <v>37</v>
      </c>
      <c r="F1076" s="1">
        <v>44901</v>
      </c>
      <c r="G1076" s="14" t="s">
        <v>2950</v>
      </c>
      <c r="H1076" t="s">
        <v>3002</v>
      </c>
      <c r="I1076" s="2" t="s">
        <v>3003</v>
      </c>
      <c r="J1076" s="2">
        <v>0.027777777777777776</v>
      </c>
      <c r="K1076" s="1">
        <v>0.03819444444444444</v>
      </c>
      <c r="L1076" s="1">
        <v>0.06597222222222221</v>
      </c>
      <c r="M1076" s="1" t="s">
        <v>22</v>
      </c>
      <c r="N1076" s="1" t="s">
        <v>31</v>
      </c>
      <c r="O1076" s="1" t="s">
        <v>32</v>
      </c>
      <c r="P1076" s="1" t="s">
        <v>484</v>
      </c>
      <c r="Q1076" s="1">
        <v>44901</v>
      </c>
      <c r="R1076" s="14">
        <v>5</v>
      </c>
      <c r="S1076" s="1" t="s">
        <v>22</v>
      </c>
      <c r="T1076" s="1" t="s">
        <v>22</v>
      </c>
      <c r="U1076" s="1" t="s">
        <v>22</v>
      </c>
    </row>
    <row r="1077" spans="1:21" x14ac:dyDescent="0.25">
      <c r="A1077" s="1" t="s">
        <v>2993</v>
      </c>
      <c r="B1077" s="2" t="s">
        <v>1451</v>
      </c>
      <c r="C1077" s="1" t="s">
        <v>287</v>
      </c>
      <c r="D1077" s="1" t="s">
        <v>3004</v>
      </c>
      <c r="E1077" s="1" t="s">
        <v>37</v>
      </c>
      <c r="F1077" s="1">
        <v>44903</v>
      </c>
      <c r="G1077" s="14" t="s">
        <v>2950</v>
      </c>
      <c r="H1077" t="s">
        <v>3005</v>
      </c>
      <c r="I1077" s="2" t="s">
        <v>3005</v>
      </c>
      <c r="J1077" s="2">
        <v>0.06597222222222222</v>
      </c>
      <c r="K1077" s="1">
        <v>0.09375</v>
      </c>
      <c r="L1077" s="1">
        <v>0.1597222222222222</v>
      </c>
      <c r="M1077" s="1" t="s">
        <v>22</v>
      </c>
      <c r="N1077" s="1" t="s">
        <v>31</v>
      </c>
      <c r="O1077" s="1" t="s">
        <v>483</v>
      </c>
      <c r="P1077" s="1" t="s">
        <v>484</v>
      </c>
      <c r="Q1077" s="1">
        <v>44903</v>
      </c>
      <c r="R1077" s="14">
        <v>5</v>
      </c>
      <c r="S1077" s="1" t="s">
        <v>22</v>
      </c>
      <c r="T1077" s="1" t="s">
        <v>22</v>
      </c>
      <c r="U1077" s="1" t="s">
        <v>22</v>
      </c>
    </row>
    <row r="1078" spans="1:21" x14ac:dyDescent="0.25">
      <c r="A1078" s="1" t="s">
        <v>2993</v>
      </c>
      <c r="B1078" s="2" t="s">
        <v>288</v>
      </c>
      <c r="C1078" s="1" t="s">
        <v>289</v>
      </c>
      <c r="D1078" s="1" t="s">
        <v>2958</v>
      </c>
      <c r="E1078" s="1" t="s">
        <v>37</v>
      </c>
      <c r="F1078" s="1">
        <v>44904</v>
      </c>
      <c r="G1078" s="14" t="s">
        <v>50</v>
      </c>
      <c r="H1078" t="s">
        <v>3006</v>
      </c>
      <c r="I1078" s="2" t="s">
        <v>3007</v>
      </c>
      <c r="J1078" s="2">
        <v>0.013888888888888888</v>
      </c>
      <c r="K1078" s="1">
        <v>0.03125</v>
      </c>
      <c r="L1078" s="1">
        <v>0.04513888888888889</v>
      </c>
      <c r="M1078" s="1" t="s">
        <v>22</v>
      </c>
      <c r="N1078" s="1" t="s">
        <v>31</v>
      </c>
      <c r="O1078" s="1" t="s">
        <v>483</v>
      </c>
      <c r="P1078" s="1" t="s">
        <v>488</v>
      </c>
      <c r="Q1078" s="1">
        <v>44903</v>
      </c>
      <c r="R1078" s="14">
        <v>5</v>
      </c>
      <c r="S1078" s="1" t="s">
        <v>22</v>
      </c>
      <c r="T1078" s="1" t="s">
        <v>22</v>
      </c>
      <c r="U1078" s="1" t="s">
        <v>22</v>
      </c>
    </row>
    <row r="1079" spans="1:21" x14ac:dyDescent="0.25">
      <c r="A1079" s="1" t="s">
        <v>2993</v>
      </c>
      <c r="B1079" s="2" t="s">
        <v>525</v>
      </c>
      <c r="C1079" s="1" t="s">
        <v>25</v>
      </c>
      <c r="D1079" s="1" t="s">
        <v>3008</v>
      </c>
      <c r="E1079" s="1" t="s">
        <v>37</v>
      </c>
      <c r="F1079" s="1">
        <v>44905</v>
      </c>
      <c r="G1079" s="14" t="s">
        <v>2950</v>
      </c>
      <c r="H1079" t="s">
        <v>3009</v>
      </c>
      <c r="I1079" s="2" t="s">
        <v>3010</v>
      </c>
      <c r="J1079" s="2">
        <v>0.03125</v>
      </c>
      <c r="K1079" s="1">
        <v>0.041666666666666664</v>
      </c>
      <c r="L1079" s="1">
        <v>0.07291666666666666</v>
      </c>
      <c r="M1079" s="1" t="s">
        <v>22</v>
      </c>
      <c r="N1079" s="1" t="s">
        <v>31</v>
      </c>
      <c r="O1079" s="1" t="s">
        <v>483</v>
      </c>
      <c r="P1079" s="1" t="s">
        <v>484</v>
      </c>
      <c r="Q1079" s="1">
        <v>44905</v>
      </c>
      <c r="R1079" s="14">
        <v>5</v>
      </c>
      <c r="S1079" s="1" t="s">
        <v>22</v>
      </c>
      <c r="T1079" s="1" t="s">
        <v>22</v>
      </c>
      <c r="U1079" s="1" t="s">
        <v>22</v>
      </c>
    </row>
    <row r="1080" spans="1:21" x14ac:dyDescent="0.25">
      <c r="A1080" s="1" t="s">
        <v>2993</v>
      </c>
      <c r="B1080" s="2" t="s">
        <v>1451</v>
      </c>
      <c r="C1080" s="1" t="s">
        <v>287</v>
      </c>
      <c r="D1080" s="1" t="s">
        <v>3011</v>
      </c>
      <c r="E1080" s="1" t="s">
        <v>2092</v>
      </c>
      <c r="F1080" s="1">
        <v>44907</v>
      </c>
      <c r="G1080" s="14" t="s">
        <v>2950</v>
      </c>
      <c r="H1080" t="s">
        <v>3012</v>
      </c>
      <c r="I1080" s="2" t="s">
        <v>3013</v>
      </c>
      <c r="J1080" s="2">
        <v>0.020833333333333332</v>
      </c>
      <c r="K1080" s="1">
        <v>0.049999999999999996</v>
      </c>
      <c r="L1080" s="1">
        <v>0.07083333333333333</v>
      </c>
      <c r="M1080" s="1" t="s">
        <v>22</v>
      </c>
      <c r="N1080" s="1" t="s">
        <v>53</v>
      </c>
      <c r="O1080" s="1" t="s">
        <v>483</v>
      </c>
      <c r="P1080" s="1" t="s">
        <v>484</v>
      </c>
      <c r="Q1080" s="1">
        <v>44907</v>
      </c>
      <c r="R1080" s="14">
        <v>5</v>
      </c>
      <c r="S1080" s="1" t="s">
        <v>22</v>
      </c>
      <c r="T1080" s="1" t="s">
        <v>22</v>
      </c>
      <c r="U1080" s="1" t="s">
        <v>22</v>
      </c>
    </row>
    <row r="1081" spans="1:21" x14ac:dyDescent="0.25">
      <c r="A1081" s="1" t="s">
        <v>2993</v>
      </c>
      <c r="B1081" s="2" t="s">
        <v>489</v>
      </c>
      <c r="C1081" s="1" t="s">
        <v>490</v>
      </c>
      <c r="D1081" s="1" t="s">
        <v>3014</v>
      </c>
      <c r="E1081" s="1" t="s">
        <v>27</v>
      </c>
      <c r="F1081" s="1">
        <v>44909</v>
      </c>
      <c r="G1081" s="14" t="s">
        <v>38</v>
      </c>
      <c r="H1081" t="s">
        <v>3015</v>
      </c>
      <c r="I1081" s="2" t="s">
        <v>3016</v>
      </c>
      <c r="J1081" s="2">
        <v>0.013888888888888888</v>
      </c>
      <c r="K1081" s="1">
        <v>0.027777777777777776</v>
      </c>
      <c r="L1081" s="1">
        <v>0.041666666666666664</v>
      </c>
      <c r="M1081" s="1" t="s">
        <v>22</v>
      </c>
      <c r="N1081" s="1" t="s">
        <v>32</v>
      </c>
      <c r="O1081" s="1" t="s">
        <v>483</v>
      </c>
      <c r="P1081" s="1" t="s">
        <v>42</v>
      </c>
      <c r="Q1081" s="1">
        <v>44909</v>
      </c>
      <c r="R1081" s="14">
        <v>5</v>
      </c>
      <c r="S1081" s="1" t="s">
        <v>22</v>
      </c>
      <c r="T1081" s="1" t="s">
        <v>22</v>
      </c>
      <c r="U1081" s="1" t="s">
        <v>22</v>
      </c>
    </row>
    <row r="1082" spans="1:21" x14ac:dyDescent="0.25">
      <c r="A1082" s="1" t="s">
        <v>2993</v>
      </c>
      <c r="B1082" s="2" t="s">
        <v>99</v>
      </c>
      <c r="C1082" s="1" t="s">
        <v>25</v>
      </c>
      <c r="D1082" s="1" t="s">
        <v>3014</v>
      </c>
      <c r="E1082" s="1" t="s">
        <v>2092</v>
      </c>
      <c r="F1082" s="1">
        <v>44909</v>
      </c>
      <c r="G1082" s="14" t="s">
        <v>2950</v>
      </c>
      <c r="H1082" t="s">
        <v>3017</v>
      </c>
      <c r="I1082" s="2" t="s">
        <v>3018</v>
      </c>
      <c r="J1082" s="2">
        <v>0.027083333333333334</v>
      </c>
      <c r="K1082" s="1">
        <v>0.06597222222222222</v>
      </c>
      <c r="L1082" s="1">
        <v>0.09305555555555556</v>
      </c>
      <c r="M1082" s="1" t="s">
        <v>22</v>
      </c>
      <c r="N1082" s="1" t="s">
        <v>483</v>
      </c>
      <c r="O1082" s="1" t="s">
        <v>32</v>
      </c>
      <c r="P1082" s="1" t="s">
        <v>484</v>
      </c>
      <c r="Q1082" s="1">
        <v>44909</v>
      </c>
      <c r="R1082" s="14">
        <v>5</v>
      </c>
      <c r="S1082" s="1" t="s">
        <v>22</v>
      </c>
      <c r="T1082" s="1" t="s">
        <v>22</v>
      </c>
      <c r="U1082" s="1" t="s">
        <v>22</v>
      </c>
    </row>
    <row r="1083" spans="1:21" x14ac:dyDescent="0.25">
      <c r="A1083" s="1" t="s">
        <v>2993</v>
      </c>
      <c r="B1083" s="2" t="s">
        <v>308</v>
      </c>
      <c r="C1083" s="1" t="s">
        <v>309</v>
      </c>
      <c r="D1083" s="1" t="s">
        <v>3019</v>
      </c>
      <c r="E1083" s="1" t="s">
        <v>3020</v>
      </c>
      <c r="F1083" s="1">
        <v>44911</v>
      </c>
      <c r="G1083" s="14" t="s">
        <v>38</v>
      </c>
      <c r="H1083" t="s">
        <v>3021</v>
      </c>
      <c r="I1083" s="2" t="s">
        <v>3022</v>
      </c>
      <c r="J1083" s="2">
        <v>0.006944444444444444</v>
      </c>
      <c r="K1083" s="1">
        <v>0.020833333333333332</v>
      </c>
      <c r="L1083" s="1">
        <v>0.027777777777777776</v>
      </c>
      <c r="M1083" s="1" t="s">
        <v>22</v>
      </c>
      <c r="N1083" s="1" t="s">
        <v>32</v>
      </c>
      <c r="O1083" s="1" t="s">
        <v>483</v>
      </c>
      <c r="P1083" s="1" t="s">
        <v>488</v>
      </c>
      <c r="Q1083" s="1">
        <v>44911</v>
      </c>
      <c r="R1083" s="14">
        <v>5</v>
      </c>
      <c r="S1083" s="1" t="s">
        <v>22</v>
      </c>
      <c r="T1083" s="1" t="s">
        <v>22</v>
      </c>
      <c r="U1083" s="1" t="s">
        <v>22</v>
      </c>
    </row>
    <row r="1084" spans="1:21" x14ac:dyDescent="0.25">
      <c r="A1084" s="1" t="s">
        <v>2993</v>
      </c>
      <c r="B1084" s="2" t="s">
        <v>2997</v>
      </c>
      <c r="C1084" s="1" t="s">
        <v>25</v>
      </c>
      <c r="D1084" s="1" t="s">
        <v>3023</v>
      </c>
      <c r="E1084" s="1" t="s">
        <v>2092</v>
      </c>
      <c r="F1084" s="1">
        <v>44911</v>
      </c>
      <c r="G1084" s="14" t="s">
        <v>38</v>
      </c>
      <c r="H1084" t="s">
        <v>3024</v>
      </c>
      <c r="I1084" s="2" t="s">
        <v>3025</v>
      </c>
      <c r="J1084" s="2">
        <v>0.03819444444444444</v>
      </c>
      <c r="K1084" s="1">
        <v>0.052083333333333336</v>
      </c>
      <c r="L1084" s="1">
        <v>0.09027777777777778</v>
      </c>
      <c r="M1084" s="1" t="s">
        <v>22</v>
      </c>
      <c r="N1084" s="1" t="s">
        <v>31</v>
      </c>
      <c r="O1084" s="1" t="s">
        <v>483</v>
      </c>
      <c r="P1084" s="1" t="s">
        <v>488</v>
      </c>
      <c r="Q1084" s="1">
        <v>44911</v>
      </c>
      <c r="R1084" s="14">
        <v>5</v>
      </c>
      <c r="S1084" s="1" t="s">
        <v>22</v>
      </c>
      <c r="T1084" s="1" t="s">
        <v>22</v>
      </c>
      <c r="U1084" s="1" t="s">
        <v>22</v>
      </c>
    </row>
    <row r="1085" spans="1:21" x14ac:dyDescent="0.25">
      <c r="A1085" s="1" t="s">
        <v>2993</v>
      </c>
      <c r="B1085" s="2" t="s">
        <v>2315</v>
      </c>
      <c r="C1085" s="1" t="s">
        <v>25</v>
      </c>
      <c r="D1085" s="1" t="s">
        <v>3026</v>
      </c>
      <c r="E1085" s="1" t="s">
        <v>27</v>
      </c>
      <c r="F1085" s="1">
        <v>44914</v>
      </c>
      <c r="G1085" s="14" t="s">
        <v>38</v>
      </c>
      <c r="H1085" t="s">
        <v>3027</v>
      </c>
      <c r="I1085" s="2" t="s">
        <v>3027</v>
      </c>
      <c r="J1085" s="2">
        <v>0.020833333333333332</v>
      </c>
      <c r="K1085" s="1">
        <v>0.017361111111111112</v>
      </c>
      <c r="L1085" s="1">
        <v>0.03819444444444445</v>
      </c>
      <c r="M1085" s="1" t="s">
        <v>22</v>
      </c>
      <c r="N1085" s="1" t="s">
        <v>31</v>
      </c>
      <c r="O1085" s="1" t="s">
        <v>32</v>
      </c>
      <c r="P1085" s="1" t="s">
        <v>484</v>
      </c>
      <c r="Q1085" s="1">
        <v>44914</v>
      </c>
      <c r="R1085" s="14">
        <v>5</v>
      </c>
      <c r="S1085" s="1" t="s">
        <v>22</v>
      </c>
      <c r="T1085" s="1" t="s">
        <v>22</v>
      </c>
      <c r="U1085" s="1" t="s">
        <v>22</v>
      </c>
    </row>
    <row r="1086" spans="1:21" x14ac:dyDescent="0.25">
      <c r="A1086" s="1" t="s">
        <v>2993</v>
      </c>
      <c r="B1086" s="2" t="s">
        <v>479</v>
      </c>
      <c r="C1086" s="1" t="s">
        <v>25</v>
      </c>
      <c r="D1086" s="1" t="s">
        <v>3028</v>
      </c>
      <c r="E1086" s="1" t="s">
        <v>27</v>
      </c>
      <c r="F1086" s="1">
        <v>44915</v>
      </c>
      <c r="G1086" s="14" t="s">
        <v>2950</v>
      </c>
      <c r="H1086" t="s">
        <v>3029</v>
      </c>
      <c r="I1086" s="2" t="s">
        <v>3030</v>
      </c>
      <c r="J1086" s="2">
        <v>0.020833333333333332</v>
      </c>
      <c r="K1086" s="1">
        <v>0.034722222222222224</v>
      </c>
      <c r="L1086" s="1">
        <v>0.05555555555555555</v>
      </c>
      <c r="M1086" s="1" t="s">
        <v>22</v>
      </c>
      <c r="N1086" s="1" t="s">
        <v>32</v>
      </c>
      <c r="O1086" s="1" t="s">
        <v>483</v>
      </c>
      <c r="P1086" s="1" t="s">
        <v>488</v>
      </c>
      <c r="Q1086" s="1">
        <v>44915</v>
      </c>
      <c r="R1086" s="14">
        <v>5</v>
      </c>
      <c r="S1086" s="1" t="s">
        <v>22</v>
      </c>
      <c r="T1086" s="1" t="s">
        <v>22</v>
      </c>
      <c r="U1086" s="1" t="s">
        <v>22</v>
      </c>
    </row>
    <row r="1087" spans="1:21" x14ac:dyDescent="0.25">
      <c r="A1087" s="1" t="s">
        <v>2993</v>
      </c>
      <c r="B1087" s="2" t="s">
        <v>2315</v>
      </c>
      <c r="C1087" s="1" t="s">
        <v>25</v>
      </c>
      <c r="D1087" s="1" t="s">
        <v>3031</v>
      </c>
      <c r="E1087" s="1" t="s">
        <v>27</v>
      </c>
      <c r="F1087" s="1">
        <v>44915</v>
      </c>
      <c r="G1087" s="14" t="s">
        <v>2950</v>
      </c>
      <c r="H1087" t="s">
        <v>3032</v>
      </c>
      <c r="I1087" s="2" t="s">
        <v>3033</v>
      </c>
      <c r="J1087" s="2">
        <v>0.024999999999999998</v>
      </c>
      <c r="K1087" s="1">
        <v>0.041666666666666664</v>
      </c>
      <c r="L1087" s="1">
        <v>0.06666666666666667</v>
      </c>
      <c r="M1087" s="1" t="s">
        <v>22</v>
      </c>
      <c r="N1087" s="1" t="s">
        <v>574</v>
      </c>
      <c r="O1087" s="1" t="s">
        <v>483</v>
      </c>
      <c r="P1087" s="1" t="s">
        <v>484</v>
      </c>
      <c r="Q1087" s="1">
        <v>44915</v>
      </c>
      <c r="R1087" s="14">
        <v>5</v>
      </c>
      <c r="S1087" s="1" t="s">
        <v>3034</v>
      </c>
      <c r="T1087" s="1" t="s">
        <v>22</v>
      </c>
      <c r="U1087" s="1" t="s">
        <v>22</v>
      </c>
    </row>
    <row r="1088" spans="1:21" x14ac:dyDescent="0.25">
      <c r="A1088" s="1" t="s">
        <v>2993</v>
      </c>
      <c r="B1088" s="2" t="s">
        <v>286</v>
      </c>
      <c r="C1088" s="1" t="s">
        <v>287</v>
      </c>
      <c r="D1088" s="1" t="s">
        <v>3035</v>
      </c>
      <c r="E1088" s="1" t="s">
        <v>37</v>
      </c>
      <c r="F1088" s="1">
        <v>44916</v>
      </c>
      <c r="G1088" s="14" t="s">
        <v>38</v>
      </c>
      <c r="H1088" t="s">
        <v>3036</v>
      </c>
      <c r="I1088" s="2" t="s">
        <v>3037</v>
      </c>
      <c r="J1088" s="2">
        <v>0.013888888888888888</v>
      </c>
      <c r="K1088" s="1">
        <v>0.027777777777777776</v>
      </c>
      <c r="L1088" s="1">
        <v>0.041666666666666664</v>
      </c>
      <c r="M1088" s="1" t="s">
        <v>22</v>
      </c>
      <c r="N1088" s="1" t="s">
        <v>32</v>
      </c>
      <c r="O1088" s="1" t="s">
        <v>483</v>
      </c>
      <c r="P1088" s="1" t="s">
        <v>484</v>
      </c>
      <c r="Q1088" s="1">
        <v>44916</v>
      </c>
      <c r="R1088" s="14">
        <v>5</v>
      </c>
      <c r="S1088" s="1" t="s">
        <v>22</v>
      </c>
      <c r="T1088" s="1" t="s">
        <v>22</v>
      </c>
      <c r="U1088" s="1" t="s">
        <v>22</v>
      </c>
    </row>
    <row r="1089" spans="1:21" x14ac:dyDescent="0.25">
      <c r="A1089" s="1" t="s">
        <v>2993</v>
      </c>
      <c r="B1089" s="2" t="s">
        <v>2997</v>
      </c>
      <c r="C1089" s="1" t="s">
        <v>25</v>
      </c>
      <c r="D1089" s="1" t="s">
        <v>3023</v>
      </c>
      <c r="E1089" s="1" t="s">
        <v>37</v>
      </c>
      <c r="F1089" s="1">
        <v>44917</v>
      </c>
      <c r="G1089" s="14" t="s">
        <v>38</v>
      </c>
      <c r="H1089" t="s">
        <v>3038</v>
      </c>
      <c r="I1089" s="2" t="s">
        <v>3038</v>
      </c>
      <c r="J1089" s="2">
        <v>0.010416666666666666</v>
      </c>
      <c r="K1089" s="1" t="s">
        <v>22</v>
      </c>
      <c r="L1089" s="1">
        <v>0.010416666666666666</v>
      </c>
      <c r="M1089" s="1" t="s">
        <v>22</v>
      </c>
      <c r="N1089" s="1" t="s">
        <v>31</v>
      </c>
      <c r="O1089" s="1" t="s">
        <v>22</v>
      </c>
      <c r="P1089" s="1" t="s">
        <v>488</v>
      </c>
      <c r="Q1089" s="1">
        <v>44917</v>
      </c>
      <c r="R1089" s="14">
        <v>5</v>
      </c>
      <c r="S1089" s="1" t="s">
        <v>22</v>
      </c>
      <c r="T1089" s="1" t="s">
        <v>22</v>
      </c>
      <c r="U1089" s="1" t="s">
        <v>22</v>
      </c>
    </row>
    <row r="1090" spans="1:21" x14ac:dyDescent="0.25">
      <c r="A1090" s="1" t="s">
        <v>2993</v>
      </c>
      <c r="B1090" s="2" t="s">
        <v>2673</v>
      </c>
      <c r="C1090" s="1" t="s">
        <v>25</v>
      </c>
      <c r="D1090" s="1" t="s">
        <v>3039</v>
      </c>
      <c r="E1090" s="1" t="s">
        <v>37</v>
      </c>
      <c r="F1090" s="1">
        <v>44918</v>
      </c>
      <c r="G1090" s="14" t="s">
        <v>38</v>
      </c>
      <c r="H1090" t="s">
        <v>3040</v>
      </c>
      <c r="I1090" s="2" t="s">
        <v>3041</v>
      </c>
      <c r="J1090" s="2">
        <v>0.034722222222222224</v>
      </c>
      <c r="K1090" s="1">
        <v>0.027777777777777776</v>
      </c>
      <c r="L1090" s="1">
        <v>0.0625</v>
      </c>
      <c r="M1090" s="1" t="s">
        <v>22</v>
      </c>
      <c r="N1090" s="1" t="s">
        <v>31</v>
      </c>
      <c r="O1090" s="1" t="s">
        <v>483</v>
      </c>
      <c r="P1090" s="1" t="s">
        <v>488</v>
      </c>
      <c r="Q1090" s="1">
        <v>44918</v>
      </c>
      <c r="R1090" s="14">
        <v>5</v>
      </c>
      <c r="S1090" s="1" t="s">
        <v>22</v>
      </c>
      <c r="T1090" s="1" t="s">
        <v>22</v>
      </c>
      <c r="U1090" s="1" t="s">
        <v>22</v>
      </c>
    </row>
    <row r="1091" spans="1:21" x14ac:dyDescent="0.25">
      <c r="A1091" s="1" t="s">
        <v>2993</v>
      </c>
      <c r="B1091" s="2" t="s">
        <v>283</v>
      </c>
      <c r="C1091" s="1" t="s">
        <v>25</v>
      </c>
      <c r="D1091" s="1" t="s">
        <v>3042</v>
      </c>
      <c r="E1091" s="1" t="s">
        <v>37</v>
      </c>
      <c r="F1091" s="1">
        <v>44923</v>
      </c>
      <c r="G1091" s="14" t="s">
        <v>28</v>
      </c>
      <c r="H1091" t="s">
        <v>3043</v>
      </c>
      <c r="I1091" s="2" t="s">
        <v>3043</v>
      </c>
      <c r="J1091" s="2">
        <v>0.034722222222222224</v>
      </c>
      <c r="K1091" s="1">
        <v>0.03819444444444444</v>
      </c>
      <c r="L1091" s="1">
        <v>0.07291666666666666</v>
      </c>
      <c r="M1091" s="1" t="s">
        <v>22</v>
      </c>
      <c r="N1091" s="1" t="s">
        <v>31</v>
      </c>
      <c r="O1091" s="1" t="s">
        <v>483</v>
      </c>
      <c r="P1091" s="1" t="s">
        <v>488</v>
      </c>
      <c r="Q1091" s="1">
        <v>44923</v>
      </c>
      <c r="R1091" s="14">
        <v>5</v>
      </c>
      <c r="S1091" s="1" t="s">
        <v>22</v>
      </c>
      <c r="T1091" s="1" t="s">
        <v>22</v>
      </c>
      <c r="U1091" s="1" t="s">
        <v>22</v>
      </c>
    </row>
    <row r="1092" spans="1:21" x14ac:dyDescent="0.25">
      <c r="A1092" s="1" t="s">
        <v>2993</v>
      </c>
      <c r="B1092" s="2" t="s">
        <v>1451</v>
      </c>
      <c r="C1092" s="1" t="s">
        <v>287</v>
      </c>
      <c r="D1092" s="1" t="s">
        <v>3044</v>
      </c>
      <c r="E1092" s="1" t="s">
        <v>37</v>
      </c>
      <c r="F1092" s="1">
        <v>44925</v>
      </c>
      <c r="G1092" s="14" t="s">
        <v>38</v>
      </c>
      <c r="H1092" t="s">
        <v>3045</v>
      </c>
      <c r="I1092" s="2" t="s">
        <v>3046</v>
      </c>
      <c r="J1092" s="2">
        <v>0.034722222222222224</v>
      </c>
      <c r="K1092" s="1">
        <v>0.04513888888888889</v>
      </c>
      <c r="L1092" s="1">
        <v>0.0798611111111111</v>
      </c>
      <c r="M1092" s="1" t="s">
        <v>22</v>
      </c>
      <c r="N1092" s="1" t="s">
        <v>31</v>
      </c>
      <c r="O1092" s="1" t="s">
        <v>483</v>
      </c>
      <c r="P1092" s="1" t="s">
        <v>484</v>
      </c>
      <c r="Q1092" s="1">
        <v>44925</v>
      </c>
      <c r="R1092" s="14">
        <v>5</v>
      </c>
      <c r="S1092" s="1" t="s">
        <v>22</v>
      </c>
      <c r="T1092" s="1" t="s">
        <v>22</v>
      </c>
      <c r="U1092" s="1" t="s">
        <v>22</v>
      </c>
    </row>
    <row r="1093" spans="1:21" x14ac:dyDescent="0.25">
      <c r="A1093" s="1" t="s">
        <v>2993</v>
      </c>
      <c r="B1093" s="2" t="s">
        <v>35</v>
      </c>
      <c r="C1093" s="1" t="s">
        <v>25</v>
      </c>
      <c r="D1093" s="1" t="s">
        <v>3047</v>
      </c>
      <c r="E1093" s="1" t="s">
        <v>37</v>
      </c>
      <c r="F1093" s="1">
        <v>44925</v>
      </c>
      <c r="G1093" s="14" t="s">
        <v>38</v>
      </c>
      <c r="H1093" t="s">
        <v>3048</v>
      </c>
      <c r="I1093" s="2" t="s">
        <v>3049</v>
      </c>
      <c r="J1093" s="2">
        <v>0.010416666666666666</v>
      </c>
      <c r="K1093" s="1">
        <v>0.018055555555555557</v>
      </c>
      <c r="L1093" s="1">
        <v>0.028472222222222225</v>
      </c>
      <c r="M1093" s="1" t="s">
        <v>22</v>
      </c>
      <c r="N1093" s="1" t="s">
        <v>574</v>
      </c>
      <c r="O1093" s="1" t="s">
        <v>483</v>
      </c>
      <c r="P1093" s="1" t="s">
        <v>42</v>
      </c>
      <c r="Q1093" s="1">
        <v>44925</v>
      </c>
      <c r="R1093" s="14">
        <v>5</v>
      </c>
      <c r="S1093" s="1" t="s">
        <v>22</v>
      </c>
      <c r="T1093" s="1" t="s">
        <v>22</v>
      </c>
      <c r="U1093" s="1" t="s">
        <v>22</v>
      </c>
    </row>
    <row r="1094" spans="1:21" x14ac:dyDescent="0.25">
      <c r="A1094" s="1" t="s">
        <v>515</v>
      </c>
      <c r="B1094" s="2" t="s">
        <v>1451</v>
      </c>
      <c r="C1094" s="1" t="s">
        <v>287</v>
      </c>
      <c r="D1094" s="1" t="s">
        <v>3050</v>
      </c>
      <c r="E1094" s="1" t="s">
        <v>27</v>
      </c>
      <c r="F1094" s="1">
        <v>44928</v>
      </c>
      <c r="G1094" s="14" t="s">
        <v>353</v>
      </c>
      <c r="H1094" t="s">
        <v>3051</v>
      </c>
      <c r="I1094" s="2" t="s">
        <v>3052</v>
      </c>
      <c r="J1094" s="2">
        <v>0.03125</v>
      </c>
      <c r="K1094" s="1">
        <v>0.03125</v>
      </c>
      <c r="L1094" s="1">
        <v>0.0625</v>
      </c>
      <c r="M1094" s="1" t="s">
        <v>22</v>
      </c>
      <c r="N1094" s="1" t="s">
        <v>31</v>
      </c>
      <c r="O1094" s="1" t="s">
        <v>32</v>
      </c>
      <c r="P1094" s="1" t="s">
        <v>484</v>
      </c>
      <c r="Q1094" s="1">
        <v>44928</v>
      </c>
      <c r="R1094" s="14">
        <v>5</v>
      </c>
      <c r="S1094" s="1" t="s">
        <v>22</v>
      </c>
      <c r="T1094" s="1" t="s">
        <v>22</v>
      </c>
      <c r="U1094" s="1" t="s">
        <v>22</v>
      </c>
    </row>
    <row r="1095" spans="1:21" x14ac:dyDescent="0.25">
      <c r="A1095" s="1" t="s">
        <v>515</v>
      </c>
      <c r="B1095" s="2" t="s">
        <v>118</v>
      </c>
      <c r="C1095" s="1" t="s">
        <v>25</v>
      </c>
      <c r="D1095" s="1" t="s">
        <v>3053</v>
      </c>
      <c r="E1095" s="1" t="s">
        <v>27</v>
      </c>
      <c r="F1095" s="1">
        <v>44928</v>
      </c>
      <c r="G1095" s="14" t="s">
        <v>38</v>
      </c>
      <c r="H1095" t="s">
        <v>3054</v>
      </c>
      <c r="I1095" s="2" t="s">
        <v>3055</v>
      </c>
      <c r="J1095" s="2">
        <v>0.010416666666666666</v>
      </c>
      <c r="K1095" s="1">
        <v>0.04861111111111111</v>
      </c>
      <c r="L1095" s="1">
        <v>0.059027777777777776</v>
      </c>
      <c r="M1095" s="1" t="s">
        <v>22</v>
      </c>
      <c r="N1095" s="1" t="s">
        <v>31</v>
      </c>
      <c r="O1095" s="1" t="s">
        <v>483</v>
      </c>
      <c r="P1095" s="1" t="s">
        <v>484</v>
      </c>
      <c r="Q1095" s="1">
        <v>44928</v>
      </c>
      <c r="R1095" s="14">
        <v>5</v>
      </c>
      <c r="S1095" s="1" t="s">
        <v>22</v>
      </c>
      <c r="T1095" s="1" t="s">
        <v>22</v>
      </c>
      <c r="U1095" s="1" t="s">
        <v>22</v>
      </c>
    </row>
    <row r="1096" spans="1:21" x14ac:dyDescent="0.25">
      <c r="A1096" s="1" t="s">
        <v>515</v>
      </c>
      <c r="B1096" s="2" t="s">
        <v>260</v>
      </c>
      <c r="C1096" s="1" t="s">
        <v>261</v>
      </c>
      <c r="D1096" s="1" t="s">
        <v>3056</v>
      </c>
      <c r="E1096" s="1" t="s">
        <v>27</v>
      </c>
      <c r="F1096" s="1">
        <v>44929</v>
      </c>
      <c r="G1096" s="14" t="s">
        <v>507</v>
      </c>
      <c r="H1096" t="s">
        <v>3057</v>
      </c>
      <c r="I1096" s="2" t="s">
        <v>3057</v>
      </c>
      <c r="J1096" s="2">
        <v>0.006944444444444444</v>
      </c>
      <c r="K1096" s="1">
        <v>0.017361111111111112</v>
      </c>
      <c r="L1096" s="1">
        <v>0.024305555555555556</v>
      </c>
      <c r="M1096" s="1" t="s">
        <v>22</v>
      </c>
      <c r="N1096" s="1" t="s">
        <v>32</v>
      </c>
      <c r="O1096" s="1" t="s">
        <v>483</v>
      </c>
      <c r="P1096" s="1" t="s">
        <v>42</v>
      </c>
      <c r="Q1096" s="1">
        <v>44929</v>
      </c>
      <c r="R1096" s="14">
        <v>5</v>
      </c>
      <c r="S1096" s="1" t="s">
        <v>22</v>
      </c>
      <c r="T1096" s="1" t="s">
        <v>22</v>
      </c>
      <c r="U1096" s="1" t="s">
        <v>22</v>
      </c>
    </row>
    <row r="1097" spans="1:21" x14ac:dyDescent="0.25">
      <c r="A1097" s="1" t="s">
        <v>515</v>
      </c>
      <c r="B1097" s="2" t="s">
        <v>163</v>
      </c>
      <c r="C1097" s="1" t="s">
        <v>25</v>
      </c>
      <c r="D1097" s="1" t="s">
        <v>3058</v>
      </c>
      <c r="E1097" s="1" t="s">
        <v>37</v>
      </c>
      <c r="F1097" s="1">
        <v>44931</v>
      </c>
      <c r="G1097" s="14" t="s">
        <v>2793</v>
      </c>
      <c r="H1097" t="s">
        <v>3059</v>
      </c>
      <c r="I1097" s="2" t="s">
        <v>3060</v>
      </c>
      <c r="J1097" s="2">
        <v>0.020833333333333332</v>
      </c>
      <c r="K1097" s="1">
        <v>0.024305555555555556</v>
      </c>
      <c r="L1097" s="1">
        <v>0.04513888888888889</v>
      </c>
      <c r="M1097" s="1" t="s">
        <v>22</v>
      </c>
      <c r="N1097" s="1" t="s">
        <v>32</v>
      </c>
      <c r="O1097" s="1" t="s">
        <v>483</v>
      </c>
      <c r="P1097" s="1" t="s">
        <v>488</v>
      </c>
      <c r="Q1097" s="1">
        <v>44931</v>
      </c>
      <c r="R1097" s="14">
        <v>5</v>
      </c>
      <c r="S1097" s="1" t="s">
        <v>22</v>
      </c>
      <c r="T1097" s="1" t="s">
        <v>22</v>
      </c>
      <c r="U1097" s="1" t="s">
        <v>22</v>
      </c>
    </row>
    <row r="1098" spans="1:21" x14ac:dyDescent="0.25">
      <c r="A1098" s="1" t="s">
        <v>515</v>
      </c>
      <c r="B1098" s="2" t="s">
        <v>99</v>
      </c>
      <c r="C1098" s="1" t="s">
        <v>25</v>
      </c>
      <c r="D1098" s="1" t="s">
        <v>3061</v>
      </c>
      <c r="E1098" s="1" t="s">
        <v>2092</v>
      </c>
      <c r="F1098" s="1">
        <v>44931</v>
      </c>
      <c r="G1098" s="14" t="s">
        <v>28</v>
      </c>
      <c r="H1098" t="s">
        <v>3062</v>
      </c>
      <c r="I1098" s="2" t="s">
        <v>3063</v>
      </c>
      <c r="J1098" s="2">
        <v>0.024305555555555556</v>
      </c>
      <c r="K1098" s="1">
        <v>0.05902777777777778</v>
      </c>
      <c r="L1098" s="1">
        <v>0.08333333333333334</v>
      </c>
      <c r="M1098" s="1" t="s">
        <v>22</v>
      </c>
      <c r="N1098" s="1" t="s">
        <v>483</v>
      </c>
      <c r="O1098" s="1" t="s">
        <v>32</v>
      </c>
      <c r="P1098" s="1" t="s">
        <v>484</v>
      </c>
      <c r="Q1098" s="1">
        <v>44931</v>
      </c>
      <c r="R1098" s="14">
        <v>5</v>
      </c>
      <c r="S1098" s="1" t="s">
        <v>22</v>
      </c>
      <c r="T1098" s="1" t="s">
        <v>22</v>
      </c>
      <c r="U1098" s="1" t="s">
        <v>22</v>
      </c>
    </row>
    <row r="1099" spans="1:21" x14ac:dyDescent="0.25">
      <c r="A1099" s="1" t="s">
        <v>515</v>
      </c>
      <c r="B1099" s="2" t="s">
        <v>99</v>
      </c>
      <c r="C1099" s="1" t="s">
        <v>25</v>
      </c>
      <c r="D1099" s="1" t="s">
        <v>3064</v>
      </c>
      <c r="E1099" s="1" t="s">
        <v>27</v>
      </c>
      <c r="F1099" s="1">
        <v>44933</v>
      </c>
      <c r="G1099" s="14" t="s">
        <v>507</v>
      </c>
      <c r="H1099" t="s">
        <v>3065</v>
      </c>
      <c r="I1099" s="2" t="s">
        <v>3066</v>
      </c>
      <c r="J1099" s="2">
        <v>0.013888888888888888</v>
      </c>
      <c r="K1099" s="1">
        <v>0.020833333333333332</v>
      </c>
      <c r="L1099" s="1">
        <v>0.034722222222222224</v>
      </c>
      <c r="M1099" s="1" t="s">
        <v>22</v>
      </c>
      <c r="N1099" s="1" t="s">
        <v>32</v>
      </c>
      <c r="O1099" s="1" t="s">
        <v>483</v>
      </c>
      <c r="P1099" s="1" t="s">
        <v>484</v>
      </c>
      <c r="Q1099" s="1">
        <v>44933</v>
      </c>
      <c r="R1099" s="14">
        <v>5</v>
      </c>
      <c r="S1099" s="1" t="s">
        <v>22</v>
      </c>
      <c r="T1099" s="1" t="s">
        <v>22</v>
      </c>
      <c r="U1099" s="1" t="s">
        <v>22</v>
      </c>
    </row>
    <row r="1100" spans="1:21" x14ac:dyDescent="0.25">
      <c r="A1100" s="1" t="s">
        <v>515</v>
      </c>
      <c r="B1100" s="2" t="s">
        <v>479</v>
      </c>
      <c r="C1100" s="1" t="s">
        <v>25</v>
      </c>
      <c r="D1100" s="1" t="s">
        <v>3067</v>
      </c>
      <c r="E1100" s="1" t="s">
        <v>27</v>
      </c>
      <c r="F1100" s="1">
        <v>44933</v>
      </c>
      <c r="G1100" s="14" t="s">
        <v>28</v>
      </c>
      <c r="H1100" t="s">
        <v>3068</v>
      </c>
      <c r="I1100" s="2" t="s">
        <v>3069</v>
      </c>
      <c r="J1100" s="2">
        <v>0.020833333333333332</v>
      </c>
      <c r="K1100" s="1">
        <v>0.027777777777777776</v>
      </c>
      <c r="L1100" s="1">
        <v>0.048611111111111105</v>
      </c>
      <c r="M1100" s="1" t="s">
        <v>22</v>
      </c>
      <c r="N1100" s="1" t="s">
        <v>53</v>
      </c>
      <c r="O1100" s="1" t="s">
        <v>483</v>
      </c>
      <c r="P1100" s="1" t="s">
        <v>488</v>
      </c>
      <c r="Q1100" s="1">
        <v>44933</v>
      </c>
      <c r="R1100" s="14">
        <v>5</v>
      </c>
      <c r="S1100" s="1" t="s">
        <v>22</v>
      </c>
      <c r="T1100" s="1" t="s">
        <v>22</v>
      </c>
      <c r="U1100" s="1" t="s">
        <v>22</v>
      </c>
    </row>
    <row r="1101" spans="1:21" x14ac:dyDescent="0.25">
      <c r="A1101" s="1" t="s">
        <v>515</v>
      </c>
      <c r="B1101" s="2" t="s">
        <v>290</v>
      </c>
      <c r="C1101" s="1" t="s">
        <v>25</v>
      </c>
      <c r="D1101" s="1" t="s">
        <v>3070</v>
      </c>
      <c r="E1101" s="1" t="s">
        <v>37</v>
      </c>
      <c r="F1101" s="1">
        <v>44933</v>
      </c>
      <c r="G1101" s="14" t="s">
        <v>353</v>
      </c>
      <c r="H1101" t="s">
        <v>3071</v>
      </c>
      <c r="I1101" s="2" t="s">
        <v>3072</v>
      </c>
      <c r="J1101" s="2">
        <v>0.020833333333333332</v>
      </c>
      <c r="K1101" s="1">
        <v>0.020833333333333332</v>
      </c>
      <c r="L1101" s="1">
        <v>0.041666666666666664</v>
      </c>
      <c r="M1101" s="1" t="s">
        <v>22</v>
      </c>
      <c r="N1101" s="1" t="s">
        <v>53</v>
      </c>
      <c r="O1101" s="1" t="s">
        <v>32</v>
      </c>
      <c r="P1101" s="1" t="s">
        <v>488</v>
      </c>
      <c r="Q1101" s="1">
        <v>44933</v>
      </c>
      <c r="R1101" s="14">
        <v>5</v>
      </c>
      <c r="S1101" s="1" t="s">
        <v>22</v>
      </c>
      <c r="T1101" s="1" t="s">
        <v>22</v>
      </c>
      <c r="U1101" s="1" t="s">
        <v>22</v>
      </c>
    </row>
    <row r="1102" spans="1:21" x14ac:dyDescent="0.25">
      <c r="A1102" s="1" t="s">
        <v>515</v>
      </c>
      <c r="B1102" s="2" t="s">
        <v>283</v>
      </c>
      <c r="C1102" s="1" t="s">
        <v>25</v>
      </c>
      <c r="D1102" s="1" t="s">
        <v>3073</v>
      </c>
      <c r="E1102" s="1" t="s">
        <v>37</v>
      </c>
      <c r="F1102" s="1">
        <v>44935</v>
      </c>
      <c r="G1102" s="14" t="s">
        <v>28</v>
      </c>
      <c r="H1102" t="s">
        <v>3074</v>
      </c>
      <c r="I1102" s="2" t="s">
        <v>3075</v>
      </c>
      <c r="J1102" s="2">
        <v>0.020833333333333332</v>
      </c>
      <c r="K1102" s="1">
        <v>0.03125</v>
      </c>
      <c r="L1102" s="1">
        <v>0.05208333333333333</v>
      </c>
      <c r="M1102" s="1" t="s">
        <v>22</v>
      </c>
      <c r="N1102" s="1" t="s">
        <v>32</v>
      </c>
      <c r="O1102" s="1" t="s">
        <v>483</v>
      </c>
      <c r="P1102" s="1" t="s">
        <v>488</v>
      </c>
      <c r="Q1102" s="1">
        <v>44935</v>
      </c>
      <c r="R1102" s="14">
        <v>5</v>
      </c>
      <c r="S1102" s="1" t="s">
        <v>22</v>
      </c>
      <c r="T1102" s="1" t="s">
        <v>22</v>
      </c>
      <c r="U1102" s="1" t="s">
        <v>22</v>
      </c>
    </row>
    <row r="1103" spans="1:21" x14ac:dyDescent="0.25">
      <c r="A1103" s="1" t="s">
        <v>515</v>
      </c>
      <c r="B1103" s="2" t="s">
        <v>545</v>
      </c>
      <c r="C1103" s="1" t="s">
        <v>963</v>
      </c>
      <c r="D1103" s="1" t="s">
        <v>3076</v>
      </c>
      <c r="E1103" s="1" t="s">
        <v>37</v>
      </c>
      <c r="F1103" s="1">
        <v>44936</v>
      </c>
      <c r="G1103" s="14" t="s">
        <v>353</v>
      </c>
      <c r="H1103" t="s">
        <v>3077</v>
      </c>
      <c r="I1103" s="2" t="s">
        <v>3078</v>
      </c>
      <c r="J1103" s="2">
        <v>0.020833333333333332</v>
      </c>
      <c r="K1103" s="1">
        <v>0.024305555555555556</v>
      </c>
      <c r="L1103" s="1">
        <v>0.04513888888888889</v>
      </c>
      <c r="M1103" s="1" t="s">
        <v>22</v>
      </c>
      <c r="N1103" s="1" t="s">
        <v>31</v>
      </c>
      <c r="O1103" s="1" t="s">
        <v>483</v>
      </c>
      <c r="P1103" s="1" t="s">
        <v>484</v>
      </c>
      <c r="Q1103" s="1">
        <v>44936</v>
      </c>
      <c r="R1103" s="14">
        <v>5</v>
      </c>
      <c r="S1103" s="1" t="s">
        <v>22</v>
      </c>
      <c r="T1103" s="1" t="s">
        <v>22</v>
      </c>
      <c r="U1103" s="1" t="s">
        <v>22</v>
      </c>
    </row>
    <row r="1104" spans="1:21" x14ac:dyDescent="0.25">
      <c r="A1104" s="1" t="s">
        <v>515</v>
      </c>
      <c r="B1104" s="2" t="s">
        <v>2125</v>
      </c>
      <c r="C1104" s="1" t="s">
        <v>186</v>
      </c>
      <c r="D1104" s="1" t="s">
        <v>3079</v>
      </c>
      <c r="E1104" s="1" t="s">
        <v>37</v>
      </c>
      <c r="F1104" s="1">
        <v>44937</v>
      </c>
      <c r="G1104" s="14" t="s">
        <v>670</v>
      </c>
      <c r="H1104" t="s">
        <v>3080</v>
      </c>
      <c r="I1104" s="2" t="s">
        <v>3081</v>
      </c>
      <c r="J1104" s="2">
        <v>0.013888888888888888</v>
      </c>
      <c r="K1104" s="1">
        <v>0.03125</v>
      </c>
      <c r="L1104" s="1">
        <v>0.04513888888888889</v>
      </c>
      <c r="M1104" s="1" t="s">
        <v>22</v>
      </c>
      <c r="N1104" s="1" t="s">
        <v>31</v>
      </c>
      <c r="O1104" s="1" t="s">
        <v>483</v>
      </c>
      <c r="P1104" s="1" t="s">
        <v>42</v>
      </c>
      <c r="Q1104" s="1">
        <v>44937</v>
      </c>
      <c r="R1104" s="14">
        <v>5</v>
      </c>
      <c r="S1104" s="1" t="s">
        <v>22</v>
      </c>
      <c r="T1104" s="1" t="s">
        <v>22</v>
      </c>
      <c r="U1104" s="1" t="s">
        <v>22</v>
      </c>
    </row>
    <row r="1105" spans="1:21" x14ac:dyDescent="0.25">
      <c r="A1105" s="1" t="s">
        <v>515</v>
      </c>
      <c r="B1105" s="2" t="s">
        <v>99</v>
      </c>
      <c r="C1105" s="1" t="s">
        <v>25</v>
      </c>
      <c r="D1105" s="1" t="s">
        <v>3082</v>
      </c>
      <c r="E1105" s="1" t="s">
        <v>2092</v>
      </c>
      <c r="F1105" s="1">
        <v>44937</v>
      </c>
      <c r="G1105" s="14" t="s">
        <v>28</v>
      </c>
      <c r="H1105" t="s">
        <v>3083</v>
      </c>
      <c r="I1105" s="2" t="s">
        <v>3083</v>
      </c>
      <c r="J1105" s="2">
        <v>0.020833333333333332</v>
      </c>
      <c r="K1105" s="1">
        <v>0.041666666666666664</v>
      </c>
      <c r="L1105" s="1">
        <v>0.0625</v>
      </c>
      <c r="M1105" s="1" t="s">
        <v>22</v>
      </c>
      <c r="N1105" s="1" t="s">
        <v>32</v>
      </c>
      <c r="O1105" s="1" t="s">
        <v>483</v>
      </c>
      <c r="P1105" s="1" t="s">
        <v>484</v>
      </c>
      <c r="Q1105" s="1">
        <v>44937</v>
      </c>
      <c r="R1105" s="14">
        <v>5</v>
      </c>
      <c r="S1105" s="1" t="s">
        <v>22</v>
      </c>
      <c r="T1105" s="1" t="s">
        <v>22</v>
      </c>
      <c r="U1105" s="1" t="s">
        <v>22</v>
      </c>
    </row>
    <row r="1106" spans="1:21" x14ac:dyDescent="0.25">
      <c r="A1106" s="1" t="s">
        <v>515</v>
      </c>
      <c r="B1106" s="2" t="s">
        <v>199</v>
      </c>
      <c r="C1106" s="1" t="s">
        <v>541</v>
      </c>
      <c r="D1106" s="1" t="s">
        <v>3084</v>
      </c>
      <c r="E1106" s="1" t="s">
        <v>37</v>
      </c>
      <c r="F1106" s="1">
        <v>44939</v>
      </c>
      <c r="G1106" s="14" t="s">
        <v>38</v>
      </c>
      <c r="H1106" t="s">
        <v>3085</v>
      </c>
      <c r="I1106" s="2" t="s">
        <v>3086</v>
      </c>
      <c r="J1106" s="2">
        <v>0.020833333333333332</v>
      </c>
      <c r="K1106" s="1">
        <v>0.03819444444444444</v>
      </c>
      <c r="L1106" s="1">
        <v>0.059027777777777776</v>
      </c>
      <c r="M1106" s="1" t="s">
        <v>22</v>
      </c>
      <c r="N1106" s="1" t="s">
        <v>31</v>
      </c>
      <c r="O1106" s="1" t="s">
        <v>483</v>
      </c>
      <c r="P1106" s="1" t="s">
        <v>488</v>
      </c>
      <c r="Q1106" s="1">
        <v>44939</v>
      </c>
      <c r="R1106" s="14">
        <v>5</v>
      </c>
      <c r="S1106" s="1" t="s">
        <v>22</v>
      </c>
      <c r="T1106" s="1" t="s">
        <v>22</v>
      </c>
      <c r="U1106" s="1" t="s">
        <v>22</v>
      </c>
    </row>
    <row r="1107" spans="1:21" x14ac:dyDescent="0.25">
      <c r="A1107" s="1" t="s">
        <v>515</v>
      </c>
      <c r="B1107" s="2" t="s">
        <v>308</v>
      </c>
      <c r="C1107" s="1" t="s">
        <v>309</v>
      </c>
      <c r="D1107" s="1" t="s">
        <v>3087</v>
      </c>
      <c r="E1107" s="1" t="s">
        <v>27</v>
      </c>
      <c r="F1107" s="1">
        <v>44942</v>
      </c>
      <c r="G1107" s="14" t="s">
        <v>133</v>
      </c>
      <c r="H1107" t="s">
        <v>3088</v>
      </c>
      <c r="I1107" s="2" t="s">
        <v>3089</v>
      </c>
      <c r="J1107" s="2">
        <v>0.006944444444444444</v>
      </c>
      <c r="K1107" s="1">
        <v>0.018055555555555557</v>
      </c>
      <c r="L1107" s="1">
        <v>0.025</v>
      </c>
      <c r="M1107" s="1" t="s">
        <v>22</v>
      </c>
      <c r="N1107" s="1" t="s">
        <v>32</v>
      </c>
      <c r="O1107" s="1" t="s">
        <v>483</v>
      </c>
      <c r="P1107" s="1" t="s">
        <v>488</v>
      </c>
      <c r="Q1107" s="1">
        <v>44942</v>
      </c>
      <c r="R1107" s="14">
        <v>5</v>
      </c>
      <c r="S1107" s="1" t="s">
        <v>22</v>
      </c>
      <c r="T1107" s="1" t="s">
        <v>22</v>
      </c>
      <c r="U1107" s="1" t="s">
        <v>22</v>
      </c>
    </row>
    <row r="1108" spans="1:21" x14ac:dyDescent="0.25">
      <c r="A1108" s="1" t="s">
        <v>515</v>
      </c>
      <c r="B1108" s="2" t="s">
        <v>985</v>
      </c>
      <c r="C1108" s="1" t="s">
        <v>25</v>
      </c>
      <c r="D1108" s="1" t="s">
        <v>3090</v>
      </c>
      <c r="E1108" s="1" t="s">
        <v>37</v>
      </c>
      <c r="F1108" s="1">
        <v>44942</v>
      </c>
      <c r="G1108" s="14" t="s">
        <v>38</v>
      </c>
      <c r="H1108" t="s">
        <v>3091</v>
      </c>
      <c r="I1108" s="2" t="s">
        <v>3092</v>
      </c>
      <c r="J1108" s="2">
        <v>0.034722222222222224</v>
      </c>
      <c r="K1108" s="1">
        <v>0.06805555555555555</v>
      </c>
      <c r="L1108" s="1">
        <v>0.10277777777777777</v>
      </c>
      <c r="M1108" s="1" t="s">
        <v>22</v>
      </c>
      <c r="N1108" s="1" t="s">
        <v>31</v>
      </c>
      <c r="O1108" s="1" t="s">
        <v>483</v>
      </c>
      <c r="P1108" s="1" t="s">
        <v>488</v>
      </c>
      <c r="Q1108" s="1">
        <v>44942</v>
      </c>
      <c r="R1108" s="14">
        <v>5</v>
      </c>
      <c r="S1108" s="1" t="s">
        <v>22</v>
      </c>
      <c r="T1108" s="1" t="s">
        <v>22</v>
      </c>
      <c r="U1108" s="1" t="s">
        <v>22</v>
      </c>
    </row>
    <row r="1109" spans="1:21" x14ac:dyDescent="0.25">
      <c r="A1109" s="1" t="s">
        <v>515</v>
      </c>
      <c r="B1109" s="2" t="s">
        <v>283</v>
      </c>
      <c r="C1109" s="1" t="s">
        <v>25</v>
      </c>
      <c r="D1109" s="1" t="s">
        <v>3093</v>
      </c>
      <c r="E1109" s="1" t="s">
        <v>37</v>
      </c>
      <c r="F1109" s="1">
        <v>44945</v>
      </c>
      <c r="G1109" s="14" t="s">
        <v>38</v>
      </c>
      <c r="H1109" t="s">
        <v>3094</v>
      </c>
      <c r="I1109" s="2" t="s">
        <v>3095</v>
      </c>
      <c r="J1109" s="2">
        <v>0.041666666666666664</v>
      </c>
      <c r="K1109" s="1">
        <v>0.03819444444444444</v>
      </c>
      <c r="L1109" s="1">
        <v>0.0798611111111111</v>
      </c>
      <c r="M1109" s="1" t="s">
        <v>22</v>
      </c>
      <c r="N1109" s="1" t="s">
        <v>31</v>
      </c>
      <c r="O1109" s="1" t="s">
        <v>483</v>
      </c>
      <c r="P1109" s="1" t="s">
        <v>488</v>
      </c>
      <c r="Q1109" s="1">
        <v>44945</v>
      </c>
      <c r="R1109" s="14">
        <v>5</v>
      </c>
      <c r="S1109" s="1" t="s">
        <v>22</v>
      </c>
      <c r="T1109" s="1" t="s">
        <v>22</v>
      </c>
      <c r="U1109" s="1" t="s">
        <v>22</v>
      </c>
    </row>
    <row r="1110" spans="1:21" x14ac:dyDescent="0.25">
      <c r="A1110" s="1" t="s">
        <v>515</v>
      </c>
      <c r="B1110" s="2" t="s">
        <v>616</v>
      </c>
      <c r="C1110" s="1" t="s">
        <v>617</v>
      </c>
      <c r="D1110" s="1" t="s">
        <v>3096</v>
      </c>
      <c r="E1110" s="1" t="s">
        <v>713</v>
      </c>
      <c r="F1110" s="1">
        <v>44946</v>
      </c>
      <c r="G1110" s="14" t="s">
        <v>28</v>
      </c>
      <c r="H1110" t="s">
        <v>3097</v>
      </c>
      <c r="I1110" s="2" t="s">
        <v>3098</v>
      </c>
      <c r="J1110" s="2">
        <v>0.034722222222222224</v>
      </c>
      <c r="K1110" s="1">
        <v>0.041666666666666664</v>
      </c>
      <c r="L1110" s="1">
        <v>0.0763888888888889</v>
      </c>
      <c r="M1110" s="1" t="s">
        <v>22</v>
      </c>
      <c r="N1110" s="1" t="s">
        <v>32</v>
      </c>
      <c r="O1110" s="1" t="s">
        <v>483</v>
      </c>
      <c r="P1110" s="1" t="s">
        <v>484</v>
      </c>
      <c r="Q1110" s="1">
        <v>44946</v>
      </c>
      <c r="R1110" s="14">
        <v>5</v>
      </c>
      <c r="S1110" s="1" t="s">
        <v>22</v>
      </c>
      <c r="T1110" s="1" t="s">
        <v>22</v>
      </c>
      <c r="U1110" s="1" t="s">
        <v>22</v>
      </c>
    </row>
    <row r="1111" spans="1:21" x14ac:dyDescent="0.25">
      <c r="A1111" s="1" t="s">
        <v>515</v>
      </c>
      <c r="B1111" s="2" t="s">
        <v>283</v>
      </c>
      <c r="C1111" s="1" t="s">
        <v>25</v>
      </c>
      <c r="D1111" s="1" t="s">
        <v>3099</v>
      </c>
      <c r="E1111" s="1" t="s">
        <v>27</v>
      </c>
      <c r="F1111" s="1">
        <v>44947</v>
      </c>
      <c r="G1111" s="14" t="s">
        <v>670</v>
      </c>
      <c r="H1111" t="s">
        <v>3100</v>
      </c>
      <c r="I1111" s="2" t="s">
        <v>3101</v>
      </c>
      <c r="J1111" s="2">
        <v>0.006944444444444444</v>
      </c>
      <c r="K1111" s="1">
        <v>0.013888888888888888</v>
      </c>
      <c r="L1111" s="1">
        <v>0.020833333333333332</v>
      </c>
      <c r="M1111" s="1" t="s">
        <v>22</v>
      </c>
      <c r="N1111" s="1" t="s">
        <v>32</v>
      </c>
      <c r="O1111" s="1" t="s">
        <v>483</v>
      </c>
      <c r="P1111" s="1" t="s">
        <v>488</v>
      </c>
      <c r="Q1111" s="1">
        <v>44947</v>
      </c>
      <c r="R1111" s="14">
        <v>5</v>
      </c>
      <c r="S1111" s="1" t="s">
        <v>22</v>
      </c>
      <c r="T1111" s="1" t="s">
        <v>22</v>
      </c>
      <c r="U1111" s="1" t="s">
        <v>22</v>
      </c>
    </row>
    <row r="1112" spans="1:21" x14ac:dyDescent="0.25">
      <c r="A1112" s="1" t="s">
        <v>515</v>
      </c>
      <c r="B1112" s="2" t="s">
        <v>479</v>
      </c>
      <c r="C1112" s="1" t="s">
        <v>25</v>
      </c>
      <c r="D1112" s="1" t="s">
        <v>3102</v>
      </c>
      <c r="E1112" s="1" t="s">
        <v>713</v>
      </c>
      <c r="F1112" s="1">
        <v>44947</v>
      </c>
      <c r="G1112" s="14" t="s">
        <v>670</v>
      </c>
      <c r="H1112" t="s">
        <v>3103</v>
      </c>
      <c r="I1112" s="2" t="s">
        <v>3104</v>
      </c>
      <c r="J1112" s="2">
        <v>0.013888888888888888</v>
      </c>
      <c r="K1112" s="1">
        <v>0.02361111111111111</v>
      </c>
      <c r="L1112" s="1">
        <v>0.0375</v>
      </c>
      <c r="M1112" s="1" t="s">
        <v>22</v>
      </c>
      <c r="N1112" s="1" t="s">
        <v>32</v>
      </c>
      <c r="O1112" s="1" t="s">
        <v>483</v>
      </c>
      <c r="P1112" s="1" t="s">
        <v>488</v>
      </c>
      <c r="Q1112" s="1">
        <v>44947</v>
      </c>
      <c r="R1112" s="14">
        <v>5</v>
      </c>
      <c r="S1112" s="1" t="s">
        <v>22</v>
      </c>
      <c r="T1112" s="1" t="s">
        <v>22</v>
      </c>
      <c r="U1112" s="1" t="s">
        <v>22</v>
      </c>
    </row>
    <row r="1113" spans="1:21" x14ac:dyDescent="0.25">
      <c r="A1113" s="1" t="s">
        <v>515</v>
      </c>
      <c r="B1113" s="2" t="s">
        <v>35</v>
      </c>
      <c r="C1113" s="1" t="s">
        <v>25</v>
      </c>
      <c r="D1113" s="1" t="s">
        <v>3105</v>
      </c>
      <c r="E1113" s="1" t="s">
        <v>37</v>
      </c>
      <c r="F1113" s="1">
        <v>44950</v>
      </c>
      <c r="G1113" s="14" t="s">
        <v>28</v>
      </c>
      <c r="H1113" t="s">
        <v>3106</v>
      </c>
      <c r="I1113" s="2" t="s">
        <v>3107</v>
      </c>
      <c r="J1113" s="2">
        <v>0.041666666666666664</v>
      </c>
      <c r="K1113" s="1">
        <v>0.0763888888888889</v>
      </c>
      <c r="L1113" s="1">
        <v>0.11805555555555555</v>
      </c>
      <c r="M1113" s="1" t="s">
        <v>22</v>
      </c>
      <c r="N1113" s="1" t="s">
        <v>31</v>
      </c>
      <c r="O1113" s="1" t="s">
        <v>32</v>
      </c>
      <c r="P1113" s="1" t="s">
        <v>1405</v>
      </c>
      <c r="Q1113" s="1">
        <v>44950</v>
      </c>
      <c r="R1113" s="14">
        <v>5</v>
      </c>
      <c r="S1113" s="1" t="s">
        <v>22</v>
      </c>
      <c r="T1113" s="1" t="s">
        <v>22</v>
      </c>
      <c r="U1113" s="1" t="s">
        <v>22</v>
      </c>
    </row>
    <row r="1114" spans="1:21" x14ac:dyDescent="0.25">
      <c r="A1114" s="1" t="s">
        <v>515</v>
      </c>
      <c r="B1114" s="2" t="s">
        <v>260</v>
      </c>
      <c r="C1114" s="1" t="s">
        <v>261</v>
      </c>
      <c r="D1114" s="1" t="s">
        <v>3056</v>
      </c>
      <c r="E1114" s="1" t="s">
        <v>27</v>
      </c>
      <c r="F1114" s="1">
        <v>44950</v>
      </c>
      <c r="G1114" s="14" t="s">
        <v>507</v>
      </c>
      <c r="H1114" t="s">
        <v>3108</v>
      </c>
      <c r="I1114" s="2" t="s">
        <v>3108</v>
      </c>
      <c r="J1114" s="2">
        <v>0.006944444444444444</v>
      </c>
      <c r="K1114" s="1">
        <v>0.027777777777777776</v>
      </c>
      <c r="L1114" s="1">
        <v>0.034722222222222224</v>
      </c>
      <c r="M1114" s="1" t="s">
        <v>22</v>
      </c>
      <c r="N1114" s="1" t="s">
        <v>574</v>
      </c>
      <c r="O1114" s="1" t="s">
        <v>483</v>
      </c>
      <c r="P1114" s="1" t="s">
        <v>42</v>
      </c>
      <c r="Q1114" s="1">
        <v>44950</v>
      </c>
      <c r="R1114" s="14">
        <v>5</v>
      </c>
      <c r="S1114" s="1" t="s">
        <v>22</v>
      </c>
      <c r="T1114" s="1" t="s">
        <v>22</v>
      </c>
      <c r="U1114" s="1" t="s">
        <v>22</v>
      </c>
    </row>
    <row r="1115" spans="1:21" x14ac:dyDescent="0.25">
      <c r="A1115" s="1" t="s">
        <v>515</v>
      </c>
      <c r="B1115" s="2" t="s">
        <v>283</v>
      </c>
      <c r="C1115" s="1" t="s">
        <v>25</v>
      </c>
      <c r="D1115" s="1" t="s">
        <v>3109</v>
      </c>
      <c r="E1115" s="1" t="s">
        <v>27</v>
      </c>
      <c r="F1115" s="1">
        <v>44950</v>
      </c>
      <c r="G1115" s="14" t="s">
        <v>28</v>
      </c>
      <c r="H1115" t="s">
        <v>3110</v>
      </c>
      <c r="I1115" s="2" t="s">
        <v>3111</v>
      </c>
      <c r="J1115" s="2">
        <v>0.020833333333333332</v>
      </c>
      <c r="K1115" s="1">
        <v>0.041666666666666664</v>
      </c>
      <c r="L1115" s="1">
        <v>0.0625</v>
      </c>
      <c r="M1115" s="1" t="s">
        <v>22</v>
      </c>
      <c r="N1115" s="1" t="s">
        <v>32</v>
      </c>
      <c r="O1115" s="1" t="s">
        <v>483</v>
      </c>
      <c r="P1115" s="1" t="s">
        <v>488</v>
      </c>
      <c r="Q1115" s="1">
        <v>44950</v>
      </c>
      <c r="R1115" s="14">
        <v>5</v>
      </c>
      <c r="S1115" s="1" t="s">
        <v>22</v>
      </c>
      <c r="T1115" s="1" t="s">
        <v>22</v>
      </c>
      <c r="U1115" s="1" t="s">
        <v>22</v>
      </c>
    </row>
    <row r="1116" spans="1:21" x14ac:dyDescent="0.25">
      <c r="A1116" s="1" t="s">
        <v>515</v>
      </c>
      <c r="B1116" s="2" t="s">
        <v>99</v>
      </c>
      <c r="C1116" s="1" t="s">
        <v>25</v>
      </c>
      <c r="D1116" s="1" t="s">
        <v>3112</v>
      </c>
      <c r="E1116" s="1" t="s">
        <v>713</v>
      </c>
      <c r="F1116" s="1">
        <v>44951</v>
      </c>
      <c r="G1116" s="14" t="s">
        <v>28</v>
      </c>
      <c r="H1116" t="s">
        <v>3113</v>
      </c>
      <c r="I1116" s="2" t="s">
        <v>3114</v>
      </c>
      <c r="J1116" s="2">
        <v>0.034722222222222224</v>
      </c>
      <c r="K1116" s="1">
        <v>0.041666666666666664</v>
      </c>
      <c r="L1116" s="1">
        <v>0.0763888888888889</v>
      </c>
      <c r="M1116" s="1" t="s">
        <v>22</v>
      </c>
      <c r="N1116" s="1" t="s">
        <v>32</v>
      </c>
      <c r="O1116" s="1" t="s">
        <v>483</v>
      </c>
      <c r="P1116" s="1" t="s">
        <v>484</v>
      </c>
      <c r="Q1116" s="1">
        <v>44951</v>
      </c>
      <c r="R1116" s="14">
        <v>5</v>
      </c>
      <c r="S1116" s="1" t="s">
        <v>22</v>
      </c>
      <c r="T1116" s="1" t="s">
        <v>22</v>
      </c>
      <c r="U1116" s="1" t="s">
        <v>22</v>
      </c>
    </row>
    <row r="1117" spans="1:21" x14ac:dyDescent="0.25">
      <c r="A1117" s="1" t="s">
        <v>515</v>
      </c>
      <c r="B1117" s="2" t="s">
        <v>479</v>
      </c>
      <c r="C1117" s="1" t="s">
        <v>25</v>
      </c>
      <c r="D1117" s="1" t="s">
        <v>3115</v>
      </c>
      <c r="E1117" s="1" t="s">
        <v>27</v>
      </c>
      <c r="F1117" s="1">
        <v>44951</v>
      </c>
      <c r="G1117" s="14" t="s">
        <v>507</v>
      </c>
      <c r="H1117" t="s">
        <v>3116</v>
      </c>
      <c r="I1117" s="2" t="s">
        <v>3116</v>
      </c>
      <c r="J1117" s="2">
        <v>0.020833333333333332</v>
      </c>
      <c r="K1117" s="1">
        <v>0.03125</v>
      </c>
      <c r="L1117" s="1">
        <v>0.05208333333333333</v>
      </c>
      <c r="M1117" s="1" t="s">
        <v>22</v>
      </c>
      <c r="N1117" s="1" t="s">
        <v>32</v>
      </c>
      <c r="O1117" s="1" t="s">
        <v>483</v>
      </c>
      <c r="P1117" s="1" t="s">
        <v>488</v>
      </c>
      <c r="Q1117" s="1">
        <v>44951</v>
      </c>
      <c r="R1117" s="14">
        <v>5</v>
      </c>
      <c r="S1117" s="1" t="s">
        <v>22</v>
      </c>
      <c r="T1117" s="1" t="s">
        <v>22</v>
      </c>
      <c r="U1117" s="1" t="s">
        <v>22</v>
      </c>
    </row>
    <row r="1118" spans="1:21" x14ac:dyDescent="0.25">
      <c r="A1118" s="1" t="s">
        <v>515</v>
      </c>
      <c r="B1118" s="2" t="s">
        <v>334</v>
      </c>
      <c r="C1118" s="1" t="s">
        <v>335</v>
      </c>
      <c r="D1118" s="1" t="s">
        <v>3117</v>
      </c>
      <c r="E1118" s="1" t="s">
        <v>27</v>
      </c>
      <c r="F1118" s="1">
        <v>44951</v>
      </c>
      <c r="G1118" s="14" t="s">
        <v>38</v>
      </c>
      <c r="H1118" t="s">
        <v>3118</v>
      </c>
      <c r="I1118" s="2" t="s">
        <v>3119</v>
      </c>
      <c r="J1118" s="2">
        <v>0.027777777777777776</v>
      </c>
      <c r="K1118" s="1">
        <v>0.04513888888888889</v>
      </c>
      <c r="L1118" s="1">
        <v>0.07291666666666666</v>
      </c>
      <c r="M1118" s="1" t="s">
        <v>22</v>
      </c>
      <c r="N1118" s="1" t="s">
        <v>32</v>
      </c>
      <c r="O1118" s="1" t="s">
        <v>483</v>
      </c>
      <c r="P1118" s="1" t="s">
        <v>42</v>
      </c>
      <c r="Q1118" s="1">
        <v>44951</v>
      </c>
      <c r="R1118" s="14">
        <v>5</v>
      </c>
      <c r="S1118" s="1" t="s">
        <v>22</v>
      </c>
      <c r="T1118" s="1" t="s">
        <v>22</v>
      </c>
      <c r="U1118" s="1" t="s">
        <v>22</v>
      </c>
    </row>
    <row r="1119" spans="1:21" x14ac:dyDescent="0.25">
      <c r="A1119" s="1" t="s">
        <v>3120</v>
      </c>
      <c r="B1119" s="2" t="s">
        <v>43</v>
      </c>
      <c r="C1119" s="1" t="s">
        <v>44</v>
      </c>
      <c r="D1119" s="1" t="s">
        <v>3121</v>
      </c>
      <c r="E1119" s="1" t="s">
        <v>37</v>
      </c>
      <c r="F1119" s="1">
        <v>44960</v>
      </c>
      <c r="G1119" s="14" t="s">
        <v>74</v>
      </c>
      <c r="H1119" t="s">
        <v>3122</v>
      </c>
      <c r="I1119" s="2" t="s">
        <v>3123</v>
      </c>
      <c r="J1119" s="2">
        <v>0.017361111111111112</v>
      </c>
      <c r="K1119" s="1">
        <v>0.02847222222222222</v>
      </c>
      <c r="L1119" s="1">
        <v>0.04583333333333334</v>
      </c>
      <c r="M1119" s="1" t="s">
        <v>22</v>
      </c>
      <c r="N1119" s="1" t="s">
        <v>32</v>
      </c>
      <c r="O1119" s="1" t="s">
        <v>483</v>
      </c>
      <c r="P1119" s="1" t="s">
        <v>484</v>
      </c>
      <c r="Q1119" s="1">
        <v>44960</v>
      </c>
      <c r="R1119" s="14">
        <v>5</v>
      </c>
      <c r="S1119" s="1" t="s">
        <v>22</v>
      </c>
      <c r="T1119" s="1" t="s">
        <v>22</v>
      </c>
      <c r="U1119" s="1" t="s">
        <v>22</v>
      </c>
    </row>
    <row r="1120" spans="1:21" x14ac:dyDescent="0.25">
      <c r="A1120" s="1" t="s">
        <v>3120</v>
      </c>
      <c r="B1120" s="2" t="s">
        <v>199</v>
      </c>
      <c r="C1120" s="1" t="s">
        <v>541</v>
      </c>
      <c r="D1120" s="1" t="s">
        <v>3124</v>
      </c>
      <c r="E1120" s="1" t="s">
        <v>37</v>
      </c>
      <c r="F1120" s="1">
        <v>44961</v>
      </c>
      <c r="G1120" s="14" t="s">
        <v>133</v>
      </c>
      <c r="H1120" t="s">
        <v>3125</v>
      </c>
      <c r="I1120" s="2" t="s">
        <v>3126</v>
      </c>
      <c r="J1120" s="2">
        <v>0.013888888888888888</v>
      </c>
      <c r="K1120" s="1">
        <v>0.017361111111111112</v>
      </c>
      <c r="L1120" s="1">
        <v>0.03125</v>
      </c>
      <c r="M1120" s="1" t="s">
        <v>22</v>
      </c>
      <c r="N1120" s="1" t="s">
        <v>32</v>
      </c>
      <c r="O1120" s="1" t="s">
        <v>483</v>
      </c>
      <c r="P1120" s="1" t="s">
        <v>488</v>
      </c>
      <c r="Q1120" s="1">
        <v>44961</v>
      </c>
      <c r="R1120" s="14">
        <v>5</v>
      </c>
      <c r="S1120" s="1" t="s">
        <v>22</v>
      </c>
      <c r="T1120" s="1" t="s">
        <v>22</v>
      </c>
      <c r="U1120" s="1" t="s">
        <v>22</v>
      </c>
    </row>
    <row r="1121" spans="1:21" x14ac:dyDescent="0.25">
      <c r="A1121" s="1" t="s">
        <v>3120</v>
      </c>
      <c r="B1121" s="2" t="s">
        <v>2997</v>
      </c>
      <c r="C1121" s="1" t="s">
        <v>25</v>
      </c>
      <c r="D1121" s="1" t="s">
        <v>3127</v>
      </c>
      <c r="E1121" s="1" t="s">
        <v>27</v>
      </c>
      <c r="F1121" s="1">
        <v>44961</v>
      </c>
      <c r="G1121" s="14" t="s">
        <v>507</v>
      </c>
      <c r="H1121" t="s">
        <v>3128</v>
      </c>
      <c r="I1121" s="2" t="s">
        <v>3129</v>
      </c>
      <c r="J1121" s="2">
        <v>0.020833333333333332</v>
      </c>
      <c r="K1121" s="1">
        <v>0.024999999999999998</v>
      </c>
      <c r="L1121" s="1">
        <v>0.04583333333333333</v>
      </c>
      <c r="M1121" s="1" t="s">
        <v>22</v>
      </c>
      <c r="N1121" s="1" t="s">
        <v>32</v>
      </c>
      <c r="O1121" s="1" t="s">
        <v>483</v>
      </c>
      <c r="P1121" s="1" t="s">
        <v>488</v>
      </c>
      <c r="Q1121" s="1">
        <v>44961</v>
      </c>
      <c r="R1121" s="14">
        <v>5</v>
      </c>
      <c r="S1121" s="1" t="s">
        <v>22</v>
      </c>
      <c r="T1121" s="1" t="s">
        <v>22</v>
      </c>
      <c r="U1121" s="1" t="s">
        <v>22</v>
      </c>
    </row>
    <row r="1122" spans="1:21" x14ac:dyDescent="0.25">
      <c r="A1122" s="1" t="s">
        <v>3120</v>
      </c>
      <c r="B1122" s="2" t="s">
        <v>286</v>
      </c>
      <c r="C1122" s="1" t="s">
        <v>287</v>
      </c>
      <c r="D1122" s="1" t="s">
        <v>3130</v>
      </c>
      <c r="E1122" s="1" t="s">
        <v>27</v>
      </c>
      <c r="F1122" s="1">
        <v>44961</v>
      </c>
      <c r="G1122" s="14" t="s">
        <v>74</v>
      </c>
      <c r="H1122" t="s">
        <v>3131</v>
      </c>
      <c r="I1122" s="2" t="s">
        <v>3132</v>
      </c>
      <c r="J1122" s="2">
        <v>0.041666666666666664</v>
      </c>
      <c r="K1122" s="1">
        <v>0.020833333333333332</v>
      </c>
      <c r="L1122" s="1">
        <v>0.0625</v>
      </c>
      <c r="M1122" s="1" t="s">
        <v>22</v>
      </c>
      <c r="N1122" s="1" t="s">
        <v>3133</v>
      </c>
      <c r="O1122" s="1" t="s">
        <v>483</v>
      </c>
      <c r="P1122" s="1" t="s">
        <v>484</v>
      </c>
      <c r="Q1122" s="1">
        <v>44961</v>
      </c>
      <c r="R1122" s="14">
        <v>5</v>
      </c>
      <c r="S1122" s="1" t="s">
        <v>22</v>
      </c>
      <c r="T1122" s="1" t="s">
        <v>22</v>
      </c>
      <c r="U1122" s="1" t="s">
        <v>22</v>
      </c>
    </row>
    <row r="1123" spans="1:21" x14ac:dyDescent="0.25">
      <c r="A1123" s="1" t="s">
        <v>3120</v>
      </c>
      <c r="B1123" s="2" t="s">
        <v>185</v>
      </c>
      <c r="C1123" s="1" t="s">
        <v>186</v>
      </c>
      <c r="D1123" s="1" t="s">
        <v>3134</v>
      </c>
      <c r="E1123" s="1" t="s">
        <v>37</v>
      </c>
      <c r="F1123" s="1">
        <v>44967</v>
      </c>
      <c r="G1123" s="14" t="s">
        <v>28</v>
      </c>
      <c r="H1123" t="s">
        <v>3135</v>
      </c>
      <c r="I1123" s="2" t="s">
        <v>3136</v>
      </c>
      <c r="J1123" s="2">
        <v>0.041666666666666664</v>
      </c>
      <c r="K1123" s="1">
        <v>0.0625</v>
      </c>
      <c r="L1123" s="1">
        <v>0.10416666666666666</v>
      </c>
      <c r="M1123" s="1" t="s">
        <v>22</v>
      </c>
      <c r="N1123" s="1" t="s">
        <v>32</v>
      </c>
      <c r="O1123" s="1" t="s">
        <v>483</v>
      </c>
      <c r="P1123" s="1" t="s">
        <v>488</v>
      </c>
      <c r="Q1123" s="1">
        <v>44967</v>
      </c>
      <c r="R1123" s="14">
        <v>5</v>
      </c>
      <c r="S1123" s="1" t="s">
        <v>22</v>
      </c>
      <c r="T1123" s="1" t="s">
        <v>22</v>
      </c>
      <c r="U1123" s="1" t="s">
        <v>22</v>
      </c>
    </row>
    <row r="1124" spans="1:21" x14ac:dyDescent="0.25">
      <c r="A1124" s="1" t="s">
        <v>3120</v>
      </c>
      <c r="B1124" s="2" t="s">
        <v>510</v>
      </c>
      <c r="C1124" s="1" t="s">
        <v>25</v>
      </c>
      <c r="D1124" s="1" t="s">
        <v>3137</v>
      </c>
      <c r="E1124" s="1" t="s">
        <v>27</v>
      </c>
      <c r="F1124" s="1">
        <v>44967</v>
      </c>
      <c r="G1124" s="14" t="s">
        <v>353</v>
      </c>
      <c r="H1124" t="s">
        <v>3138</v>
      </c>
      <c r="I1124" s="2" t="s">
        <v>3139</v>
      </c>
      <c r="J1124" s="2">
        <v>0.020833333333333332</v>
      </c>
      <c r="K1124" s="1">
        <v>0.027777777777777776</v>
      </c>
      <c r="L1124" s="1">
        <v>0.048611111111111105</v>
      </c>
      <c r="M1124" s="1" t="s">
        <v>22</v>
      </c>
      <c r="N1124" s="1" t="s">
        <v>32</v>
      </c>
      <c r="O1124" s="1" t="s">
        <v>483</v>
      </c>
      <c r="P1124" s="1" t="s">
        <v>488</v>
      </c>
      <c r="Q1124" s="1">
        <v>44967</v>
      </c>
      <c r="R1124" s="14">
        <v>5</v>
      </c>
      <c r="S1124" s="1" t="s">
        <v>22</v>
      </c>
      <c r="T1124" s="1" t="s">
        <v>22</v>
      </c>
      <c r="U1124" s="1" t="s">
        <v>22</v>
      </c>
    </row>
    <row r="1125" spans="1:21" x14ac:dyDescent="0.25">
      <c r="A1125" s="1" t="s">
        <v>3120</v>
      </c>
      <c r="B1125" s="2" t="s">
        <v>118</v>
      </c>
      <c r="C1125" s="1" t="s">
        <v>25</v>
      </c>
      <c r="D1125" s="1" t="s">
        <v>3140</v>
      </c>
      <c r="E1125" s="1" t="s">
        <v>37</v>
      </c>
      <c r="F1125" s="1">
        <v>44967</v>
      </c>
      <c r="G1125" s="14" t="s">
        <v>3141</v>
      </c>
      <c r="H1125" t="s">
        <v>3142</v>
      </c>
      <c r="I1125" s="2" t="s">
        <v>3142</v>
      </c>
      <c r="J1125" s="2">
        <v>0.0625</v>
      </c>
      <c r="K1125" s="1" t="s">
        <v>22</v>
      </c>
      <c r="L1125" s="1">
        <v>0.0625</v>
      </c>
      <c r="M1125" s="1" t="s">
        <v>22</v>
      </c>
      <c r="N1125" s="1" t="s">
        <v>31</v>
      </c>
      <c r="O1125" s="1" t="s">
        <v>22</v>
      </c>
      <c r="P1125" s="1" t="s">
        <v>488</v>
      </c>
      <c r="Q1125" s="1">
        <v>44967</v>
      </c>
      <c r="R1125" s="14">
        <v>5</v>
      </c>
      <c r="S1125" s="1" t="s">
        <v>22</v>
      </c>
      <c r="T1125" s="1" t="s">
        <v>22</v>
      </c>
      <c r="U1125" s="1" t="s">
        <v>22</v>
      </c>
    </row>
    <row r="1126" spans="1:21" x14ac:dyDescent="0.25">
      <c r="A1126" s="1" t="s">
        <v>3120</v>
      </c>
      <c r="B1126" s="2" t="s">
        <v>35</v>
      </c>
      <c r="C1126" s="1" t="s">
        <v>25</v>
      </c>
      <c r="D1126" s="1" t="s">
        <v>3143</v>
      </c>
      <c r="E1126" s="1" t="s">
        <v>37</v>
      </c>
      <c r="F1126" s="1">
        <v>44970</v>
      </c>
      <c r="G1126" s="14" t="s">
        <v>38</v>
      </c>
      <c r="H1126" t="s">
        <v>3144</v>
      </c>
      <c r="I1126" s="2" t="s">
        <v>3145</v>
      </c>
      <c r="J1126" s="2">
        <v>0.041666666666666664</v>
      </c>
      <c r="K1126" s="1">
        <v>0.027777777777777776</v>
      </c>
      <c r="L1126" s="1">
        <v>0.06944444444444445</v>
      </c>
      <c r="M1126" s="1" t="s">
        <v>22</v>
      </c>
      <c r="N1126" s="1" t="s">
        <v>31</v>
      </c>
      <c r="O1126" s="1" t="s">
        <v>32</v>
      </c>
      <c r="P1126" s="1" t="s">
        <v>1405</v>
      </c>
      <c r="Q1126" s="1">
        <v>44970</v>
      </c>
      <c r="R1126" s="14">
        <v>5</v>
      </c>
      <c r="S1126" s="1" t="s">
        <v>22</v>
      </c>
      <c r="T1126" s="1" t="s">
        <v>22</v>
      </c>
      <c r="U1126" s="1" t="s">
        <v>22</v>
      </c>
    </row>
    <row r="1127" spans="1:21" x14ac:dyDescent="0.25">
      <c r="A1127" s="1" t="s">
        <v>3120</v>
      </c>
      <c r="B1127" s="2" t="s">
        <v>146</v>
      </c>
      <c r="C1127" s="1" t="s">
        <v>186</v>
      </c>
      <c r="D1127" s="1" t="s">
        <v>3146</v>
      </c>
      <c r="E1127" s="1" t="s">
        <v>37</v>
      </c>
      <c r="F1127" s="1">
        <v>44977</v>
      </c>
      <c r="G1127" s="14" t="s">
        <v>38</v>
      </c>
      <c r="H1127" t="s">
        <v>3147</v>
      </c>
      <c r="I1127" s="2" t="s">
        <v>3148</v>
      </c>
      <c r="J1127" s="2">
        <v>0.020833333333333332</v>
      </c>
      <c r="K1127" s="1">
        <v>0.041666666666666664</v>
      </c>
      <c r="L1127" s="1">
        <v>0.0625</v>
      </c>
      <c r="M1127" s="1" t="s">
        <v>22</v>
      </c>
      <c r="N1127" s="1" t="s">
        <v>31</v>
      </c>
      <c r="O1127" s="1" t="s">
        <v>483</v>
      </c>
      <c r="P1127" s="1" t="s">
        <v>488</v>
      </c>
      <c r="Q1127" s="1">
        <v>44977</v>
      </c>
      <c r="R1127" s="14">
        <v>5</v>
      </c>
      <c r="S1127" s="1" t="s">
        <v>22</v>
      </c>
      <c r="T1127" s="1" t="s">
        <v>22</v>
      </c>
      <c r="U1127" s="1" t="s">
        <v>22</v>
      </c>
    </row>
    <row r="1128" spans="1:21" x14ac:dyDescent="0.25">
      <c r="A1128" s="1" t="s">
        <v>3120</v>
      </c>
      <c r="B1128" s="2" t="s">
        <v>99</v>
      </c>
      <c r="C1128" s="1" t="s">
        <v>25</v>
      </c>
      <c r="D1128" s="1" t="s">
        <v>3149</v>
      </c>
      <c r="E1128" s="1" t="s">
        <v>713</v>
      </c>
      <c r="F1128" s="1">
        <v>44979</v>
      </c>
      <c r="G1128" s="14" t="s">
        <v>28</v>
      </c>
      <c r="H1128" t="s">
        <v>3150</v>
      </c>
      <c r="I1128" s="2" t="s">
        <v>3151</v>
      </c>
      <c r="J1128" s="2">
        <v>0.05555555555555555</v>
      </c>
      <c r="K1128" s="1">
        <v>0.05555555555555555</v>
      </c>
      <c r="L1128" s="1">
        <v>0.1111111111111111</v>
      </c>
      <c r="M1128" s="1" t="s">
        <v>22</v>
      </c>
      <c r="N1128" s="1" t="s">
        <v>3152</v>
      </c>
      <c r="O1128" s="1" t="s">
        <v>483</v>
      </c>
      <c r="P1128" s="1" t="s">
        <v>484</v>
      </c>
      <c r="Q1128" s="1">
        <v>44979</v>
      </c>
      <c r="R1128" s="14">
        <v>5</v>
      </c>
      <c r="S1128" s="1" t="s">
        <v>22</v>
      </c>
      <c r="T1128" s="1" t="s">
        <v>22</v>
      </c>
      <c r="U1128" s="1" t="s">
        <v>22</v>
      </c>
    </row>
    <row r="1129" spans="1:21" x14ac:dyDescent="0.25">
      <c r="A1129" s="1" t="s">
        <v>3120</v>
      </c>
      <c r="B1129" s="2" t="s">
        <v>1451</v>
      </c>
      <c r="C1129" s="1" t="s">
        <v>287</v>
      </c>
      <c r="D1129" s="1" t="s">
        <v>3153</v>
      </c>
      <c r="E1129" s="1" t="s">
        <v>713</v>
      </c>
      <c r="F1129" s="1">
        <v>44979</v>
      </c>
      <c r="G1129" s="14" t="s">
        <v>28</v>
      </c>
      <c r="H1129" t="s">
        <v>3154</v>
      </c>
      <c r="I1129" s="2" t="s">
        <v>3155</v>
      </c>
      <c r="J1129" s="2">
        <v>0.020833333333333332</v>
      </c>
      <c r="K1129" s="1">
        <v>0.08680555555555557</v>
      </c>
      <c r="L1129" s="1">
        <v>0.1076388888888889</v>
      </c>
      <c r="M1129" s="1" t="s">
        <v>22</v>
      </c>
      <c r="N1129" s="1" t="s">
        <v>3152</v>
      </c>
      <c r="O1129" s="1" t="s">
        <v>3152</v>
      </c>
      <c r="P1129" s="1" t="s">
        <v>484</v>
      </c>
      <c r="Q1129" s="1">
        <v>44979</v>
      </c>
      <c r="R1129" s="14">
        <v>5</v>
      </c>
      <c r="S1129" s="1" t="s">
        <v>22</v>
      </c>
      <c r="T1129" s="1" t="s">
        <v>22</v>
      </c>
      <c r="U1129" s="1" t="s">
        <v>22</v>
      </c>
    </row>
    <row r="1130" spans="1:21" x14ac:dyDescent="0.25">
      <c r="A1130" s="1" t="s">
        <v>3120</v>
      </c>
      <c r="B1130" s="2" t="s">
        <v>537</v>
      </c>
      <c r="C1130" s="1" t="s">
        <v>25</v>
      </c>
      <c r="D1130" s="1" t="s">
        <v>3156</v>
      </c>
      <c r="E1130" s="1" t="s">
        <v>27</v>
      </c>
      <c r="F1130" s="1">
        <v>44979</v>
      </c>
      <c r="G1130" s="14" t="s">
        <v>507</v>
      </c>
      <c r="H1130" t="s">
        <v>3157</v>
      </c>
      <c r="I1130" s="2" t="s">
        <v>3158</v>
      </c>
      <c r="J1130" s="2">
        <v>0.013888888888888888</v>
      </c>
      <c r="K1130" s="1">
        <v>0.024305555555555556</v>
      </c>
      <c r="L1130" s="1">
        <v>0.03819444444444445</v>
      </c>
      <c r="M1130" s="1" t="s">
        <v>22</v>
      </c>
      <c r="N1130" s="1" t="s">
        <v>32</v>
      </c>
      <c r="O1130" s="1" t="s">
        <v>483</v>
      </c>
      <c r="P1130" s="1" t="s">
        <v>488</v>
      </c>
      <c r="Q1130" s="1">
        <v>44979</v>
      </c>
      <c r="R1130" s="14">
        <v>5</v>
      </c>
      <c r="S1130" s="1" t="s">
        <v>22</v>
      </c>
      <c r="T1130" s="1" t="s">
        <v>22</v>
      </c>
      <c r="U1130" s="1" t="s">
        <v>22</v>
      </c>
    </row>
    <row r="1131" spans="1:21" x14ac:dyDescent="0.25">
      <c r="A1131" s="1" t="s">
        <v>3120</v>
      </c>
      <c r="B1131" s="2" t="s">
        <v>99</v>
      </c>
      <c r="C1131" s="1" t="s">
        <v>25</v>
      </c>
      <c r="D1131" s="1" t="s">
        <v>3159</v>
      </c>
      <c r="E1131" s="1" t="s">
        <v>27</v>
      </c>
      <c r="F1131" s="1">
        <v>44980</v>
      </c>
      <c r="G1131" s="14" t="s">
        <v>507</v>
      </c>
      <c r="H1131" t="s">
        <v>3160</v>
      </c>
      <c r="I1131" s="2" t="s">
        <v>3161</v>
      </c>
      <c r="J1131" s="2">
        <v>0.013888888888888888</v>
      </c>
      <c r="K1131" s="1">
        <v>0.024305555555555556</v>
      </c>
      <c r="L1131" s="1">
        <v>0.03819444444444445</v>
      </c>
      <c r="M1131" s="1" t="s">
        <v>22</v>
      </c>
      <c r="N1131" s="1" t="s">
        <v>32</v>
      </c>
      <c r="O1131" s="1" t="s">
        <v>483</v>
      </c>
      <c r="P1131" s="1" t="s">
        <v>484</v>
      </c>
      <c r="Q1131" s="1">
        <v>44980</v>
      </c>
      <c r="R1131" s="14">
        <v>5</v>
      </c>
      <c r="S1131" s="1" t="s">
        <v>22</v>
      </c>
      <c r="T1131" s="1" t="s">
        <v>22</v>
      </c>
      <c r="U1131" s="1" t="s">
        <v>22</v>
      </c>
    </row>
    <row r="1132" spans="1:21" x14ac:dyDescent="0.25">
      <c r="A1132" s="1" t="s">
        <v>3120</v>
      </c>
      <c r="B1132" s="2" t="s">
        <v>283</v>
      </c>
      <c r="C1132" s="1" t="s">
        <v>25</v>
      </c>
      <c r="D1132" s="1" t="s">
        <v>3162</v>
      </c>
      <c r="E1132" s="1" t="s">
        <v>27</v>
      </c>
      <c r="F1132" s="1">
        <v>44980</v>
      </c>
      <c r="G1132" s="14" t="s">
        <v>507</v>
      </c>
      <c r="H1132" t="s">
        <v>3163</v>
      </c>
      <c r="I1132" s="2" t="s">
        <v>3164</v>
      </c>
      <c r="J1132" s="2">
        <v>0.017361111111111112</v>
      </c>
      <c r="K1132" s="1">
        <v>0.027777777777777776</v>
      </c>
      <c r="L1132" s="1">
        <v>0.04513888888888889</v>
      </c>
      <c r="M1132" s="1" t="s">
        <v>22</v>
      </c>
      <c r="N1132" s="1" t="s">
        <v>32</v>
      </c>
      <c r="O1132" s="1" t="s">
        <v>483</v>
      </c>
      <c r="P1132" s="1" t="s">
        <v>488</v>
      </c>
      <c r="Q1132" s="1">
        <v>44980</v>
      </c>
      <c r="R1132" s="14">
        <v>5</v>
      </c>
      <c r="S1132" s="1" t="s">
        <v>22</v>
      </c>
      <c r="T1132" s="1" t="s">
        <v>22</v>
      </c>
      <c r="U1132" s="1" t="s">
        <v>22</v>
      </c>
    </row>
    <row r="1133" spans="1:21" x14ac:dyDescent="0.25">
      <c r="A1133" s="1" t="s">
        <v>3120</v>
      </c>
      <c r="B1133" s="2" t="s">
        <v>2997</v>
      </c>
      <c r="C1133" s="1" t="s">
        <v>25</v>
      </c>
      <c r="D1133" s="1" t="s">
        <v>3165</v>
      </c>
      <c r="E1133" s="1" t="s">
        <v>27</v>
      </c>
      <c r="F1133" s="1">
        <v>44980</v>
      </c>
      <c r="G1133" s="14" t="s">
        <v>38</v>
      </c>
      <c r="H1133" t="s">
        <v>3166</v>
      </c>
      <c r="I1133" s="2" t="s">
        <v>3167</v>
      </c>
      <c r="J1133" s="2">
        <v>0.041666666666666664</v>
      </c>
      <c r="K1133" s="1">
        <v>0.034722222222222224</v>
      </c>
      <c r="L1133" s="1">
        <v>0.0763888888888889</v>
      </c>
      <c r="M1133" s="1" t="s">
        <v>22</v>
      </c>
      <c r="N1133" s="1" t="s">
        <v>31</v>
      </c>
      <c r="O1133" s="1" t="s">
        <v>32</v>
      </c>
      <c r="P1133" s="1" t="s">
        <v>488</v>
      </c>
      <c r="Q1133" s="1">
        <v>44980</v>
      </c>
      <c r="R1133" s="14">
        <v>5</v>
      </c>
      <c r="S1133" s="1" t="s">
        <v>22</v>
      </c>
      <c r="T1133" s="1" t="s">
        <v>22</v>
      </c>
      <c r="U1133" s="1" t="s">
        <v>22</v>
      </c>
    </row>
    <row r="1134" spans="1:21" x14ac:dyDescent="0.25">
      <c r="A1134" s="1" t="s">
        <v>3120</v>
      </c>
      <c r="B1134" s="2" t="s">
        <v>35</v>
      </c>
      <c r="C1134" s="1" t="s">
        <v>25</v>
      </c>
      <c r="D1134" s="1" t="s">
        <v>3168</v>
      </c>
      <c r="E1134" s="1" t="s">
        <v>37</v>
      </c>
      <c r="F1134" s="1">
        <v>44981</v>
      </c>
      <c r="G1134" s="14" t="s">
        <v>507</v>
      </c>
      <c r="H1134" t="s">
        <v>3169</v>
      </c>
      <c r="I1134" s="2" t="s">
        <v>3169</v>
      </c>
      <c r="J1134" s="2">
        <v>0.041666666666666664</v>
      </c>
      <c r="K1134" s="1">
        <v>0.06597222222222222</v>
      </c>
      <c r="L1134" s="1">
        <v>0.1076388888888889</v>
      </c>
      <c r="M1134" s="1" t="s">
        <v>22</v>
      </c>
      <c r="N1134" s="1" t="s">
        <v>31</v>
      </c>
      <c r="O1134" s="1" t="s">
        <v>483</v>
      </c>
      <c r="P1134" s="1" t="s">
        <v>42</v>
      </c>
      <c r="Q1134" s="1">
        <v>44981</v>
      </c>
      <c r="R1134" s="14">
        <v>5</v>
      </c>
      <c r="S1134" s="1" t="s">
        <v>22</v>
      </c>
      <c r="T1134" s="1" t="s">
        <v>22</v>
      </c>
      <c r="U1134" s="1" t="s">
        <v>22</v>
      </c>
    </row>
    <row r="1135" spans="1:21" x14ac:dyDescent="0.25">
      <c r="A1135" s="1" t="s">
        <v>3120</v>
      </c>
      <c r="B1135" s="2" t="s">
        <v>479</v>
      </c>
      <c r="C1135" s="1" t="s">
        <v>25</v>
      </c>
      <c r="D1135" s="1" t="s">
        <v>3170</v>
      </c>
      <c r="E1135" s="1" t="s">
        <v>27</v>
      </c>
      <c r="F1135" s="1">
        <v>44985</v>
      </c>
      <c r="G1135" s="14" t="s">
        <v>38</v>
      </c>
      <c r="H1135" t="s">
        <v>3171</v>
      </c>
      <c r="I1135" s="2" t="s">
        <v>3172</v>
      </c>
      <c r="J1135" s="2">
        <v>0.013888888888888888</v>
      </c>
      <c r="K1135" s="1">
        <v>0.035416666666666666</v>
      </c>
      <c r="L1135" s="1">
        <v>0.049305555555555554</v>
      </c>
      <c r="M1135" s="1" t="s">
        <v>22</v>
      </c>
      <c r="N1135" s="1" t="s">
        <v>32</v>
      </c>
      <c r="O1135" s="1" t="s">
        <v>483</v>
      </c>
      <c r="P1135" s="1" t="s">
        <v>488</v>
      </c>
      <c r="Q1135" s="1">
        <v>44985</v>
      </c>
      <c r="R1135" s="14">
        <v>5</v>
      </c>
      <c r="S1135" s="1" t="s">
        <v>22</v>
      </c>
      <c r="T1135" s="1" t="s">
        <v>22</v>
      </c>
      <c r="U1135" s="1" t="s">
        <v>22</v>
      </c>
    </row>
    <row r="1136" spans="1:21" x14ac:dyDescent="0.25">
      <c r="A1136" s="1" t="s">
        <v>3120</v>
      </c>
      <c r="B1136" s="2" t="s">
        <v>43</v>
      </c>
      <c r="C1136" s="1" t="s">
        <v>44</v>
      </c>
      <c r="D1136" s="1" t="s">
        <v>3173</v>
      </c>
      <c r="E1136" s="1" t="s">
        <v>37</v>
      </c>
      <c r="F1136" s="1">
        <v>44985</v>
      </c>
      <c r="G1136" s="14" t="s">
        <v>38</v>
      </c>
      <c r="H1136" t="s">
        <v>3174</v>
      </c>
      <c r="I1136" s="2" t="s">
        <v>3175</v>
      </c>
      <c r="J1136" s="2">
        <v>0.013888888888888888</v>
      </c>
      <c r="K1136" s="1">
        <v>0.03125</v>
      </c>
      <c r="L1136" s="1">
        <v>0.04513888888888889</v>
      </c>
      <c r="M1136" s="1" t="s">
        <v>22</v>
      </c>
      <c r="N1136" s="1" t="s">
        <v>32</v>
      </c>
      <c r="O1136" s="1" t="s">
        <v>483</v>
      </c>
      <c r="P1136" s="1" t="s">
        <v>484</v>
      </c>
      <c r="Q1136" s="1">
        <v>44985</v>
      </c>
      <c r="R1136" s="14">
        <v>5</v>
      </c>
      <c r="S1136" s="1" t="s">
        <v>22</v>
      </c>
      <c r="T1136" s="1" t="s">
        <v>22</v>
      </c>
      <c r="U1136" s="1" t="s">
        <v>22</v>
      </c>
    </row>
    <row r="1137" spans="1:21" x14ac:dyDescent="0.25">
      <c r="A1137" s="1" t="s">
        <v>3176</v>
      </c>
      <c r="B1137" s="2" t="s">
        <v>163</v>
      </c>
      <c r="C1137" s="1" t="s">
        <v>25</v>
      </c>
      <c r="D1137" s="1" t="s">
        <v>3177</v>
      </c>
      <c r="E1137" s="1" t="s">
        <v>37</v>
      </c>
      <c r="F1137" s="1">
        <v>44989</v>
      </c>
      <c r="G1137" s="14" t="s">
        <v>353</v>
      </c>
      <c r="H1137" t="s">
        <v>3178</v>
      </c>
      <c r="I1137" s="2" t="s">
        <v>3179</v>
      </c>
      <c r="J1137" s="2">
        <v>0.013888888888888888</v>
      </c>
      <c r="K1137" s="1">
        <v>0.010416666666666666</v>
      </c>
      <c r="L1137" s="1">
        <v>0.024305555555555552</v>
      </c>
      <c r="M1137" s="1" t="s">
        <v>22</v>
      </c>
      <c r="N1137" s="1" t="s">
        <v>32</v>
      </c>
      <c r="O1137" s="1" t="s">
        <v>483</v>
      </c>
      <c r="P1137" s="1" t="s">
        <v>488</v>
      </c>
      <c r="Q1137" s="1">
        <v>44989</v>
      </c>
      <c r="R1137" s="14">
        <v>5</v>
      </c>
      <c r="S1137" s="1" t="s">
        <v>22</v>
      </c>
      <c r="T1137" s="1" t="s">
        <v>22</v>
      </c>
      <c r="U1137" s="1" t="s">
        <v>22</v>
      </c>
    </row>
    <row r="1138" spans="1:21" x14ac:dyDescent="0.25">
      <c r="A1138" s="1" t="s">
        <v>3176</v>
      </c>
      <c r="B1138" s="2" t="s">
        <v>529</v>
      </c>
      <c r="C1138" s="1" t="s">
        <v>530</v>
      </c>
      <c r="D1138" s="1" t="s">
        <v>3180</v>
      </c>
      <c r="E1138" s="1" t="s">
        <v>713</v>
      </c>
      <c r="F1138" s="1">
        <v>44992</v>
      </c>
      <c r="G1138" s="14" t="s">
        <v>28</v>
      </c>
      <c r="H1138" t="s">
        <v>3181</v>
      </c>
      <c r="I1138" s="2" t="s">
        <v>3182</v>
      </c>
      <c r="J1138" s="2">
        <v>0.027777777777777776</v>
      </c>
      <c r="K1138" s="1">
        <v>0.08750000000000001</v>
      </c>
      <c r="L1138" s="1">
        <v>0.11527777777777778</v>
      </c>
      <c r="M1138" s="1" t="s">
        <v>22</v>
      </c>
      <c r="N1138" s="1" t="s">
        <v>41</v>
      </c>
      <c r="O1138" s="1" t="s">
        <v>483</v>
      </c>
      <c r="P1138" s="1" t="s">
        <v>484</v>
      </c>
      <c r="Q1138" s="1">
        <v>44992</v>
      </c>
      <c r="R1138" s="14">
        <v>5</v>
      </c>
      <c r="S1138" s="1" t="s">
        <v>22</v>
      </c>
      <c r="T1138" s="1" t="s">
        <v>22</v>
      </c>
      <c r="U1138" s="1" t="s">
        <v>22</v>
      </c>
    </row>
    <row r="1139" spans="1:21" x14ac:dyDescent="0.25">
      <c r="A1139" s="1" t="s">
        <v>3176</v>
      </c>
      <c r="B1139" s="2" t="s">
        <v>545</v>
      </c>
      <c r="C1139" s="1" t="s">
        <v>963</v>
      </c>
      <c r="D1139" s="1" t="s">
        <v>3183</v>
      </c>
      <c r="E1139" s="1" t="s">
        <v>37</v>
      </c>
      <c r="F1139" s="1">
        <v>44993</v>
      </c>
      <c r="G1139" s="14" t="s">
        <v>74</v>
      </c>
      <c r="H1139" t="s">
        <v>3184</v>
      </c>
      <c r="I1139" s="2" t="s">
        <v>3185</v>
      </c>
      <c r="J1139" s="2">
        <v>0.013888888888888888</v>
      </c>
      <c r="K1139" s="1">
        <v>0.024305555555555556</v>
      </c>
      <c r="L1139" s="1">
        <v>0.03819444444444445</v>
      </c>
      <c r="M1139" s="1" t="s">
        <v>22</v>
      </c>
      <c r="N1139" s="1" t="s">
        <v>32</v>
      </c>
      <c r="O1139" s="1" t="s">
        <v>41</v>
      </c>
      <c r="P1139" s="1" t="s">
        <v>484</v>
      </c>
      <c r="Q1139" s="1">
        <v>44993</v>
      </c>
      <c r="R1139" s="14">
        <v>5</v>
      </c>
      <c r="S1139" s="1" t="s">
        <v>22</v>
      </c>
      <c r="T1139" s="1" t="s">
        <v>22</v>
      </c>
      <c r="U1139" s="1" t="s">
        <v>22</v>
      </c>
    </row>
    <row r="1140" spans="1:21" x14ac:dyDescent="0.25">
      <c r="A1140" s="1" t="s">
        <v>3176</v>
      </c>
      <c r="B1140" s="2" t="s">
        <v>1451</v>
      </c>
      <c r="C1140" s="1" t="s">
        <v>287</v>
      </c>
      <c r="D1140" s="1" t="s">
        <v>3186</v>
      </c>
      <c r="E1140" s="1" t="s">
        <v>27</v>
      </c>
      <c r="F1140" s="1">
        <v>44993</v>
      </c>
      <c r="G1140" s="14" t="s">
        <v>74</v>
      </c>
      <c r="H1140" t="s">
        <v>3187</v>
      </c>
      <c r="I1140" s="2" t="s">
        <v>3188</v>
      </c>
      <c r="J1140" s="2">
        <v>0.006944444444444444</v>
      </c>
      <c r="K1140" s="1">
        <v>0.020833333333333332</v>
      </c>
      <c r="L1140" s="1">
        <v>0.027777777777777776</v>
      </c>
      <c r="M1140" s="1" t="s">
        <v>22</v>
      </c>
      <c r="N1140" s="1" t="s">
        <v>41</v>
      </c>
      <c r="O1140" s="1" t="s">
        <v>483</v>
      </c>
      <c r="P1140" s="1" t="s">
        <v>484</v>
      </c>
      <c r="Q1140" s="1">
        <v>44993</v>
      </c>
      <c r="R1140" s="14" t="s">
        <v>22</v>
      </c>
      <c r="S1140" s="1" t="s">
        <v>22</v>
      </c>
      <c r="T1140" s="1" t="s">
        <v>22</v>
      </c>
      <c r="U1140" s="1" t="s">
        <v>22</v>
      </c>
    </row>
    <row r="1141" spans="1:21" x14ac:dyDescent="0.25">
      <c r="A1141" s="1" t="s">
        <v>3176</v>
      </c>
      <c r="B1141" s="2" t="s">
        <v>510</v>
      </c>
      <c r="C1141" s="1" t="s">
        <v>25</v>
      </c>
      <c r="D1141" s="1" t="s">
        <v>3189</v>
      </c>
      <c r="E1141" s="1" t="s">
        <v>37</v>
      </c>
      <c r="F1141" s="1">
        <v>44993</v>
      </c>
      <c r="G1141" s="14" t="s">
        <v>28</v>
      </c>
      <c r="H1141" t="s">
        <v>3190</v>
      </c>
      <c r="I1141" s="2" t="s">
        <v>3191</v>
      </c>
      <c r="J1141" s="2">
        <v>0.020833333333333332</v>
      </c>
      <c r="K1141" s="1">
        <v>0.041666666666666664</v>
      </c>
      <c r="L1141" s="1">
        <v>0.0625</v>
      </c>
      <c r="M1141" s="1" t="s">
        <v>22</v>
      </c>
      <c r="N1141" s="1" t="s">
        <v>53</v>
      </c>
      <c r="O1141" s="1" t="s">
        <v>483</v>
      </c>
      <c r="P1141" s="1" t="s">
        <v>488</v>
      </c>
      <c r="Q1141" s="1">
        <v>44993</v>
      </c>
      <c r="R1141" s="14">
        <v>5</v>
      </c>
      <c r="S1141" s="1" t="s">
        <v>22</v>
      </c>
      <c r="T1141" s="1" t="s">
        <v>22</v>
      </c>
      <c r="U1141" s="1" t="s">
        <v>22</v>
      </c>
    </row>
    <row r="1142" spans="1:21" x14ac:dyDescent="0.25">
      <c r="A1142" s="1" t="s">
        <v>3176</v>
      </c>
      <c r="B1142" s="2" t="s">
        <v>199</v>
      </c>
      <c r="C1142" s="1" t="s">
        <v>541</v>
      </c>
      <c r="D1142" s="1" t="s">
        <v>3192</v>
      </c>
      <c r="E1142" s="1" t="s">
        <v>37</v>
      </c>
      <c r="F1142" s="1">
        <v>44998</v>
      </c>
      <c r="G1142" s="14" t="s">
        <v>353</v>
      </c>
      <c r="H1142" t="s">
        <v>3193</v>
      </c>
      <c r="I1142" s="2" t="s">
        <v>3194</v>
      </c>
      <c r="J1142" s="2">
        <v>0.010416666666666666</v>
      </c>
      <c r="K1142" s="1">
        <v>0.017361111111111112</v>
      </c>
      <c r="L1142" s="1">
        <v>0.027777777777777776</v>
      </c>
      <c r="M1142" s="1" t="s">
        <v>22</v>
      </c>
      <c r="N1142" s="1" t="s">
        <v>41</v>
      </c>
      <c r="O1142" s="1" t="s">
        <v>32</v>
      </c>
      <c r="P1142" s="1" t="s">
        <v>488</v>
      </c>
      <c r="Q1142" s="1">
        <v>44998</v>
      </c>
      <c r="R1142" s="14">
        <v>5</v>
      </c>
      <c r="S1142" s="1" t="s">
        <v>22</v>
      </c>
      <c r="T1142" s="1" t="s">
        <v>22</v>
      </c>
      <c r="U1142" s="1" t="s">
        <v>22</v>
      </c>
    </row>
    <row r="1143" spans="1:21" x14ac:dyDescent="0.25">
      <c r="A1143" s="1" t="s">
        <v>3176</v>
      </c>
      <c r="B1143" s="2" t="s">
        <v>1204</v>
      </c>
      <c r="C1143" s="1" t="s">
        <v>3195</v>
      </c>
      <c r="D1143" s="1" t="s">
        <v>3196</v>
      </c>
      <c r="E1143" s="1" t="s">
        <v>37</v>
      </c>
      <c r="F1143" s="1">
        <v>44998</v>
      </c>
      <c r="G1143" s="14" t="s">
        <v>133</v>
      </c>
      <c r="H1143" t="s">
        <v>3197</v>
      </c>
      <c r="I1143" s="2" t="s">
        <v>3197</v>
      </c>
      <c r="J1143" s="2">
        <v>0.07291666666666667</v>
      </c>
      <c r="K1143" s="1">
        <v>0.0763888888888889</v>
      </c>
      <c r="L1143" s="1">
        <v>0.14930555555555558</v>
      </c>
      <c r="M1143" s="1" t="s">
        <v>22</v>
      </c>
      <c r="N1143" s="1" t="s">
        <v>31</v>
      </c>
      <c r="O1143" s="1" t="s">
        <v>32</v>
      </c>
      <c r="P1143" s="1" t="s">
        <v>488</v>
      </c>
      <c r="Q1143" s="1">
        <v>44998</v>
      </c>
      <c r="R1143" s="14">
        <v>5</v>
      </c>
      <c r="S1143" s="1" t="s">
        <v>22</v>
      </c>
      <c r="T1143" s="1" t="s">
        <v>22</v>
      </c>
      <c r="U1143" s="1" t="s">
        <v>22</v>
      </c>
    </row>
    <row r="1144" spans="1:21" x14ac:dyDescent="0.25">
      <c r="A1144" s="1" t="s">
        <v>3176</v>
      </c>
      <c r="B1144" s="2" t="s">
        <v>537</v>
      </c>
      <c r="C1144" s="1" t="s">
        <v>25</v>
      </c>
      <c r="D1144" s="1" t="s">
        <v>3198</v>
      </c>
      <c r="E1144" s="1" t="s">
        <v>27</v>
      </c>
      <c r="F1144" s="1">
        <v>45002</v>
      </c>
      <c r="G1144" s="14" t="s">
        <v>38</v>
      </c>
      <c r="H1144" t="s">
        <v>3199</v>
      </c>
      <c r="I1144" s="2" t="s">
        <v>3200</v>
      </c>
      <c r="J1144" s="2">
        <v>0.013888888888888888</v>
      </c>
      <c r="K1144" s="1">
        <v>0.020833333333333332</v>
      </c>
      <c r="L1144" s="1">
        <v>0.034722222222222224</v>
      </c>
      <c r="M1144" s="1" t="s">
        <v>22</v>
      </c>
      <c r="N1144" s="1" t="s">
        <v>32</v>
      </c>
      <c r="O1144" s="1" t="s">
        <v>483</v>
      </c>
      <c r="P1144" s="1" t="s">
        <v>488</v>
      </c>
      <c r="Q1144" s="1">
        <v>45002</v>
      </c>
      <c r="R1144" s="14">
        <v>5</v>
      </c>
      <c r="S1144" s="1" t="s">
        <v>22</v>
      </c>
      <c r="T1144" s="1" t="s">
        <v>22</v>
      </c>
      <c r="U1144" s="1" t="s">
        <v>22</v>
      </c>
    </row>
    <row r="1145" spans="1:21" x14ac:dyDescent="0.25">
      <c r="A1145" s="1" t="s">
        <v>3176</v>
      </c>
      <c r="B1145" s="2" t="s">
        <v>489</v>
      </c>
      <c r="C1145" s="1" t="s">
        <v>490</v>
      </c>
      <c r="D1145" s="1" t="s">
        <v>3201</v>
      </c>
      <c r="E1145" s="1" t="s">
        <v>27</v>
      </c>
      <c r="F1145" s="1">
        <v>45008</v>
      </c>
      <c r="G1145" s="14" t="s">
        <v>28</v>
      </c>
      <c r="H1145" t="s">
        <v>3202</v>
      </c>
      <c r="I1145" s="2" t="s">
        <v>3203</v>
      </c>
      <c r="J1145" s="2">
        <v>0.020833333333333332</v>
      </c>
      <c r="K1145" s="1">
        <v>0.12986111111111112</v>
      </c>
      <c r="L1145" s="1">
        <v>0.15069444444444446</v>
      </c>
      <c r="M1145" s="1" t="s">
        <v>22</v>
      </c>
      <c r="N1145" s="1" t="s">
        <v>32</v>
      </c>
      <c r="O1145" s="1" t="s">
        <v>41</v>
      </c>
      <c r="P1145" s="1" t="s">
        <v>42</v>
      </c>
      <c r="Q1145" s="1">
        <v>45008</v>
      </c>
      <c r="R1145" s="14">
        <v>5</v>
      </c>
      <c r="S1145" s="1" t="s">
        <v>22</v>
      </c>
      <c r="T1145" s="1" t="s">
        <v>22</v>
      </c>
      <c r="U1145" s="1" t="s">
        <v>22</v>
      </c>
    </row>
    <row r="1146" spans="1:21" x14ac:dyDescent="0.25">
      <c r="A1146" s="1" t="s">
        <v>3176</v>
      </c>
      <c r="B1146" s="2" t="s">
        <v>163</v>
      </c>
      <c r="C1146" s="1" t="s">
        <v>25</v>
      </c>
      <c r="D1146" s="1" t="s">
        <v>3204</v>
      </c>
      <c r="E1146" s="1" t="s">
        <v>37</v>
      </c>
      <c r="F1146" s="1">
        <v>45012</v>
      </c>
      <c r="G1146" s="14" t="s">
        <v>353</v>
      </c>
      <c r="H1146" t="s">
        <v>3205</v>
      </c>
      <c r="I1146" s="2" t="s">
        <v>3206</v>
      </c>
      <c r="J1146" s="2">
        <v>0.020833333333333332</v>
      </c>
      <c r="K1146" s="1">
        <v>0.020833333333333332</v>
      </c>
      <c r="L1146" s="1">
        <v>0.041666666666666664</v>
      </c>
      <c r="M1146" s="1" t="s">
        <v>22</v>
      </c>
      <c r="N1146" s="1" t="s">
        <v>31</v>
      </c>
      <c r="O1146" s="1" t="s">
        <v>32</v>
      </c>
      <c r="P1146" s="1" t="s">
        <v>488</v>
      </c>
      <c r="Q1146" s="1">
        <v>45012</v>
      </c>
      <c r="R1146" s="14">
        <v>5</v>
      </c>
      <c r="S1146" s="1" t="s">
        <v>22</v>
      </c>
      <c r="T1146" s="1" t="s">
        <v>22</v>
      </c>
      <c r="U1146" s="1" t="s">
        <v>22</v>
      </c>
    </row>
    <row r="1147" spans="1:21" x14ac:dyDescent="0.25">
      <c r="A1147" s="1" t="s">
        <v>3176</v>
      </c>
      <c r="B1147" s="2" t="s">
        <v>537</v>
      </c>
      <c r="C1147" s="1" t="s">
        <v>25</v>
      </c>
      <c r="D1147" s="1" t="s">
        <v>3207</v>
      </c>
      <c r="E1147" s="1" t="s">
        <v>27</v>
      </c>
      <c r="F1147" s="1">
        <v>45013</v>
      </c>
      <c r="G1147" s="14" t="s">
        <v>28</v>
      </c>
      <c r="H1147" t="s">
        <v>3208</v>
      </c>
      <c r="I1147" s="2" t="s">
        <v>3209</v>
      </c>
      <c r="J1147" s="2">
        <v>0.02361111111111111</v>
      </c>
      <c r="K1147" s="1">
        <v>0.08333333333333333</v>
      </c>
      <c r="L1147" s="1">
        <v>0.10694444444444444</v>
      </c>
      <c r="M1147" s="1" t="s">
        <v>22</v>
      </c>
      <c r="N1147" s="1" t="s">
        <v>41</v>
      </c>
      <c r="O1147" s="1" t="s">
        <v>483</v>
      </c>
      <c r="P1147" s="1" t="s">
        <v>42</v>
      </c>
      <c r="Q1147" s="1">
        <v>45013</v>
      </c>
      <c r="R1147" s="14">
        <v>5</v>
      </c>
      <c r="S1147" s="1" t="s">
        <v>22</v>
      </c>
      <c r="T1147" s="1" t="s">
        <v>22</v>
      </c>
      <c r="U1147" s="1" t="s">
        <v>22</v>
      </c>
    </row>
    <row r="1148" spans="1:21" x14ac:dyDescent="0.25">
      <c r="A1148" s="1" t="s">
        <v>3176</v>
      </c>
      <c r="B1148" s="2" t="s">
        <v>529</v>
      </c>
      <c r="C1148" s="1" t="s">
        <v>530</v>
      </c>
      <c r="D1148" s="1" t="s">
        <v>3210</v>
      </c>
      <c r="E1148" s="1" t="s">
        <v>37</v>
      </c>
      <c r="F1148" s="1">
        <v>45015</v>
      </c>
      <c r="G1148" s="14" t="s">
        <v>28</v>
      </c>
      <c r="H1148" t="s">
        <v>3211</v>
      </c>
      <c r="I1148" s="2" t="s">
        <v>3211</v>
      </c>
      <c r="J1148" s="2">
        <v>0.024305555555555556</v>
      </c>
      <c r="K1148" s="1">
        <v>0.10416666666666667</v>
      </c>
      <c r="L1148" s="1">
        <v>0.12847222222222224</v>
      </c>
      <c r="M1148" s="1" t="s">
        <v>22</v>
      </c>
      <c r="N1148" s="1" t="s">
        <v>32</v>
      </c>
      <c r="O1148" s="1" t="s">
        <v>41</v>
      </c>
      <c r="P1148" s="1" t="s">
        <v>484</v>
      </c>
      <c r="Q1148" s="1">
        <v>45015</v>
      </c>
      <c r="R1148" s="14">
        <v>5</v>
      </c>
      <c r="S1148" s="1" t="s">
        <v>22</v>
      </c>
      <c r="T1148" s="1" t="s">
        <v>22</v>
      </c>
      <c r="U1148" s="1" t="s">
        <v>22</v>
      </c>
    </row>
    <row r="1149" spans="1:21" x14ac:dyDescent="0.25">
      <c r="A1149" s="1" t="s">
        <v>3176</v>
      </c>
      <c r="B1149" s="2" t="s">
        <v>163</v>
      </c>
      <c r="C1149" s="1" t="s">
        <v>25</v>
      </c>
      <c r="D1149" s="1" t="s">
        <v>3212</v>
      </c>
      <c r="E1149" s="1" t="s">
        <v>37</v>
      </c>
      <c r="F1149" s="1">
        <v>45015</v>
      </c>
      <c r="G1149" s="14" t="s">
        <v>74</v>
      </c>
      <c r="H1149" t="s">
        <v>3213</v>
      </c>
      <c r="I1149" s="2" t="s">
        <v>3214</v>
      </c>
      <c r="J1149" s="2">
        <v>0.027777777777777776</v>
      </c>
      <c r="K1149" s="1">
        <v>0.04861111111111111</v>
      </c>
      <c r="L1149" s="1">
        <v>0.0763888888888889</v>
      </c>
      <c r="M1149" s="1" t="s">
        <v>22</v>
      </c>
      <c r="N1149" s="1" t="s">
        <v>574</v>
      </c>
      <c r="O1149" s="1" t="s">
        <v>483</v>
      </c>
      <c r="P1149" s="1" t="s">
        <v>488</v>
      </c>
      <c r="Q1149" s="1">
        <v>45015</v>
      </c>
      <c r="R1149" s="14">
        <v>5</v>
      </c>
      <c r="S1149" s="1" t="s">
        <v>22</v>
      </c>
      <c r="T1149" s="1" t="s">
        <v>22</v>
      </c>
      <c r="U1149" s="1" t="s">
        <v>22</v>
      </c>
    </row>
    <row r="1150" spans="1:21" x14ac:dyDescent="0.25">
      <c r="A1150" s="1" t="s">
        <v>3215</v>
      </c>
      <c r="B1150" s="2" t="s">
        <v>804</v>
      </c>
      <c r="C1150" s="1" t="s">
        <v>25</v>
      </c>
      <c r="D1150" s="1" t="s">
        <v>3216</v>
      </c>
      <c r="E1150" s="1" t="s">
        <v>27</v>
      </c>
      <c r="F1150" s="1">
        <v>45017</v>
      </c>
      <c r="G1150" s="14" t="s">
        <v>96</v>
      </c>
      <c r="H1150" t="s">
        <v>3217</v>
      </c>
      <c r="I1150" s="2" t="s">
        <v>3218</v>
      </c>
      <c r="J1150" s="2">
        <v>0.027777777777777776</v>
      </c>
      <c r="K1150" s="1">
        <v>0.020833333333333332</v>
      </c>
      <c r="L1150" s="1">
        <v>0.048611111111111105</v>
      </c>
      <c r="M1150" s="1" t="s">
        <v>22</v>
      </c>
      <c r="N1150" s="1" t="s">
        <v>31</v>
      </c>
      <c r="O1150" s="1" t="s">
        <v>32</v>
      </c>
      <c r="P1150" s="1" t="s">
        <v>484</v>
      </c>
      <c r="Q1150" s="1">
        <v>45017</v>
      </c>
      <c r="R1150" s="14">
        <v>5</v>
      </c>
      <c r="S1150" s="1" t="s">
        <v>22</v>
      </c>
      <c r="T1150" s="1" t="s">
        <v>22</v>
      </c>
      <c r="U1150" s="1" t="s">
        <v>22</v>
      </c>
    </row>
    <row r="1151" spans="1:21" x14ac:dyDescent="0.25">
      <c r="A1151" s="1" t="s">
        <v>3215</v>
      </c>
      <c r="B1151" s="2" t="s">
        <v>510</v>
      </c>
      <c r="C1151" s="1" t="s">
        <v>25</v>
      </c>
      <c r="D1151" s="1" t="s">
        <v>3219</v>
      </c>
      <c r="E1151" s="1" t="s">
        <v>37</v>
      </c>
      <c r="F1151" s="1">
        <v>45020</v>
      </c>
      <c r="G1151" s="14" t="s">
        <v>74</v>
      </c>
      <c r="H1151" t="s">
        <v>3220</v>
      </c>
      <c r="I1151" s="2" t="s">
        <v>3221</v>
      </c>
      <c r="J1151" s="2">
        <v>0.020833333333333332</v>
      </c>
      <c r="K1151" s="1">
        <v>0.041666666666666664</v>
      </c>
      <c r="L1151" s="1">
        <v>0.0625</v>
      </c>
      <c r="M1151" s="1" t="s">
        <v>22</v>
      </c>
      <c r="N1151" s="1" t="s">
        <v>32</v>
      </c>
      <c r="O1151" s="1" t="s">
        <v>483</v>
      </c>
      <c r="P1151" s="1" t="s">
        <v>488</v>
      </c>
      <c r="Q1151" s="1">
        <v>45020</v>
      </c>
      <c r="R1151" s="14">
        <v>5</v>
      </c>
      <c r="S1151" s="1" t="s">
        <v>22</v>
      </c>
      <c r="T1151" s="1" t="s">
        <v>22</v>
      </c>
      <c r="U1151" s="1" t="s">
        <v>22</v>
      </c>
    </row>
    <row r="1152" spans="1:21" x14ac:dyDescent="0.25">
      <c r="A1152" s="1" t="s">
        <v>3215</v>
      </c>
      <c r="B1152" s="2" t="s">
        <v>118</v>
      </c>
      <c r="C1152" s="1" t="s">
        <v>25</v>
      </c>
      <c r="D1152" s="1" t="s">
        <v>3222</v>
      </c>
      <c r="E1152" s="1" t="s">
        <v>37</v>
      </c>
      <c r="F1152" s="1">
        <v>45020</v>
      </c>
      <c r="G1152" s="14" t="s">
        <v>28</v>
      </c>
      <c r="H1152" t="s">
        <v>3223</v>
      </c>
      <c r="I1152" s="2" t="s">
        <v>3224</v>
      </c>
      <c r="J1152" s="2">
        <v>0.034722222222222224</v>
      </c>
      <c r="K1152" s="1">
        <v>0.05555555555555555</v>
      </c>
      <c r="L1152" s="1">
        <v>0.09027777777777778</v>
      </c>
      <c r="M1152" s="1" t="s">
        <v>22</v>
      </c>
      <c r="N1152" s="1" t="s">
        <v>31</v>
      </c>
      <c r="O1152" s="1" t="s">
        <v>32</v>
      </c>
      <c r="P1152" s="1" t="s">
        <v>484</v>
      </c>
      <c r="Q1152" s="1">
        <v>45020</v>
      </c>
      <c r="R1152" s="14">
        <v>5</v>
      </c>
      <c r="S1152" s="1" t="s">
        <v>22</v>
      </c>
      <c r="T1152" s="1" t="s">
        <v>22</v>
      </c>
      <c r="U1152" s="1" t="s">
        <v>22</v>
      </c>
    </row>
    <row r="1153" spans="1:21" x14ac:dyDescent="0.25">
      <c r="A1153" s="1" t="s">
        <v>3215</v>
      </c>
      <c r="B1153" s="2" t="s">
        <v>667</v>
      </c>
      <c r="C1153" s="1" t="s">
        <v>668</v>
      </c>
      <c r="D1153" s="1" t="s">
        <v>3225</v>
      </c>
      <c r="E1153" s="1" t="s">
        <v>37</v>
      </c>
      <c r="F1153" s="1">
        <v>45023</v>
      </c>
      <c r="G1153" s="14" t="s">
        <v>74</v>
      </c>
      <c r="H1153" t="s">
        <v>3226</v>
      </c>
      <c r="I1153" s="2" t="s">
        <v>3227</v>
      </c>
      <c r="J1153" s="2">
        <v>0.017361111111111112</v>
      </c>
      <c r="K1153" s="1">
        <v>0.03819444444444444</v>
      </c>
      <c r="L1153" s="1">
        <v>0.05555555555555555</v>
      </c>
      <c r="M1153" s="1" t="s">
        <v>22</v>
      </c>
      <c r="N1153" s="1" t="s">
        <v>41</v>
      </c>
      <c r="O1153" s="1" t="s">
        <v>32</v>
      </c>
      <c r="P1153" s="1" t="s">
        <v>488</v>
      </c>
      <c r="Q1153" s="1">
        <v>45023</v>
      </c>
      <c r="R1153" s="14">
        <v>5</v>
      </c>
      <c r="S1153" s="1" t="s">
        <v>22</v>
      </c>
      <c r="T1153" s="1" t="s">
        <v>22</v>
      </c>
      <c r="U1153" s="1" t="s">
        <v>22</v>
      </c>
    </row>
    <row r="1154" spans="1:21" x14ac:dyDescent="0.25">
      <c r="A1154" s="1" t="s">
        <v>3215</v>
      </c>
      <c r="B1154" s="2" t="s">
        <v>219</v>
      </c>
      <c r="C1154" s="1" t="s">
        <v>186</v>
      </c>
      <c r="D1154" s="1" t="s">
        <v>3228</v>
      </c>
      <c r="E1154" s="1" t="s">
        <v>37</v>
      </c>
      <c r="F1154" s="1">
        <v>45027</v>
      </c>
      <c r="G1154" s="14" t="s">
        <v>28</v>
      </c>
      <c r="H1154" t="s">
        <v>3229</v>
      </c>
      <c r="I1154" s="2" t="s">
        <v>3230</v>
      </c>
      <c r="J1154" s="2">
        <v>0.034722222222222224</v>
      </c>
      <c r="K1154" s="1">
        <v>0.03125</v>
      </c>
      <c r="L1154" s="1">
        <v>0.06597222222222222</v>
      </c>
      <c r="M1154" s="1" t="s">
        <v>22</v>
      </c>
      <c r="N1154" s="1" t="s">
        <v>41</v>
      </c>
      <c r="O1154" s="1" t="s">
        <v>32</v>
      </c>
      <c r="P1154" s="1" t="s">
        <v>488</v>
      </c>
      <c r="Q1154" s="1">
        <v>45027</v>
      </c>
      <c r="R1154" s="14">
        <v>5</v>
      </c>
      <c r="S1154" s="1" t="s">
        <v>22</v>
      </c>
      <c r="T1154" s="1" t="s">
        <v>22</v>
      </c>
      <c r="U1154" s="1" t="s">
        <v>22</v>
      </c>
    </row>
    <row r="1155" spans="1:21" x14ac:dyDescent="0.25">
      <c r="A1155" s="1" t="s">
        <v>3215</v>
      </c>
      <c r="B1155" s="2" t="s">
        <v>804</v>
      </c>
      <c r="C1155" s="1" t="s">
        <v>25</v>
      </c>
      <c r="D1155" s="1" t="s">
        <v>3216</v>
      </c>
      <c r="E1155" s="1" t="s">
        <v>27</v>
      </c>
      <c r="F1155" s="1">
        <v>45028</v>
      </c>
      <c r="G1155" s="14" t="s">
        <v>96</v>
      </c>
      <c r="H1155" t="s">
        <v>3231</v>
      </c>
      <c r="I1155" s="2" t="s">
        <v>3232</v>
      </c>
      <c r="J1155" s="2">
        <v>0.027777777777777776</v>
      </c>
      <c r="K1155" s="1">
        <v>0.03819444444444444</v>
      </c>
      <c r="L1155" s="1">
        <v>0.06597222222222221</v>
      </c>
      <c r="M1155" s="1" t="s">
        <v>22</v>
      </c>
      <c r="N1155" s="1" t="s">
        <v>31</v>
      </c>
      <c r="O1155" s="1" t="s">
        <v>32</v>
      </c>
      <c r="P1155" s="1" t="s">
        <v>484</v>
      </c>
      <c r="Q1155" s="1">
        <v>45028</v>
      </c>
      <c r="R1155" s="14">
        <v>5</v>
      </c>
      <c r="S1155" s="1" t="s">
        <v>22</v>
      </c>
      <c r="T1155" s="1" t="s">
        <v>22</v>
      </c>
      <c r="U1155" s="1" t="s">
        <v>22</v>
      </c>
    </row>
    <row r="1156" spans="1:21" x14ac:dyDescent="0.25">
      <c r="A1156" s="1" t="s">
        <v>3215</v>
      </c>
      <c r="B1156" s="2" t="s">
        <v>146</v>
      </c>
      <c r="C1156" s="1" t="s">
        <v>186</v>
      </c>
      <c r="D1156" s="1" t="s">
        <v>3233</v>
      </c>
      <c r="E1156" s="1" t="s">
        <v>27</v>
      </c>
      <c r="F1156" s="1">
        <v>45031</v>
      </c>
      <c r="G1156" s="14" t="s">
        <v>507</v>
      </c>
      <c r="H1156" t="s">
        <v>3234</v>
      </c>
      <c r="I1156" s="2" t="s">
        <v>3235</v>
      </c>
      <c r="J1156" s="2">
        <v>0.020833333333333332</v>
      </c>
      <c r="K1156" s="1">
        <v>0.027777777777777776</v>
      </c>
      <c r="L1156" s="1">
        <v>0.048611111111111105</v>
      </c>
      <c r="M1156" s="1" t="s">
        <v>22</v>
      </c>
      <c r="N1156" s="1" t="s">
        <v>53</v>
      </c>
      <c r="O1156" s="1" t="s">
        <v>32</v>
      </c>
      <c r="P1156" s="1" t="s">
        <v>488</v>
      </c>
      <c r="Q1156" s="1">
        <v>45031</v>
      </c>
      <c r="R1156" s="14">
        <v>5</v>
      </c>
      <c r="S1156" s="1" t="s">
        <v>22</v>
      </c>
      <c r="T1156" s="1" t="s">
        <v>22</v>
      </c>
      <c r="U1156" s="1" t="s">
        <v>22</v>
      </c>
    </row>
    <row r="1157" spans="1:21" x14ac:dyDescent="0.25">
      <c r="A1157" s="1" t="s">
        <v>3215</v>
      </c>
      <c r="B1157" s="2" t="s">
        <v>529</v>
      </c>
      <c r="C1157" s="1" t="s">
        <v>530</v>
      </c>
      <c r="D1157" s="1" t="s">
        <v>3236</v>
      </c>
      <c r="E1157" s="1" t="s">
        <v>37</v>
      </c>
      <c r="F1157" s="1">
        <v>45031</v>
      </c>
      <c r="G1157" s="14" t="s">
        <v>28</v>
      </c>
      <c r="H1157" t="s">
        <v>3237</v>
      </c>
      <c r="I1157" s="2" t="s">
        <v>3238</v>
      </c>
      <c r="J1157" s="2">
        <v>0.041666666666666664</v>
      </c>
      <c r="K1157" s="1">
        <v>0.03819444444444444</v>
      </c>
      <c r="L1157" s="1">
        <v>0.0798611111111111</v>
      </c>
      <c r="M1157" s="1" t="s">
        <v>22</v>
      </c>
      <c r="N1157" s="1" t="s">
        <v>41</v>
      </c>
      <c r="O1157" s="1" t="s">
        <v>32</v>
      </c>
      <c r="P1157" s="1" t="s">
        <v>484</v>
      </c>
      <c r="Q1157" s="1">
        <v>45031</v>
      </c>
      <c r="R1157" s="14">
        <v>5</v>
      </c>
      <c r="S1157" s="1" t="s">
        <v>22</v>
      </c>
      <c r="T1157" s="1" t="s">
        <v>22</v>
      </c>
      <c r="U1157" s="1" t="s">
        <v>22</v>
      </c>
    </row>
    <row r="1158" spans="1:21" x14ac:dyDescent="0.25">
      <c r="A1158" s="1" t="s">
        <v>3215</v>
      </c>
      <c r="B1158" s="2" t="s">
        <v>529</v>
      </c>
      <c r="C1158" s="1" t="s">
        <v>530</v>
      </c>
      <c r="D1158" s="1" t="s">
        <v>3239</v>
      </c>
      <c r="E1158" s="1" t="s">
        <v>713</v>
      </c>
      <c r="F1158" s="1">
        <v>45035</v>
      </c>
      <c r="G1158" s="14" t="s">
        <v>74</v>
      </c>
      <c r="H1158" t="s">
        <v>3240</v>
      </c>
      <c r="I1158" s="2" t="s">
        <v>3241</v>
      </c>
      <c r="J1158" s="2">
        <v>0.020833333333333332</v>
      </c>
      <c r="K1158" s="1">
        <v>0.027777777777777776</v>
      </c>
      <c r="L1158" s="1">
        <v>0.048611111111111105</v>
      </c>
      <c r="M1158" s="1" t="s">
        <v>22</v>
      </c>
      <c r="N1158" s="1" t="s">
        <v>32</v>
      </c>
      <c r="O1158" s="1" t="s">
        <v>483</v>
      </c>
      <c r="P1158" s="1" t="s">
        <v>117</v>
      </c>
      <c r="Q1158" s="1">
        <v>45035</v>
      </c>
      <c r="R1158" s="14">
        <v>5</v>
      </c>
      <c r="S1158" s="1" t="s">
        <v>22</v>
      </c>
      <c r="T1158" s="1" t="s">
        <v>22</v>
      </c>
      <c r="U1158" s="1" t="s">
        <v>22</v>
      </c>
    </row>
    <row r="1159" spans="1:21" x14ac:dyDescent="0.25">
      <c r="A1159" s="1" t="s">
        <v>3215</v>
      </c>
      <c r="B1159" s="2" t="s">
        <v>185</v>
      </c>
      <c r="C1159" s="1" t="s">
        <v>186</v>
      </c>
      <c r="D1159" s="1" t="s">
        <v>3242</v>
      </c>
      <c r="E1159" s="1" t="s">
        <v>27</v>
      </c>
      <c r="F1159" s="1">
        <v>45041</v>
      </c>
      <c r="G1159" s="14" t="s">
        <v>38</v>
      </c>
      <c r="H1159" t="s">
        <v>3243</v>
      </c>
      <c r="I1159" s="2" t="s">
        <v>3244</v>
      </c>
      <c r="J1159" s="2">
        <v>0.013888888888888888</v>
      </c>
      <c r="K1159" s="1">
        <v>0.02638888888888889</v>
      </c>
      <c r="L1159" s="1">
        <v>0.04027777777777777</v>
      </c>
      <c r="M1159" s="1" t="s">
        <v>22</v>
      </c>
      <c r="N1159" s="1" t="s">
        <v>32</v>
      </c>
      <c r="O1159" s="1" t="s">
        <v>41</v>
      </c>
      <c r="P1159" s="1" t="s">
        <v>484</v>
      </c>
      <c r="Q1159" s="1">
        <v>45041</v>
      </c>
      <c r="R1159" s="14">
        <v>5</v>
      </c>
      <c r="S1159" s="1" t="s">
        <v>22</v>
      </c>
      <c r="T1159" s="1" t="s">
        <v>22</v>
      </c>
      <c r="U1159" s="1" t="s">
        <v>22</v>
      </c>
    </row>
    <row r="1160" spans="1:21" x14ac:dyDescent="0.25">
      <c r="A1160" s="1" t="s">
        <v>3215</v>
      </c>
      <c r="B1160" s="2" t="s">
        <v>118</v>
      </c>
      <c r="C1160" s="1" t="s">
        <v>25</v>
      </c>
      <c r="D1160" s="1" t="s">
        <v>3245</v>
      </c>
      <c r="E1160" s="1" t="s">
        <v>37</v>
      </c>
      <c r="F1160" s="1">
        <v>45041</v>
      </c>
      <c r="G1160" s="14" t="s">
        <v>38</v>
      </c>
      <c r="H1160" t="s">
        <v>3246</v>
      </c>
      <c r="I1160" s="2" t="s">
        <v>3247</v>
      </c>
      <c r="J1160" s="2">
        <v>0.013888888888888888</v>
      </c>
      <c r="K1160" s="1">
        <v>0.029166666666666664</v>
      </c>
      <c r="L1160" s="1">
        <v>0.043055555555555555</v>
      </c>
      <c r="M1160" s="1" t="s">
        <v>22</v>
      </c>
      <c r="N1160" s="1" t="s">
        <v>32</v>
      </c>
      <c r="O1160" s="1" t="s">
        <v>41</v>
      </c>
      <c r="P1160" s="1" t="s">
        <v>484</v>
      </c>
      <c r="Q1160" s="1">
        <v>45041</v>
      </c>
      <c r="R1160" s="14">
        <v>5</v>
      </c>
      <c r="S1160" s="1" t="s">
        <v>22</v>
      </c>
      <c r="T1160" s="1" t="s">
        <v>22</v>
      </c>
      <c r="U1160" s="1" t="s">
        <v>22</v>
      </c>
    </row>
    <row r="1161" spans="1:21" x14ac:dyDescent="0.25">
      <c r="A1161" s="1" t="s">
        <v>3215</v>
      </c>
      <c r="B1161" s="2" t="s">
        <v>537</v>
      </c>
      <c r="C1161" s="1" t="s">
        <v>25</v>
      </c>
      <c r="D1161" s="1" t="s">
        <v>3248</v>
      </c>
      <c r="E1161" s="1" t="s">
        <v>27</v>
      </c>
      <c r="F1161" s="1">
        <v>45042</v>
      </c>
      <c r="G1161" s="14" t="s">
        <v>74</v>
      </c>
      <c r="H1161" t="s">
        <v>3249</v>
      </c>
      <c r="I1161" s="2" t="s">
        <v>3250</v>
      </c>
      <c r="J1161" s="2">
        <v>0.013888888888888888</v>
      </c>
      <c r="K1161" s="1">
        <v>0.020833333333333332</v>
      </c>
      <c r="L1161" s="1">
        <v>0.034722222222222224</v>
      </c>
      <c r="M1161" s="1" t="s">
        <v>22</v>
      </c>
      <c r="N1161" s="1" t="s">
        <v>32</v>
      </c>
      <c r="O1161" s="1" t="s">
        <v>483</v>
      </c>
      <c r="P1161" s="1" t="s">
        <v>42</v>
      </c>
      <c r="Q1161" s="1">
        <v>45042</v>
      </c>
      <c r="R1161" s="14">
        <v>5</v>
      </c>
      <c r="S1161" s="1" t="s">
        <v>22</v>
      </c>
      <c r="T1161" s="1" t="s">
        <v>22</v>
      </c>
      <c r="U1161" s="1" t="s">
        <v>22</v>
      </c>
    </row>
    <row r="1162" spans="1:21" x14ac:dyDescent="0.25">
      <c r="A1162" s="1" t="s">
        <v>3215</v>
      </c>
      <c r="B1162" s="2" t="s">
        <v>529</v>
      </c>
      <c r="C1162" s="1" t="s">
        <v>530</v>
      </c>
      <c r="D1162" s="1" t="s">
        <v>3251</v>
      </c>
      <c r="E1162" s="1" t="s">
        <v>713</v>
      </c>
      <c r="F1162" s="1">
        <v>45042</v>
      </c>
      <c r="G1162" s="14" t="s">
        <v>28</v>
      </c>
      <c r="H1162" t="s">
        <v>3252</v>
      </c>
      <c r="I1162" s="2" t="s">
        <v>3252</v>
      </c>
      <c r="J1162" s="2">
        <v>0.027777777777777776</v>
      </c>
      <c r="K1162" s="1">
        <v>0.03819444444444444</v>
      </c>
      <c r="L1162" s="1">
        <v>0.06597222222222221</v>
      </c>
      <c r="M1162" s="1" t="s">
        <v>22</v>
      </c>
      <c r="N1162" s="1" t="s">
        <v>41</v>
      </c>
      <c r="O1162" s="1" t="s">
        <v>32</v>
      </c>
      <c r="P1162" s="1" t="s">
        <v>484</v>
      </c>
      <c r="Q1162" s="1">
        <v>45042</v>
      </c>
      <c r="R1162" s="14">
        <v>5</v>
      </c>
      <c r="S1162" s="1" t="s">
        <v>22</v>
      </c>
      <c r="T1162" s="1" t="s">
        <v>22</v>
      </c>
      <c r="U1162" s="1" t="s">
        <v>22</v>
      </c>
    </row>
    <row r="1163" spans="1:21" x14ac:dyDescent="0.25">
      <c r="A1163" s="1" t="s">
        <v>3215</v>
      </c>
      <c r="B1163" s="2" t="s">
        <v>283</v>
      </c>
      <c r="C1163" s="1" t="s">
        <v>25</v>
      </c>
      <c r="D1163" s="1" t="s">
        <v>3253</v>
      </c>
      <c r="E1163" s="1" t="s">
        <v>713</v>
      </c>
      <c r="F1163" s="1">
        <v>45045</v>
      </c>
      <c r="G1163" s="14" t="s">
        <v>28</v>
      </c>
      <c r="H1163" t="s">
        <v>3254</v>
      </c>
      <c r="I1163" s="2" t="s">
        <v>3254</v>
      </c>
      <c r="J1163" s="2">
        <v>0.04861111111111111</v>
      </c>
      <c r="K1163" s="1">
        <v>0.0625</v>
      </c>
      <c r="L1163" s="1">
        <v>0.1111111111111111</v>
      </c>
      <c r="M1163" s="1" t="s">
        <v>22</v>
      </c>
      <c r="N1163" s="1" t="s">
        <v>574</v>
      </c>
      <c r="O1163" s="1" t="s">
        <v>483</v>
      </c>
      <c r="P1163" s="1" t="s">
        <v>488</v>
      </c>
      <c r="Q1163" s="1">
        <v>45045</v>
      </c>
      <c r="R1163" s="14">
        <v>5</v>
      </c>
      <c r="S1163" s="1" t="s">
        <v>22</v>
      </c>
      <c r="T1163" s="1" t="s">
        <v>22</v>
      </c>
      <c r="U1163" s="1" t="s">
        <v>22</v>
      </c>
    </row>
    <row r="1164" spans="1:21" x14ac:dyDescent="0.25">
      <c r="A1164" s="1" t="s">
        <v>3255</v>
      </c>
      <c r="B1164" s="2" t="s">
        <v>479</v>
      </c>
      <c r="C1164" s="1" t="s">
        <v>25</v>
      </c>
      <c r="D1164" s="1" t="s">
        <v>3256</v>
      </c>
      <c r="E1164" s="1" t="s">
        <v>27</v>
      </c>
      <c r="F1164" s="1">
        <v>45048</v>
      </c>
      <c r="G1164" s="14" t="s">
        <v>38</v>
      </c>
      <c r="H1164" t="s">
        <v>3257</v>
      </c>
      <c r="I1164" s="2" t="s">
        <v>3258</v>
      </c>
      <c r="J1164" s="2">
        <v>0.013888888888888888</v>
      </c>
      <c r="K1164" s="1">
        <v>0.027777777777777776</v>
      </c>
      <c r="L1164" s="1">
        <v>0.041666666666666664</v>
      </c>
      <c r="M1164" s="1" t="s">
        <v>22</v>
      </c>
      <c r="N1164" s="1" t="s">
        <v>32</v>
      </c>
      <c r="O1164" s="1" t="s">
        <v>483</v>
      </c>
      <c r="P1164" s="1" t="s">
        <v>488</v>
      </c>
      <c r="Q1164" s="1">
        <v>45048</v>
      </c>
      <c r="R1164" s="14">
        <v>5</v>
      </c>
      <c r="S1164" s="1" t="s">
        <v>22</v>
      </c>
      <c r="T1164" s="1" t="s">
        <v>22</v>
      </c>
      <c r="U1164" s="1" t="s">
        <v>22</v>
      </c>
    </row>
    <row r="1165" spans="1:21" x14ac:dyDescent="0.25">
      <c r="A1165" s="1" t="s">
        <v>3255</v>
      </c>
      <c r="B1165" s="2" t="s">
        <v>616</v>
      </c>
      <c r="C1165" s="1" t="s">
        <v>617</v>
      </c>
      <c r="D1165" s="1" t="s">
        <v>3259</v>
      </c>
      <c r="E1165" s="1" t="s">
        <v>713</v>
      </c>
      <c r="F1165" s="1">
        <v>45048</v>
      </c>
      <c r="G1165" s="14" t="s">
        <v>28</v>
      </c>
      <c r="H1165" t="s">
        <v>3260</v>
      </c>
      <c r="I1165" s="2" t="s">
        <v>3261</v>
      </c>
      <c r="J1165" s="2">
        <v>0.08611111111111112</v>
      </c>
      <c r="K1165" s="1">
        <v>0.13194444444444445</v>
      </c>
      <c r="L1165" s="1">
        <v>0.21805555555555556</v>
      </c>
      <c r="M1165" s="1" t="s">
        <v>22</v>
      </c>
      <c r="N1165" s="1" t="s">
        <v>574</v>
      </c>
      <c r="O1165" s="1" t="s">
        <v>483</v>
      </c>
      <c r="P1165" s="1" t="s">
        <v>488</v>
      </c>
      <c r="Q1165" s="1">
        <v>45049</v>
      </c>
      <c r="R1165" s="14">
        <v>5</v>
      </c>
      <c r="S1165" s="1" t="s">
        <v>22</v>
      </c>
      <c r="T1165" s="1" t="s">
        <v>22</v>
      </c>
      <c r="U1165" s="1" t="s">
        <v>22</v>
      </c>
    </row>
    <row r="1166" spans="1:21" x14ac:dyDescent="0.25">
      <c r="A1166" s="1" t="s">
        <v>3255</v>
      </c>
      <c r="B1166" s="2" t="s">
        <v>283</v>
      </c>
      <c r="C1166" s="1" t="s">
        <v>25</v>
      </c>
      <c r="D1166" s="1" t="s">
        <v>3253</v>
      </c>
      <c r="E1166" s="1" t="s">
        <v>713</v>
      </c>
      <c r="F1166" s="1">
        <v>45051</v>
      </c>
      <c r="G1166" s="14" t="s">
        <v>28</v>
      </c>
      <c r="H1166" t="s">
        <v>3262</v>
      </c>
      <c r="I1166" s="2" t="s">
        <v>3262</v>
      </c>
      <c r="J1166" s="2">
        <v>0.0625</v>
      </c>
      <c r="K1166" s="1">
        <v>0.05555555555555555</v>
      </c>
      <c r="L1166" s="1">
        <v>0.11805555555555555</v>
      </c>
      <c r="M1166" s="1" t="s">
        <v>22</v>
      </c>
      <c r="N1166" s="1" t="s">
        <v>31</v>
      </c>
      <c r="O1166" s="1" t="s">
        <v>32</v>
      </c>
      <c r="P1166" s="1" t="s">
        <v>488</v>
      </c>
      <c r="Q1166" s="1">
        <v>45051</v>
      </c>
      <c r="R1166" s="14">
        <v>5</v>
      </c>
      <c r="S1166" s="1" t="s">
        <v>22</v>
      </c>
      <c r="T1166" s="1" t="s">
        <v>22</v>
      </c>
      <c r="U1166" s="1" t="s">
        <v>22</v>
      </c>
    </row>
    <row r="1167" spans="1:21" x14ac:dyDescent="0.25">
      <c r="A1167" s="1" t="s">
        <v>3255</v>
      </c>
      <c r="B1167" s="2" t="s">
        <v>479</v>
      </c>
      <c r="C1167" s="1" t="s">
        <v>25</v>
      </c>
      <c r="D1167" s="1" t="s">
        <v>3263</v>
      </c>
      <c r="E1167" s="1" t="s">
        <v>27</v>
      </c>
      <c r="F1167" s="1">
        <v>45055</v>
      </c>
      <c r="G1167" s="14" t="s">
        <v>353</v>
      </c>
      <c r="H1167" t="s">
        <v>3264</v>
      </c>
      <c r="I1167" s="2" t="s">
        <v>3265</v>
      </c>
      <c r="J1167" s="2">
        <v>0.020833333333333332</v>
      </c>
      <c r="K1167" s="1">
        <v>0.04861111111111111</v>
      </c>
      <c r="L1167" s="1">
        <v>0.06944444444444445</v>
      </c>
      <c r="M1167" s="1" t="s">
        <v>22</v>
      </c>
      <c r="N1167" s="1" t="s">
        <v>32</v>
      </c>
      <c r="O1167" s="1" t="s">
        <v>41</v>
      </c>
      <c r="P1167" s="1" t="s">
        <v>488</v>
      </c>
      <c r="Q1167" s="1">
        <v>45055</v>
      </c>
      <c r="R1167" s="14">
        <v>5</v>
      </c>
      <c r="S1167" s="1" t="s">
        <v>22</v>
      </c>
      <c r="T1167" s="1" t="s">
        <v>22</v>
      </c>
      <c r="U1167" s="1" t="s">
        <v>22</v>
      </c>
    </row>
    <row r="1168" spans="1:21" x14ac:dyDescent="0.25">
      <c r="A1168" s="1" t="s">
        <v>3255</v>
      </c>
      <c r="B1168" s="2" t="s">
        <v>258</v>
      </c>
      <c r="C1168" s="1" t="s">
        <v>25</v>
      </c>
      <c r="D1168" s="1" t="s">
        <v>3266</v>
      </c>
      <c r="E1168" s="1" t="s">
        <v>713</v>
      </c>
      <c r="F1168" s="1">
        <v>45055</v>
      </c>
      <c r="G1168" s="14" t="s">
        <v>28</v>
      </c>
      <c r="H1168" t="s">
        <v>3267</v>
      </c>
      <c r="I1168" s="2" t="s">
        <v>3268</v>
      </c>
      <c r="J1168" s="2">
        <v>0.041666666666666664</v>
      </c>
      <c r="K1168" s="1">
        <v>0.034722222222222224</v>
      </c>
      <c r="L1168" s="1">
        <v>0.0763888888888889</v>
      </c>
      <c r="M1168" s="1" t="s">
        <v>22</v>
      </c>
      <c r="N1168" s="1" t="s">
        <v>41</v>
      </c>
      <c r="O1168" s="1" t="s">
        <v>483</v>
      </c>
      <c r="P1168" s="1" t="s">
        <v>42</v>
      </c>
      <c r="Q1168" s="1">
        <v>45055</v>
      </c>
      <c r="R1168" s="14">
        <v>5</v>
      </c>
      <c r="S1168" s="1" t="s">
        <v>22</v>
      </c>
      <c r="T1168" s="1" t="s">
        <v>22</v>
      </c>
      <c r="U1168" s="1" t="s">
        <v>22</v>
      </c>
    </row>
    <row r="1169" spans="1:21" x14ac:dyDescent="0.25">
      <c r="A1169" s="1" t="s">
        <v>3255</v>
      </c>
      <c r="B1169" s="2" t="s">
        <v>199</v>
      </c>
      <c r="C1169" s="1" t="s">
        <v>541</v>
      </c>
      <c r="D1169" s="1" t="s">
        <v>3269</v>
      </c>
      <c r="E1169" s="1" t="s">
        <v>37</v>
      </c>
      <c r="F1169" s="1">
        <v>45064</v>
      </c>
      <c r="G1169" s="14" t="s">
        <v>28</v>
      </c>
      <c r="H1169" t="s">
        <v>3270</v>
      </c>
      <c r="I1169" s="2" t="s">
        <v>3271</v>
      </c>
      <c r="J1169" s="2">
        <v>0.05555555555555555</v>
      </c>
      <c r="K1169" s="1">
        <v>0.0625</v>
      </c>
      <c r="L1169" s="1">
        <v>0.11805555555555555</v>
      </c>
      <c r="M1169" s="1" t="s">
        <v>22</v>
      </c>
      <c r="N1169" s="1" t="s">
        <v>41</v>
      </c>
      <c r="O1169" s="1" t="s">
        <v>32</v>
      </c>
      <c r="P1169" s="1" t="s">
        <v>488</v>
      </c>
      <c r="Q1169" s="1">
        <v>45064</v>
      </c>
      <c r="R1169" s="14">
        <v>5</v>
      </c>
      <c r="S1169" s="1" t="s">
        <v>22</v>
      </c>
      <c r="T1169" s="1" t="s">
        <v>22</v>
      </c>
      <c r="U1169" s="1" t="s">
        <v>22</v>
      </c>
    </row>
    <row r="1170" spans="1:21" x14ac:dyDescent="0.25">
      <c r="A1170" s="1" t="s">
        <v>3255</v>
      </c>
      <c r="B1170" s="2" t="s">
        <v>616</v>
      </c>
      <c r="C1170" s="1" t="s">
        <v>617</v>
      </c>
      <c r="D1170" s="1" t="s">
        <v>3272</v>
      </c>
      <c r="E1170" s="1" t="s">
        <v>37</v>
      </c>
      <c r="F1170" s="1">
        <v>45064</v>
      </c>
      <c r="G1170" s="14" t="s">
        <v>28</v>
      </c>
      <c r="H1170" t="s">
        <v>3273</v>
      </c>
      <c r="I1170" s="2" t="s">
        <v>3273</v>
      </c>
      <c r="J1170" s="2">
        <v>0.05555555555555555</v>
      </c>
      <c r="K1170" s="1">
        <v>0.0625</v>
      </c>
      <c r="L1170" s="1">
        <v>0.11805555555555555</v>
      </c>
      <c r="M1170" s="1" t="s">
        <v>22</v>
      </c>
      <c r="N1170" s="1" t="s">
        <v>31</v>
      </c>
      <c r="O1170" s="1" t="s">
        <v>32</v>
      </c>
      <c r="P1170" s="1" t="s">
        <v>484</v>
      </c>
      <c r="Q1170" s="1">
        <v>45064</v>
      </c>
      <c r="R1170" s="14">
        <v>5</v>
      </c>
      <c r="S1170" s="1" t="s">
        <v>22</v>
      </c>
      <c r="T1170" s="1" t="s">
        <v>22</v>
      </c>
      <c r="U1170" s="1" t="s">
        <v>22</v>
      </c>
    </row>
    <row r="1171" spans="1:21" x14ac:dyDescent="0.25">
      <c r="A1171" s="1" t="s">
        <v>3255</v>
      </c>
      <c r="B1171" s="2" t="s">
        <v>99</v>
      </c>
      <c r="C1171" s="1" t="s">
        <v>25</v>
      </c>
      <c r="D1171" s="1" t="s">
        <v>3274</v>
      </c>
      <c r="E1171" s="1" t="s">
        <v>713</v>
      </c>
      <c r="F1171" s="1">
        <v>45068</v>
      </c>
      <c r="G1171" s="14" t="s">
        <v>28</v>
      </c>
      <c r="H1171" t="s">
        <v>3275</v>
      </c>
      <c r="I1171" s="2" t="s">
        <v>3276</v>
      </c>
      <c r="J1171" s="2">
        <v>0.05555555555555555</v>
      </c>
      <c r="K1171" s="1">
        <v>0.06597222222222222</v>
      </c>
      <c r="L1171" s="1">
        <v>0.12152777777777778</v>
      </c>
      <c r="M1171" s="1" t="s">
        <v>22</v>
      </c>
      <c r="N1171" s="1" t="s">
        <v>41</v>
      </c>
      <c r="O1171" s="1" t="s">
        <v>32</v>
      </c>
      <c r="P1171" s="1" t="s">
        <v>484</v>
      </c>
      <c r="Q1171" s="1">
        <v>45068</v>
      </c>
      <c r="R1171" s="14">
        <v>5</v>
      </c>
      <c r="S1171" s="1" t="s">
        <v>22</v>
      </c>
      <c r="T1171" s="1" t="s">
        <v>22</v>
      </c>
      <c r="U1171" s="1" t="s">
        <v>22</v>
      </c>
    </row>
    <row r="1172" spans="1:21" x14ac:dyDescent="0.25">
      <c r="A1172" s="1" t="s">
        <v>3255</v>
      </c>
      <c r="B1172" s="2" t="s">
        <v>2997</v>
      </c>
      <c r="C1172" s="1" t="s">
        <v>25</v>
      </c>
      <c r="D1172" s="1" t="s">
        <v>3277</v>
      </c>
      <c r="E1172" s="1" t="s">
        <v>37</v>
      </c>
      <c r="F1172" s="1">
        <v>45070</v>
      </c>
      <c r="G1172" s="14" t="s">
        <v>353</v>
      </c>
      <c r="H1172" t="s">
        <v>3278</v>
      </c>
      <c r="I1172" s="2" t="s">
        <v>3279</v>
      </c>
      <c r="J1172" s="2">
        <v>0.013888888888888888</v>
      </c>
      <c r="K1172" s="1">
        <v>0.013888888888888888</v>
      </c>
      <c r="L1172" s="1">
        <v>0.027777777777777776</v>
      </c>
      <c r="M1172" s="1" t="s">
        <v>22</v>
      </c>
      <c r="N1172" s="1" t="s">
        <v>32</v>
      </c>
      <c r="O1172" s="1" t="s">
        <v>483</v>
      </c>
      <c r="P1172" s="1" t="s">
        <v>488</v>
      </c>
      <c r="Q1172" s="1">
        <v>45070</v>
      </c>
      <c r="R1172" s="14">
        <v>5</v>
      </c>
      <c r="S1172" s="1" t="s">
        <v>22</v>
      </c>
      <c r="T1172" s="1" t="s">
        <v>22</v>
      </c>
      <c r="U1172" s="1" t="s">
        <v>22</v>
      </c>
    </row>
    <row r="1173" spans="1:21" x14ac:dyDescent="0.25">
      <c r="A1173" s="1" t="s">
        <v>3255</v>
      </c>
      <c r="B1173" s="2" t="s">
        <v>258</v>
      </c>
      <c r="C1173" s="1" t="s">
        <v>25</v>
      </c>
      <c r="D1173" s="1" t="s">
        <v>3280</v>
      </c>
      <c r="E1173" s="1" t="s">
        <v>37</v>
      </c>
      <c r="F1173" s="1">
        <v>45070</v>
      </c>
      <c r="G1173" s="14" t="s">
        <v>74</v>
      </c>
      <c r="H1173" t="s">
        <v>3281</v>
      </c>
      <c r="I1173" s="2" t="s">
        <v>3282</v>
      </c>
      <c r="J1173" s="2">
        <v>0.020833333333333332</v>
      </c>
      <c r="K1173" s="1">
        <v>0.027777777777777776</v>
      </c>
      <c r="L1173" s="1">
        <v>0.048611111111111105</v>
      </c>
      <c r="M1173" s="1" t="s">
        <v>22</v>
      </c>
      <c r="N1173" s="1" t="s">
        <v>31</v>
      </c>
      <c r="O1173" s="1" t="s">
        <v>32</v>
      </c>
      <c r="P1173" s="1" t="s">
        <v>42</v>
      </c>
      <c r="Q1173" s="1">
        <v>45070</v>
      </c>
      <c r="R1173" s="14">
        <v>5</v>
      </c>
      <c r="S1173" s="1" t="s">
        <v>22</v>
      </c>
      <c r="T1173" s="1" t="s">
        <v>22</v>
      </c>
      <c r="U1173" s="1" t="s">
        <v>22</v>
      </c>
    </row>
    <row r="1174" spans="1:21" x14ac:dyDescent="0.25">
      <c r="A1174" s="1" t="s">
        <v>3255</v>
      </c>
      <c r="B1174" s="2" t="s">
        <v>99</v>
      </c>
      <c r="C1174" s="1" t="s">
        <v>25</v>
      </c>
      <c r="D1174" s="1" t="s">
        <v>3283</v>
      </c>
      <c r="E1174" s="1" t="s">
        <v>713</v>
      </c>
      <c r="F1174" s="1">
        <v>45070</v>
      </c>
      <c r="G1174" s="14" t="s">
        <v>28</v>
      </c>
      <c r="H1174" t="s">
        <v>3284</v>
      </c>
      <c r="I1174" s="2" t="s">
        <v>3285</v>
      </c>
      <c r="J1174" s="2">
        <v>0.03888888888888889</v>
      </c>
      <c r="K1174" s="1">
        <v>0.041666666666666664</v>
      </c>
      <c r="L1174" s="1">
        <v>0.08055555555555555</v>
      </c>
      <c r="M1174" s="1" t="s">
        <v>22</v>
      </c>
      <c r="N1174" s="1" t="s">
        <v>41</v>
      </c>
      <c r="O1174" s="1" t="s">
        <v>483</v>
      </c>
      <c r="P1174" s="1" t="s">
        <v>484</v>
      </c>
      <c r="Q1174" s="1">
        <v>45070</v>
      </c>
      <c r="R1174" s="14">
        <v>5</v>
      </c>
      <c r="S1174" s="1" t="s">
        <v>22</v>
      </c>
      <c r="T1174" s="1" t="s">
        <v>22</v>
      </c>
      <c r="U1174" s="1" t="s">
        <v>22</v>
      </c>
    </row>
    <row r="1175" spans="1:21" x14ac:dyDescent="0.25">
      <c r="A1175" s="1" t="s">
        <v>3255</v>
      </c>
      <c r="B1175" s="2" t="s">
        <v>2315</v>
      </c>
      <c r="C1175" s="1" t="s">
        <v>25</v>
      </c>
      <c r="D1175" s="1" t="s">
        <v>3286</v>
      </c>
      <c r="E1175" s="1" t="s">
        <v>37</v>
      </c>
      <c r="F1175" s="1">
        <v>45071</v>
      </c>
      <c r="G1175" s="14" t="s">
        <v>38</v>
      </c>
      <c r="H1175" t="s">
        <v>3287</v>
      </c>
      <c r="I1175" s="2" t="s">
        <v>3288</v>
      </c>
      <c r="J1175" s="2">
        <v>0.013888888888888888</v>
      </c>
      <c r="K1175" s="1">
        <v>0.027777777777777776</v>
      </c>
      <c r="L1175" s="1">
        <v>0.041666666666666664</v>
      </c>
      <c r="M1175" s="1" t="s">
        <v>22</v>
      </c>
      <c r="N1175" s="1" t="s">
        <v>32</v>
      </c>
      <c r="O1175" s="1" t="s">
        <v>483</v>
      </c>
      <c r="P1175" s="1" t="s">
        <v>484</v>
      </c>
      <c r="Q1175" s="1">
        <v>45071</v>
      </c>
      <c r="R1175" s="14">
        <v>5</v>
      </c>
      <c r="S1175" s="1" t="s">
        <v>22</v>
      </c>
      <c r="T1175" s="1" t="s">
        <v>22</v>
      </c>
      <c r="U1175" s="1" t="s">
        <v>22</v>
      </c>
    </row>
    <row r="1176" spans="1:21" x14ac:dyDescent="0.25">
      <c r="A1176" s="1" t="s">
        <v>3255</v>
      </c>
      <c r="B1176" s="2" t="s">
        <v>113</v>
      </c>
      <c r="C1176" s="1" t="s">
        <v>25</v>
      </c>
      <c r="D1176" s="1" t="s">
        <v>3289</v>
      </c>
      <c r="E1176" s="1" t="s">
        <v>37</v>
      </c>
      <c r="F1176" s="1">
        <v>45071</v>
      </c>
      <c r="G1176" s="14" t="s">
        <v>3290</v>
      </c>
      <c r="H1176" t="s">
        <v>3291</v>
      </c>
      <c r="I1176" s="2" t="s">
        <v>3292</v>
      </c>
      <c r="J1176" s="2">
        <v>0.03888888888888889</v>
      </c>
      <c r="K1176" s="1" t="s">
        <v>22</v>
      </c>
      <c r="L1176" s="1">
        <v>0.03888888888888889</v>
      </c>
      <c r="M1176" s="1" t="s">
        <v>22</v>
      </c>
      <c r="N1176" s="1" t="s">
        <v>31</v>
      </c>
      <c r="O1176" s="1" t="s">
        <v>22</v>
      </c>
      <c r="P1176" s="1" t="s">
        <v>484</v>
      </c>
      <c r="Q1176" s="1">
        <v>45071</v>
      </c>
      <c r="R1176" s="14">
        <v>5</v>
      </c>
      <c r="S1176" s="1" t="s">
        <v>22</v>
      </c>
      <c r="T1176" s="1" t="s">
        <v>22</v>
      </c>
      <c r="U1176" s="1" t="s">
        <v>22</v>
      </c>
    </row>
    <row r="1177" spans="1:21" x14ac:dyDescent="0.25">
      <c r="A1177" s="1" t="s">
        <v>3255</v>
      </c>
      <c r="B1177" s="2" t="s">
        <v>308</v>
      </c>
      <c r="C1177" s="1" t="s">
        <v>309</v>
      </c>
      <c r="D1177" s="1" t="s">
        <v>3293</v>
      </c>
      <c r="E1177" s="1" t="s">
        <v>37</v>
      </c>
      <c r="F1177" s="1">
        <v>45071</v>
      </c>
      <c r="G1177" s="14" t="s">
        <v>38</v>
      </c>
      <c r="H1177" t="s">
        <v>3294</v>
      </c>
      <c r="I1177" s="2" t="s">
        <v>3295</v>
      </c>
      <c r="J1177" s="2">
        <v>0.03888888888888889</v>
      </c>
      <c r="K1177" s="1">
        <v>0.03125</v>
      </c>
      <c r="L1177" s="1">
        <v>0.07013888888888889</v>
      </c>
      <c r="M1177" s="1" t="s">
        <v>22</v>
      </c>
      <c r="N1177" s="1" t="s">
        <v>31</v>
      </c>
      <c r="O1177" s="1" t="s">
        <v>32</v>
      </c>
      <c r="P1177" s="1" t="s">
        <v>488</v>
      </c>
      <c r="Q1177" s="1">
        <v>45071</v>
      </c>
      <c r="R1177" s="14">
        <v>5</v>
      </c>
      <c r="S1177" s="1" t="s">
        <v>22</v>
      </c>
      <c r="T1177" s="1" t="s">
        <v>22</v>
      </c>
      <c r="U1177" s="1" t="s">
        <v>22</v>
      </c>
    </row>
    <row r="1178" spans="1:21" x14ac:dyDescent="0.25">
      <c r="A1178" s="1" t="s">
        <v>3255</v>
      </c>
      <c r="B1178" s="2" t="s">
        <v>3296</v>
      </c>
      <c r="C1178" s="1" t="s">
        <v>309</v>
      </c>
      <c r="D1178" s="1" t="s">
        <v>3297</v>
      </c>
      <c r="E1178" s="1" t="s">
        <v>37</v>
      </c>
      <c r="F1178" s="1">
        <v>45071</v>
      </c>
      <c r="G1178" s="14" t="s">
        <v>28</v>
      </c>
      <c r="H1178" t="s">
        <v>3298</v>
      </c>
      <c r="I1178" s="2" t="s">
        <v>3299</v>
      </c>
      <c r="J1178" s="2">
        <v>0.03125</v>
      </c>
      <c r="K1178" s="1" t="s">
        <v>22</v>
      </c>
      <c r="L1178" s="1">
        <v>0.03125</v>
      </c>
      <c r="M1178" s="1" t="s">
        <v>22</v>
      </c>
      <c r="N1178" s="1" t="s">
        <v>53</v>
      </c>
      <c r="O1178" s="1" t="s">
        <v>22</v>
      </c>
      <c r="P1178" s="1" t="s">
        <v>488</v>
      </c>
      <c r="Q1178" s="1">
        <v>45071</v>
      </c>
      <c r="R1178" s="14">
        <v>5</v>
      </c>
      <c r="S1178" s="1" t="s">
        <v>22</v>
      </c>
      <c r="T1178" s="1" t="s">
        <v>22</v>
      </c>
      <c r="U1178" s="1" t="s">
        <v>22</v>
      </c>
    </row>
    <row r="1179" spans="1:21" x14ac:dyDescent="0.25">
      <c r="A1179" s="1" t="s">
        <v>3255</v>
      </c>
      <c r="B1179" s="2" t="s">
        <v>113</v>
      </c>
      <c r="C1179" s="1" t="s">
        <v>25</v>
      </c>
      <c r="D1179" s="1" t="s">
        <v>3300</v>
      </c>
      <c r="E1179" s="1" t="s">
        <v>37</v>
      </c>
      <c r="F1179" s="1">
        <v>45072</v>
      </c>
      <c r="G1179" s="14" t="s">
        <v>353</v>
      </c>
      <c r="H1179" t="s">
        <v>3301</v>
      </c>
      <c r="I1179" s="2" t="s">
        <v>3302</v>
      </c>
      <c r="J1179" s="2">
        <v>0.013888888888888888</v>
      </c>
      <c r="K1179" s="1">
        <v>0.017361111111111112</v>
      </c>
      <c r="L1179" s="1">
        <v>0.03125</v>
      </c>
      <c r="M1179" s="1" t="s">
        <v>22</v>
      </c>
      <c r="N1179" s="1" t="s">
        <v>32</v>
      </c>
      <c r="O1179" s="1" t="s">
        <v>483</v>
      </c>
      <c r="P1179" s="1" t="s">
        <v>484</v>
      </c>
      <c r="Q1179" s="1">
        <v>45072</v>
      </c>
      <c r="R1179" s="14">
        <v>5</v>
      </c>
      <c r="S1179" s="1" t="s">
        <v>22</v>
      </c>
      <c r="T1179" s="1" t="s">
        <v>22</v>
      </c>
      <c r="U1179" s="1" t="s">
        <v>22</v>
      </c>
    </row>
    <row r="1180" spans="1:21" x14ac:dyDescent="0.25">
      <c r="A1180" s="1" t="s">
        <v>3255</v>
      </c>
      <c r="B1180" s="2" t="s">
        <v>43</v>
      </c>
      <c r="C1180" s="1" t="s">
        <v>44</v>
      </c>
      <c r="D1180" s="1" t="s">
        <v>3303</v>
      </c>
      <c r="E1180" s="1" t="s">
        <v>37</v>
      </c>
      <c r="F1180" s="1">
        <v>45072</v>
      </c>
      <c r="G1180" s="14" t="s">
        <v>28</v>
      </c>
      <c r="H1180" t="s">
        <v>3304</v>
      </c>
      <c r="I1180" s="2" t="s">
        <v>3305</v>
      </c>
      <c r="J1180" s="2">
        <v>0.034722222222222224</v>
      </c>
      <c r="K1180" s="1">
        <v>0.052083333333333336</v>
      </c>
      <c r="L1180" s="1">
        <v>0.08680555555555555</v>
      </c>
      <c r="M1180" s="1" t="s">
        <v>22</v>
      </c>
      <c r="N1180" s="1" t="s">
        <v>31</v>
      </c>
      <c r="O1180" s="1" t="s">
        <v>483</v>
      </c>
      <c r="P1180" s="1" t="s">
        <v>484</v>
      </c>
      <c r="Q1180" s="1">
        <v>45072</v>
      </c>
      <c r="R1180" s="14">
        <v>5</v>
      </c>
      <c r="S1180" s="1" t="s">
        <v>22</v>
      </c>
      <c r="T1180" s="1" t="s">
        <v>22</v>
      </c>
      <c r="U1180" s="1" t="s">
        <v>22</v>
      </c>
    </row>
    <row r="1181" spans="1:21" x14ac:dyDescent="0.25">
      <c r="A1181" s="1" t="s">
        <v>3255</v>
      </c>
      <c r="B1181" s="2" t="s">
        <v>283</v>
      </c>
      <c r="C1181" s="1" t="s">
        <v>25</v>
      </c>
      <c r="D1181" s="1" t="s">
        <v>3306</v>
      </c>
      <c r="E1181" s="1" t="s">
        <v>37</v>
      </c>
      <c r="F1181" s="1">
        <v>45075</v>
      </c>
      <c r="G1181" s="14" t="s">
        <v>38</v>
      </c>
      <c r="H1181" t="s">
        <v>3307</v>
      </c>
      <c r="I1181" s="2" t="s">
        <v>3308</v>
      </c>
      <c r="J1181" s="2">
        <v>0.013888888888888888</v>
      </c>
      <c r="K1181" s="1">
        <v>0.020833333333333332</v>
      </c>
      <c r="L1181" s="1">
        <v>0.034722222222222224</v>
      </c>
      <c r="M1181" s="1" t="s">
        <v>22</v>
      </c>
      <c r="N1181" s="1" t="s">
        <v>31</v>
      </c>
      <c r="O1181" s="1" t="s">
        <v>483</v>
      </c>
      <c r="P1181" s="1" t="s">
        <v>488</v>
      </c>
      <c r="Q1181" s="1">
        <v>45075</v>
      </c>
      <c r="R1181" s="14">
        <v>5</v>
      </c>
      <c r="S1181" s="1" t="s">
        <v>22</v>
      </c>
      <c r="T1181" s="1" t="s">
        <v>22</v>
      </c>
      <c r="U1181" s="1" t="s">
        <v>22</v>
      </c>
    </row>
    <row r="1182" spans="1:21" x14ac:dyDescent="0.25">
      <c r="A1182" s="1" t="s">
        <v>3255</v>
      </c>
      <c r="B1182" s="2" t="s">
        <v>667</v>
      </c>
      <c r="C1182" s="1" t="s">
        <v>668</v>
      </c>
      <c r="D1182" s="1" t="s">
        <v>3309</v>
      </c>
      <c r="E1182" s="1" t="s">
        <v>37</v>
      </c>
      <c r="F1182" s="1">
        <v>45075</v>
      </c>
      <c r="G1182" s="14" t="s">
        <v>74</v>
      </c>
      <c r="H1182" t="s">
        <v>3310</v>
      </c>
      <c r="I1182" s="2" t="s">
        <v>3311</v>
      </c>
      <c r="J1182" s="2">
        <v>0.013888888888888888</v>
      </c>
      <c r="K1182" s="1">
        <v>0.03125</v>
      </c>
      <c r="L1182" s="1">
        <v>0.04513888888888889</v>
      </c>
      <c r="M1182" s="1" t="s">
        <v>22</v>
      </c>
      <c r="N1182" s="1" t="s">
        <v>31</v>
      </c>
      <c r="O1182" s="1" t="s">
        <v>483</v>
      </c>
      <c r="P1182" s="1" t="s">
        <v>488</v>
      </c>
      <c r="Q1182" s="1">
        <v>45075</v>
      </c>
      <c r="R1182" s="14">
        <v>5</v>
      </c>
      <c r="S1182" s="1" t="s">
        <v>22</v>
      </c>
      <c r="T1182" s="1" t="s">
        <v>22</v>
      </c>
      <c r="U1182" s="1" t="s">
        <v>22</v>
      </c>
    </row>
    <row r="1183" spans="1:21" x14ac:dyDescent="0.25">
      <c r="A1183" s="1" t="s">
        <v>3255</v>
      </c>
      <c r="B1183" s="2" t="s">
        <v>43</v>
      </c>
      <c r="C1183" s="1" t="s">
        <v>44</v>
      </c>
      <c r="D1183" s="1" t="s">
        <v>3303</v>
      </c>
      <c r="E1183" s="1" t="s">
        <v>37</v>
      </c>
      <c r="F1183" s="1">
        <v>45077</v>
      </c>
      <c r="G1183" s="14" t="s">
        <v>28</v>
      </c>
      <c r="H1183" t="s">
        <v>3312</v>
      </c>
      <c r="I1183" s="2" t="s">
        <v>3313</v>
      </c>
      <c r="J1183" s="2">
        <v>0.0625</v>
      </c>
      <c r="K1183" s="1">
        <v>0.03819444444444444</v>
      </c>
      <c r="L1183" s="1">
        <v>0.10069444444444445</v>
      </c>
      <c r="M1183" s="1" t="s">
        <v>22</v>
      </c>
      <c r="N1183" s="1" t="s">
        <v>31</v>
      </c>
      <c r="O1183" s="1" t="s">
        <v>483</v>
      </c>
      <c r="P1183" s="1" t="s">
        <v>484</v>
      </c>
      <c r="Q1183" s="1">
        <v>45077</v>
      </c>
      <c r="R1183" s="14">
        <v>5</v>
      </c>
      <c r="S1183" s="1" t="s">
        <v>22</v>
      </c>
      <c r="T1183" s="1" t="s">
        <v>22</v>
      </c>
      <c r="U1183" s="1" t="s">
        <v>22</v>
      </c>
    </row>
    <row r="1184" spans="1:21" x14ac:dyDescent="0.25">
      <c r="A1184" s="1" t="s">
        <v>3314</v>
      </c>
      <c r="B1184" s="2" t="s">
        <v>529</v>
      </c>
      <c r="C1184" s="1" t="s">
        <v>530</v>
      </c>
      <c r="D1184" s="1" t="s">
        <v>3315</v>
      </c>
      <c r="E1184" s="1" t="s">
        <v>37</v>
      </c>
      <c r="F1184" s="1">
        <v>45084</v>
      </c>
      <c r="G1184" s="14" t="s">
        <v>28</v>
      </c>
      <c r="H1184" t="s">
        <v>3316</v>
      </c>
      <c r="I1184" s="2" t="s">
        <v>3317</v>
      </c>
      <c r="J1184" s="2">
        <v>0.05902777777777778</v>
      </c>
      <c r="K1184" s="1">
        <v>0.0625</v>
      </c>
      <c r="L1184" s="1">
        <v>0.12152777777777779</v>
      </c>
      <c r="M1184" s="1" t="s">
        <v>22</v>
      </c>
      <c r="N1184" s="1" t="s">
        <v>41</v>
      </c>
      <c r="O1184" s="1" t="s">
        <v>32</v>
      </c>
      <c r="P1184" s="1" t="s">
        <v>484</v>
      </c>
      <c r="Q1184" s="1">
        <v>45084</v>
      </c>
      <c r="R1184" s="14">
        <v>5</v>
      </c>
      <c r="S1184" s="1" t="s">
        <v>22</v>
      </c>
      <c r="T1184" s="1" t="s">
        <v>22</v>
      </c>
      <c r="U1184" s="1" t="s">
        <v>22</v>
      </c>
    </row>
    <row r="1185" spans="1:21" x14ac:dyDescent="0.25">
      <c r="A1185" s="1" t="s">
        <v>3314</v>
      </c>
      <c r="B1185" s="2" t="s">
        <v>667</v>
      </c>
      <c r="C1185" s="1" t="s">
        <v>668</v>
      </c>
      <c r="D1185" s="1" t="s">
        <v>3318</v>
      </c>
      <c r="E1185" s="1" t="s">
        <v>37</v>
      </c>
      <c r="F1185" s="1">
        <v>45085</v>
      </c>
      <c r="G1185" s="14" t="s">
        <v>3319</v>
      </c>
      <c r="H1185" t="s">
        <v>3320</v>
      </c>
      <c r="I1185" s="2" t="s">
        <v>3321</v>
      </c>
      <c r="J1185" s="2">
        <v>0.013888888888888888</v>
      </c>
      <c r="K1185" s="1">
        <v>0.013888888888888888</v>
      </c>
      <c r="L1185" s="1">
        <v>0.027777777777777776</v>
      </c>
      <c r="M1185" s="1" t="s">
        <v>22</v>
      </c>
      <c r="N1185" s="1" t="s">
        <v>32</v>
      </c>
      <c r="O1185" s="1" t="s">
        <v>483</v>
      </c>
      <c r="P1185" s="1" t="s">
        <v>488</v>
      </c>
      <c r="Q1185" s="1">
        <v>45085</v>
      </c>
      <c r="R1185" s="14">
        <v>5</v>
      </c>
      <c r="S1185" s="1" t="s">
        <v>22</v>
      </c>
      <c r="T1185" s="1" t="s">
        <v>22</v>
      </c>
      <c r="U1185" s="1" t="s">
        <v>22</v>
      </c>
    </row>
    <row r="1186" spans="1:21" x14ac:dyDescent="0.25">
      <c r="A1186" s="1" t="s">
        <v>3314</v>
      </c>
      <c r="B1186" s="2" t="s">
        <v>263</v>
      </c>
      <c r="C1186" s="1" t="s">
        <v>25</v>
      </c>
      <c r="D1186" s="1" t="s">
        <v>3322</v>
      </c>
      <c r="E1186" s="1" t="s">
        <v>27</v>
      </c>
      <c r="F1186" s="1">
        <v>45092</v>
      </c>
      <c r="G1186" s="14" t="s">
        <v>28</v>
      </c>
      <c r="H1186" t="s">
        <v>3323</v>
      </c>
      <c r="I1186" s="2" t="s">
        <v>3324</v>
      </c>
      <c r="J1186" s="2">
        <v>0.05555555555555555</v>
      </c>
      <c r="K1186" s="1">
        <v>0.052083333333333336</v>
      </c>
      <c r="L1186" s="1">
        <v>0.1076388888888889</v>
      </c>
      <c r="M1186" s="1" t="s">
        <v>22</v>
      </c>
      <c r="N1186" s="1" t="s">
        <v>32</v>
      </c>
      <c r="O1186" s="1" t="s">
        <v>483</v>
      </c>
      <c r="P1186" s="1" t="s">
        <v>42</v>
      </c>
      <c r="Q1186" s="1">
        <v>45092</v>
      </c>
      <c r="R1186" s="14">
        <v>5</v>
      </c>
      <c r="S1186" s="1" t="s">
        <v>22</v>
      </c>
      <c r="T1186" s="1" t="s">
        <v>22</v>
      </c>
      <c r="U1186" s="1" t="s">
        <v>22</v>
      </c>
    </row>
    <row r="1187" spans="1:21" x14ac:dyDescent="0.25">
      <c r="A1187" s="1" t="s">
        <v>3314</v>
      </c>
      <c r="B1187" s="2" t="s">
        <v>525</v>
      </c>
      <c r="C1187" s="1" t="s">
        <v>25</v>
      </c>
      <c r="D1187" s="1" t="s">
        <v>3325</v>
      </c>
      <c r="E1187" s="1" t="s">
        <v>37</v>
      </c>
      <c r="F1187" s="1">
        <v>45097</v>
      </c>
      <c r="G1187" s="14" t="s">
        <v>28</v>
      </c>
      <c r="H1187" t="s">
        <v>3326</v>
      </c>
      <c r="I1187" s="2" t="s">
        <v>3327</v>
      </c>
      <c r="J1187" s="2">
        <v>0.041666666666666664</v>
      </c>
      <c r="K1187" s="1">
        <v>0.034722222222222224</v>
      </c>
      <c r="L1187" s="1">
        <v>0.0763888888888889</v>
      </c>
      <c r="M1187" s="1" t="s">
        <v>22</v>
      </c>
      <c r="N1187" s="1" t="s">
        <v>41</v>
      </c>
      <c r="O1187" s="1" t="s">
        <v>32</v>
      </c>
      <c r="P1187" s="1" t="s">
        <v>484</v>
      </c>
      <c r="Q1187" s="1">
        <v>45097</v>
      </c>
      <c r="R1187" s="14">
        <v>5</v>
      </c>
      <c r="S1187" s="1" t="s">
        <v>22</v>
      </c>
      <c r="T1187" s="1" t="s">
        <v>22</v>
      </c>
      <c r="U1187" s="1" t="s">
        <v>22</v>
      </c>
    </row>
    <row r="1188" spans="1:21" x14ac:dyDescent="0.25">
      <c r="A1188" s="1" t="s">
        <v>3314</v>
      </c>
      <c r="B1188" s="2" t="s">
        <v>258</v>
      </c>
      <c r="C1188" s="1" t="s">
        <v>25</v>
      </c>
      <c r="D1188" s="1" t="s">
        <v>3328</v>
      </c>
      <c r="E1188" s="1" t="s">
        <v>27</v>
      </c>
      <c r="F1188" s="1">
        <v>45098</v>
      </c>
      <c r="G1188" s="14" t="s">
        <v>74</v>
      </c>
      <c r="H1188" t="s">
        <v>3329</v>
      </c>
      <c r="I1188" s="2" t="s">
        <v>3330</v>
      </c>
      <c r="J1188" s="2">
        <v>0.05555555555555555</v>
      </c>
      <c r="K1188" s="1">
        <v>0.0798611111111111</v>
      </c>
      <c r="L1188" s="1">
        <v>0.13541666666666666</v>
      </c>
      <c r="M1188" s="1" t="s">
        <v>22</v>
      </c>
      <c r="N1188" s="1" t="s">
        <v>41</v>
      </c>
      <c r="O1188" s="1" t="s">
        <v>483</v>
      </c>
      <c r="P1188" s="1" t="s">
        <v>488</v>
      </c>
      <c r="Q1188" s="1">
        <v>45098</v>
      </c>
      <c r="R1188" s="14">
        <v>5</v>
      </c>
      <c r="S1188" s="1" t="s">
        <v>22</v>
      </c>
      <c r="T1188" s="1" t="s">
        <v>22</v>
      </c>
      <c r="U1188" s="1" t="s">
        <v>22</v>
      </c>
    </row>
    <row r="1189" spans="1:21" x14ac:dyDescent="0.25">
      <c r="A1189" s="1" t="s">
        <v>3314</v>
      </c>
      <c r="B1189" s="2" t="s">
        <v>281</v>
      </c>
      <c r="C1189" s="1" t="s">
        <v>186</v>
      </c>
      <c r="D1189" s="1" t="s">
        <v>3331</v>
      </c>
      <c r="E1189" s="1" t="s">
        <v>713</v>
      </c>
      <c r="F1189" s="1">
        <v>45097</v>
      </c>
      <c r="G1189" s="14" t="s">
        <v>38</v>
      </c>
      <c r="H1189" t="s">
        <v>3332</v>
      </c>
      <c r="I1189" s="2" t="s">
        <v>3333</v>
      </c>
      <c r="J1189" s="2">
        <v>0.05555555555555555</v>
      </c>
      <c r="K1189" s="1">
        <v>0.04861111111111111</v>
      </c>
      <c r="L1189" s="1">
        <v>0.10416666666666666</v>
      </c>
      <c r="M1189" s="1" t="s">
        <v>22</v>
      </c>
      <c r="N1189" s="1" t="s">
        <v>53</v>
      </c>
      <c r="O1189" s="1" t="s">
        <v>483</v>
      </c>
      <c r="P1189" s="1" t="s">
        <v>488</v>
      </c>
      <c r="Q1189" s="1">
        <v>45097</v>
      </c>
      <c r="R1189" s="14">
        <v>5</v>
      </c>
      <c r="S1189" s="1" t="s">
        <v>22</v>
      </c>
      <c r="T1189" s="1" t="s">
        <v>22</v>
      </c>
      <c r="U1189" s="1" t="s">
        <v>22</v>
      </c>
    </row>
    <row r="1190" spans="1:21" x14ac:dyDescent="0.25">
      <c r="A1190" s="1" t="s">
        <v>3314</v>
      </c>
      <c r="B1190" s="2" t="s">
        <v>545</v>
      </c>
      <c r="C1190" s="1" t="s">
        <v>963</v>
      </c>
      <c r="D1190" s="1" t="s">
        <v>3334</v>
      </c>
      <c r="E1190" s="1" t="s">
        <v>37</v>
      </c>
      <c r="F1190" s="1">
        <v>45099</v>
      </c>
      <c r="G1190" s="14" t="s">
        <v>74</v>
      </c>
      <c r="H1190" t="s">
        <v>3335</v>
      </c>
      <c r="I1190" s="2" t="s">
        <v>3336</v>
      </c>
      <c r="J1190" s="2">
        <v>0.017361111111111112</v>
      </c>
      <c r="K1190" s="1">
        <v>0.024305555555555556</v>
      </c>
      <c r="L1190" s="1">
        <v>0.04166666666666667</v>
      </c>
      <c r="M1190" s="1" t="s">
        <v>22</v>
      </c>
      <c r="N1190" s="1" t="s">
        <v>32</v>
      </c>
      <c r="O1190" s="1" t="s">
        <v>483</v>
      </c>
      <c r="P1190" s="1" t="s">
        <v>484</v>
      </c>
      <c r="Q1190" s="1">
        <v>45099</v>
      </c>
      <c r="R1190" s="14">
        <v>5</v>
      </c>
      <c r="S1190" s="1" t="s">
        <v>22</v>
      </c>
      <c r="T1190" s="1" t="s">
        <v>22</v>
      </c>
      <c r="U1190" s="1" t="s">
        <v>22</v>
      </c>
    </row>
    <row r="1191" spans="1:21" x14ac:dyDescent="0.25">
      <c r="A1191" s="1" t="s">
        <v>3314</v>
      </c>
      <c r="B1191" s="2" t="s">
        <v>113</v>
      </c>
      <c r="C1191" s="1" t="s">
        <v>25</v>
      </c>
      <c r="D1191" s="1" t="s">
        <v>3337</v>
      </c>
      <c r="E1191" s="1" t="s">
        <v>37</v>
      </c>
      <c r="F1191" s="1">
        <v>45099</v>
      </c>
      <c r="G1191" s="14" t="s">
        <v>38</v>
      </c>
      <c r="H1191" t="s">
        <v>3338</v>
      </c>
      <c r="I1191" s="2" t="s">
        <v>3339</v>
      </c>
      <c r="J1191" s="2">
        <v>0.020833333333333332</v>
      </c>
      <c r="K1191" s="1">
        <v>0.05902777777777778</v>
      </c>
      <c r="L1191" s="1">
        <v>0.07986111111111112</v>
      </c>
      <c r="M1191" s="1" t="s">
        <v>22</v>
      </c>
      <c r="N1191" s="1" t="s">
        <v>32</v>
      </c>
      <c r="O1191" s="1" t="s">
        <v>41</v>
      </c>
      <c r="P1191" s="1" t="s">
        <v>484</v>
      </c>
      <c r="Q1191" s="1">
        <v>45099</v>
      </c>
      <c r="R1191" s="14">
        <v>5</v>
      </c>
      <c r="S1191" s="1" t="s">
        <v>22</v>
      </c>
      <c r="T1191" s="1" t="s">
        <v>22</v>
      </c>
      <c r="U1191" s="1" t="s">
        <v>22</v>
      </c>
    </row>
    <row r="1192" spans="1:21" x14ac:dyDescent="0.25">
      <c r="A1192" s="1" t="s">
        <v>3314</v>
      </c>
      <c r="B1192" s="2" t="s">
        <v>796</v>
      </c>
      <c r="C1192" s="1" t="s">
        <v>285</v>
      </c>
      <c r="D1192" s="1" t="s">
        <v>3340</v>
      </c>
      <c r="E1192" s="1" t="s">
        <v>27</v>
      </c>
      <c r="F1192" s="1">
        <v>45099</v>
      </c>
      <c r="G1192" s="14" t="s">
        <v>28</v>
      </c>
      <c r="H1192" t="s">
        <v>3341</v>
      </c>
      <c r="I1192" s="2" t="s">
        <v>3342</v>
      </c>
      <c r="J1192" s="2">
        <v>0.041666666666666664</v>
      </c>
      <c r="K1192" s="1">
        <v>0.0798611111111111</v>
      </c>
      <c r="L1192" s="1">
        <v>0.12152777777777776</v>
      </c>
      <c r="M1192" s="1" t="s">
        <v>22</v>
      </c>
      <c r="N1192" s="1" t="s">
        <v>41</v>
      </c>
      <c r="O1192" s="1" t="s">
        <v>32</v>
      </c>
      <c r="P1192" s="1" t="s">
        <v>484</v>
      </c>
      <c r="Q1192" s="1">
        <v>45099</v>
      </c>
      <c r="R1192" s="14">
        <v>5</v>
      </c>
      <c r="S1192" s="1" t="s">
        <v>22</v>
      </c>
      <c r="T1192" s="1" t="s">
        <v>22</v>
      </c>
      <c r="U1192" s="1" t="s">
        <v>22</v>
      </c>
    </row>
    <row r="1193" spans="1:21" x14ac:dyDescent="0.25">
      <c r="A1193" s="1" t="s">
        <v>3314</v>
      </c>
      <c r="B1193" s="2" t="s">
        <v>219</v>
      </c>
      <c r="C1193" s="1" t="s">
        <v>186</v>
      </c>
      <c r="D1193" s="1" t="s">
        <v>3228</v>
      </c>
      <c r="E1193" s="1" t="s">
        <v>37</v>
      </c>
      <c r="F1193" s="1">
        <v>45101</v>
      </c>
      <c r="G1193" s="14" t="s">
        <v>28</v>
      </c>
      <c r="H1193" t="s">
        <v>3343</v>
      </c>
      <c r="I1193" s="2" t="s">
        <v>3344</v>
      </c>
      <c r="J1193" s="2">
        <v>0.034722222222222224</v>
      </c>
      <c r="K1193" s="1">
        <v>0.041666666666666664</v>
      </c>
      <c r="L1193" s="1">
        <v>0.0763888888888889</v>
      </c>
      <c r="M1193" s="1" t="s">
        <v>22</v>
      </c>
      <c r="N1193" s="1" t="s">
        <v>32</v>
      </c>
      <c r="O1193" s="1" t="s">
        <v>483</v>
      </c>
      <c r="P1193" s="1" t="s">
        <v>488</v>
      </c>
      <c r="Q1193" s="1">
        <v>45101</v>
      </c>
      <c r="R1193" s="14">
        <v>5</v>
      </c>
      <c r="S1193" s="1" t="s">
        <v>22</v>
      </c>
      <c r="T1193" s="1" t="s">
        <v>22</v>
      </c>
      <c r="U1193" s="1" t="s">
        <v>22</v>
      </c>
    </row>
    <row r="1194" spans="1:21" x14ac:dyDescent="0.25">
      <c r="A1194" s="1" t="s">
        <v>3314</v>
      </c>
      <c r="B1194" s="2" t="s">
        <v>479</v>
      </c>
      <c r="C1194" s="1" t="s">
        <v>25</v>
      </c>
      <c r="D1194" s="1" t="s">
        <v>3345</v>
      </c>
      <c r="E1194" s="1" t="s">
        <v>713</v>
      </c>
      <c r="F1194" s="1">
        <v>45101</v>
      </c>
      <c r="G1194" s="14" t="s">
        <v>670</v>
      </c>
      <c r="H1194" t="s">
        <v>3346</v>
      </c>
      <c r="I1194" s="2" t="s">
        <v>3347</v>
      </c>
      <c r="J1194" s="2">
        <v>0.013888888888888888</v>
      </c>
      <c r="K1194" s="1">
        <v>0.020833333333333332</v>
      </c>
      <c r="L1194" s="1">
        <v>0.034722222222222224</v>
      </c>
      <c r="M1194" s="1" t="s">
        <v>22</v>
      </c>
      <c r="N1194" s="1" t="s">
        <v>53</v>
      </c>
      <c r="O1194" s="1" t="s">
        <v>32</v>
      </c>
      <c r="P1194" s="1" t="s">
        <v>488</v>
      </c>
      <c r="Q1194" s="1">
        <v>45101</v>
      </c>
      <c r="R1194" s="14">
        <v>5</v>
      </c>
      <c r="S1194" s="1" t="s">
        <v>22</v>
      </c>
      <c r="T1194" s="1" t="s">
        <v>22</v>
      </c>
      <c r="U1194" s="1" t="s">
        <v>22</v>
      </c>
    </row>
    <row r="1195" spans="1:21" x14ac:dyDescent="0.25">
      <c r="A1195" s="1" t="s">
        <v>3314</v>
      </c>
      <c r="B1195" s="2" t="s">
        <v>281</v>
      </c>
      <c r="C1195" s="1" t="s">
        <v>186</v>
      </c>
      <c r="D1195" s="1" t="s">
        <v>3348</v>
      </c>
      <c r="E1195" s="1" t="s">
        <v>27</v>
      </c>
      <c r="F1195" s="1">
        <v>45104</v>
      </c>
      <c r="G1195" s="14" t="s">
        <v>507</v>
      </c>
      <c r="H1195" t="s">
        <v>3349</v>
      </c>
      <c r="I1195" s="2" t="s">
        <v>3350</v>
      </c>
      <c r="J1195" s="2">
        <v>0.013888888888888888</v>
      </c>
      <c r="K1195" s="1">
        <v>0.020833333333333332</v>
      </c>
      <c r="L1195" s="1">
        <v>0.034722222222222224</v>
      </c>
      <c r="M1195" s="1" t="s">
        <v>22</v>
      </c>
      <c r="N1195" s="1" t="s">
        <v>32</v>
      </c>
      <c r="O1195" s="1" t="s">
        <v>483</v>
      </c>
      <c r="P1195" s="1" t="s">
        <v>488</v>
      </c>
      <c r="Q1195" s="1">
        <v>45104</v>
      </c>
      <c r="R1195" s="14">
        <v>5</v>
      </c>
      <c r="S1195" s="1" t="s">
        <v>22</v>
      </c>
      <c r="T1195" s="1" t="s">
        <v>22</v>
      </c>
      <c r="U1195" s="1" t="s">
        <v>22</v>
      </c>
    </row>
    <row r="1196" spans="1:21" x14ac:dyDescent="0.25">
      <c r="A1196" s="1" t="s">
        <v>3314</v>
      </c>
      <c r="B1196" s="2" t="s">
        <v>35</v>
      </c>
      <c r="C1196" s="1" t="s">
        <v>25</v>
      </c>
      <c r="D1196" s="1" t="s">
        <v>3351</v>
      </c>
      <c r="E1196" s="1" t="s">
        <v>27</v>
      </c>
      <c r="F1196" s="1">
        <v>45105</v>
      </c>
      <c r="G1196" s="14" t="s">
        <v>38</v>
      </c>
      <c r="H1196" t="s">
        <v>3352</v>
      </c>
      <c r="I1196" s="2" t="s">
        <v>3353</v>
      </c>
      <c r="J1196" s="2">
        <v>0.020833333333333332</v>
      </c>
      <c r="K1196" s="1" t="s">
        <v>22</v>
      </c>
      <c r="L1196" s="1">
        <v>0.020833333333333332</v>
      </c>
      <c r="M1196" s="1" t="s">
        <v>22</v>
      </c>
      <c r="N1196" s="1" t="s">
        <v>2358</v>
      </c>
      <c r="O1196" s="1" t="s">
        <v>22</v>
      </c>
      <c r="P1196" s="1" t="s">
        <v>42</v>
      </c>
      <c r="Q1196" s="1">
        <v>45105</v>
      </c>
      <c r="R1196" s="14">
        <v>5</v>
      </c>
      <c r="S1196" s="1" t="s">
        <v>22</v>
      </c>
      <c r="T1196" s="1" t="s">
        <v>22</v>
      </c>
      <c r="U1196" s="1" t="s">
        <v>22</v>
      </c>
    </row>
    <row r="1197" spans="1:21" x14ac:dyDescent="0.25">
      <c r="A1197" s="1" t="s">
        <v>3314</v>
      </c>
      <c r="B1197" s="2" t="s">
        <v>489</v>
      </c>
      <c r="C1197" s="1" t="s">
        <v>490</v>
      </c>
      <c r="D1197" s="1" t="s">
        <v>3354</v>
      </c>
      <c r="E1197" s="1" t="s">
        <v>27</v>
      </c>
      <c r="F1197" s="1">
        <v>45106</v>
      </c>
      <c r="G1197" s="14" t="s">
        <v>38</v>
      </c>
      <c r="H1197" t="s">
        <v>3355</v>
      </c>
      <c r="I1197" s="2" t="s">
        <v>3356</v>
      </c>
      <c r="J1197" s="2">
        <v>0.034722222222222224</v>
      </c>
      <c r="K1197" s="1">
        <v>0.020833333333333332</v>
      </c>
      <c r="L1197" s="1">
        <v>0.05555555555555555</v>
      </c>
      <c r="M1197" s="1" t="s">
        <v>22</v>
      </c>
      <c r="N1197" s="1" t="s">
        <v>31</v>
      </c>
      <c r="O1197" s="1" t="s">
        <v>2358</v>
      </c>
      <c r="P1197" s="1" t="s">
        <v>42</v>
      </c>
      <c r="Q1197" s="1">
        <v>45106</v>
      </c>
      <c r="R1197" s="14">
        <v>5</v>
      </c>
      <c r="S1197" s="1" t="s">
        <v>22</v>
      </c>
      <c r="T1197" s="1" t="s">
        <v>22</v>
      </c>
      <c r="U1197" s="1" t="s">
        <v>22</v>
      </c>
    </row>
    <row r="1198" spans="1:21" x14ac:dyDescent="0.25">
      <c r="A1198" s="1" t="s">
        <v>3314</v>
      </c>
      <c r="B1198" s="2" t="s">
        <v>258</v>
      </c>
      <c r="C1198" s="1" t="s">
        <v>25</v>
      </c>
      <c r="D1198" s="1" t="s">
        <v>3357</v>
      </c>
      <c r="E1198" s="1" t="s">
        <v>27</v>
      </c>
      <c r="F1198" s="1">
        <v>45107</v>
      </c>
      <c r="G1198" s="14" t="s">
        <v>507</v>
      </c>
      <c r="H1198" t="s">
        <v>3358</v>
      </c>
      <c r="I1198" s="2" t="s">
        <v>3358</v>
      </c>
      <c r="J1198" s="2">
        <v>0.03125</v>
      </c>
      <c r="K1198" s="1">
        <v>0.06944444444444443</v>
      </c>
      <c r="L1198" s="1">
        <v>0.10069444444444443</v>
      </c>
      <c r="M1198" s="1" t="s">
        <v>22</v>
      </c>
      <c r="N1198" s="1" t="s">
        <v>31</v>
      </c>
      <c r="O1198" s="1" t="s">
        <v>483</v>
      </c>
      <c r="P1198" s="1" t="s">
        <v>42</v>
      </c>
      <c r="Q1198" s="1">
        <v>45107</v>
      </c>
      <c r="R1198" s="14">
        <v>5</v>
      </c>
      <c r="S1198" s="1" t="s">
        <v>22</v>
      </c>
      <c r="T1198" s="1" t="s">
        <v>22</v>
      </c>
      <c r="U1198" s="1" t="s">
        <v>22</v>
      </c>
    </row>
    <row r="1199" spans="1:21" x14ac:dyDescent="0.25">
      <c r="A1199" s="1" t="s">
        <v>3314</v>
      </c>
      <c r="B1199" s="2" t="s">
        <v>529</v>
      </c>
      <c r="C1199" s="1" t="s">
        <v>530</v>
      </c>
      <c r="D1199" s="1" t="s">
        <v>3359</v>
      </c>
      <c r="E1199" s="1" t="s">
        <v>37</v>
      </c>
      <c r="F1199" s="1">
        <v>45107</v>
      </c>
      <c r="G1199" s="14" t="s">
        <v>28</v>
      </c>
      <c r="H1199" t="s">
        <v>3360</v>
      </c>
      <c r="I1199" s="2" t="s">
        <v>3361</v>
      </c>
      <c r="J1199" s="2">
        <v>0.08541666666666665</v>
      </c>
      <c r="K1199" s="1">
        <v>0.05555555555555555</v>
      </c>
      <c r="L1199" s="1">
        <v>0.14097222222222222</v>
      </c>
      <c r="M1199" s="1" t="s">
        <v>22</v>
      </c>
      <c r="N1199" s="1" t="s">
        <v>41</v>
      </c>
      <c r="O1199" s="1" t="s">
        <v>32</v>
      </c>
      <c r="P1199" s="1" t="s">
        <v>484</v>
      </c>
      <c r="Q1199" s="1">
        <v>45107</v>
      </c>
      <c r="R1199" s="14">
        <v>5</v>
      </c>
      <c r="S1199" s="1" t="s">
        <v>22</v>
      </c>
      <c r="T1199" s="1" t="s">
        <v>22</v>
      </c>
      <c r="U1199" s="1" t="s">
        <v>22</v>
      </c>
    </row>
    <row r="1200" spans="1:21" x14ac:dyDescent="0.25">
      <c r="A1200" s="1" t="s">
        <v>3362</v>
      </c>
      <c r="B1200" s="2" t="s">
        <v>667</v>
      </c>
      <c r="C1200" s="1" t="s">
        <v>668</v>
      </c>
      <c r="D1200" s="1" t="s">
        <v>3363</v>
      </c>
      <c r="E1200" s="1" t="s">
        <v>37</v>
      </c>
      <c r="F1200" s="1">
        <v>45110</v>
      </c>
      <c r="G1200" s="14" t="s">
        <v>507</v>
      </c>
      <c r="H1200" t="s">
        <v>3364</v>
      </c>
      <c r="I1200" s="2" t="s">
        <v>3365</v>
      </c>
      <c r="J1200" s="2">
        <v>0.013888888888888888</v>
      </c>
      <c r="K1200" s="1">
        <v>0.024305555555555556</v>
      </c>
      <c r="L1200" s="1">
        <v>0.03819444444444445</v>
      </c>
      <c r="M1200" s="1" t="s">
        <v>22</v>
      </c>
      <c r="N1200" s="1" t="s">
        <v>32</v>
      </c>
      <c r="O1200" s="1" t="s">
        <v>483</v>
      </c>
      <c r="P1200" s="1" t="s">
        <v>42</v>
      </c>
      <c r="Q1200" s="1">
        <v>45110</v>
      </c>
      <c r="R1200" s="14">
        <v>5</v>
      </c>
      <c r="S1200" s="1" t="s">
        <v>22</v>
      </c>
      <c r="T1200" s="1" t="s">
        <v>22</v>
      </c>
      <c r="U1200" s="1" t="s">
        <v>22</v>
      </c>
    </row>
    <row r="1201" spans="1:21" x14ac:dyDescent="0.25">
      <c r="A1201" s="1" t="s">
        <v>3362</v>
      </c>
      <c r="B1201" s="2" t="s">
        <v>35</v>
      </c>
      <c r="C1201" s="1" t="s">
        <v>25</v>
      </c>
      <c r="D1201" s="1" t="s">
        <v>3366</v>
      </c>
      <c r="E1201" s="1" t="s">
        <v>27</v>
      </c>
      <c r="F1201" s="1">
        <v>45118</v>
      </c>
      <c r="G1201" s="14" t="s">
        <v>507</v>
      </c>
      <c r="H1201" t="s">
        <v>3367</v>
      </c>
      <c r="I1201" s="2" t="s">
        <v>3368</v>
      </c>
      <c r="J1201" s="2">
        <v>0.013888888888888888</v>
      </c>
      <c r="K1201" s="1">
        <v>0.020833333333333332</v>
      </c>
      <c r="L1201" s="1">
        <v>0.034722222222222224</v>
      </c>
      <c r="M1201" s="1" t="s">
        <v>22</v>
      </c>
      <c r="N1201" s="1" t="s">
        <v>32</v>
      </c>
      <c r="O1201" s="1" t="s">
        <v>483</v>
      </c>
      <c r="P1201" s="1" t="s">
        <v>42</v>
      </c>
      <c r="Q1201" s="1">
        <v>45118</v>
      </c>
      <c r="R1201" s="14">
        <v>5</v>
      </c>
      <c r="S1201" s="1" t="s">
        <v>22</v>
      </c>
      <c r="T1201" s="1" t="s">
        <v>22</v>
      </c>
      <c r="U1201" s="1" t="s">
        <v>22</v>
      </c>
    </row>
    <row r="1202" spans="1:21" x14ac:dyDescent="0.25">
      <c r="A1202" s="1" t="s">
        <v>3362</v>
      </c>
      <c r="B1202" s="2" t="s">
        <v>796</v>
      </c>
      <c r="C1202" s="1" t="s">
        <v>285</v>
      </c>
      <c r="D1202" s="1" t="s">
        <v>3369</v>
      </c>
      <c r="E1202" s="1" t="s">
        <v>37</v>
      </c>
      <c r="F1202" s="1">
        <v>45119</v>
      </c>
      <c r="G1202" s="14" t="s">
        <v>353</v>
      </c>
      <c r="H1202" t="s">
        <v>3370</v>
      </c>
      <c r="I1202" s="2" t="s">
        <v>3371</v>
      </c>
      <c r="J1202" s="2">
        <v>0.010416666666666666</v>
      </c>
      <c r="K1202" s="1">
        <v>0.017361111111111112</v>
      </c>
      <c r="L1202" s="1">
        <v>0.027777777777777776</v>
      </c>
      <c r="M1202" s="1" t="s">
        <v>22</v>
      </c>
      <c r="N1202" s="1" t="s">
        <v>31</v>
      </c>
      <c r="O1202" s="1" t="s">
        <v>483</v>
      </c>
      <c r="P1202" s="1" t="s">
        <v>42</v>
      </c>
      <c r="Q1202" s="1">
        <v>45119</v>
      </c>
      <c r="R1202" s="14">
        <v>5</v>
      </c>
      <c r="S1202" s="1" t="s">
        <v>22</v>
      </c>
      <c r="T1202" s="1" t="s">
        <v>22</v>
      </c>
      <c r="U1202" s="1" t="s">
        <v>22</v>
      </c>
    </row>
    <row r="1203" spans="1:21" x14ac:dyDescent="0.25">
      <c r="A1203" s="1" t="s">
        <v>3362</v>
      </c>
      <c r="B1203" s="2" t="s">
        <v>35</v>
      </c>
      <c r="C1203" s="1" t="s">
        <v>25</v>
      </c>
      <c r="D1203" s="1" t="s">
        <v>3372</v>
      </c>
      <c r="E1203" s="1" t="s">
        <v>27</v>
      </c>
      <c r="F1203" s="1">
        <v>45119</v>
      </c>
      <c r="G1203" s="14" t="s">
        <v>74</v>
      </c>
      <c r="H1203" t="s">
        <v>3373</v>
      </c>
      <c r="I1203" s="2" t="s">
        <v>3374</v>
      </c>
      <c r="J1203" s="2">
        <v>0.14583333333333334</v>
      </c>
      <c r="K1203" s="1">
        <v>0.125</v>
      </c>
      <c r="L1203" s="1">
        <v>0.27083333333333337</v>
      </c>
      <c r="M1203" s="1" t="s">
        <v>22</v>
      </c>
      <c r="N1203" s="1" t="s">
        <v>32</v>
      </c>
      <c r="O1203" s="1" t="s">
        <v>483</v>
      </c>
      <c r="P1203" s="1" t="s">
        <v>42</v>
      </c>
      <c r="Q1203" s="1">
        <v>45119</v>
      </c>
      <c r="R1203" s="14">
        <v>5</v>
      </c>
      <c r="S1203" s="1" t="s">
        <v>22</v>
      </c>
      <c r="T1203" s="1" t="s">
        <v>22</v>
      </c>
      <c r="U1203" s="1" t="s">
        <v>22</v>
      </c>
    </row>
    <row r="1204" spans="1:21" x14ac:dyDescent="0.25">
      <c r="A1204" s="1" t="s">
        <v>3362</v>
      </c>
      <c r="B1204" s="2" t="s">
        <v>163</v>
      </c>
      <c r="C1204" s="1" t="s">
        <v>25</v>
      </c>
      <c r="D1204" s="1" t="s">
        <v>3375</v>
      </c>
      <c r="E1204" s="1" t="s">
        <v>27</v>
      </c>
      <c r="F1204" s="1">
        <v>45120</v>
      </c>
      <c r="G1204" s="14" t="s">
        <v>2088</v>
      </c>
      <c r="H1204" t="s">
        <v>3376</v>
      </c>
      <c r="I1204" s="2" t="s">
        <v>3377</v>
      </c>
      <c r="J1204" s="2">
        <v>0.017361111111111112</v>
      </c>
      <c r="K1204" s="1">
        <v>0.034722222222222224</v>
      </c>
      <c r="L1204" s="1">
        <v>0.052083333333333336</v>
      </c>
      <c r="M1204" s="1" t="s">
        <v>22</v>
      </c>
      <c r="N1204" s="1" t="s">
        <v>32</v>
      </c>
      <c r="O1204" s="1" t="s">
        <v>41</v>
      </c>
      <c r="P1204" s="1" t="s">
        <v>488</v>
      </c>
      <c r="Q1204" s="1">
        <v>45120</v>
      </c>
      <c r="R1204" s="14">
        <v>5</v>
      </c>
      <c r="S1204" s="1" t="s">
        <v>22</v>
      </c>
      <c r="T1204" s="1" t="s">
        <v>22</v>
      </c>
      <c r="U1204" s="1" t="s">
        <v>22</v>
      </c>
    </row>
    <row r="1205" spans="1:21" x14ac:dyDescent="0.25">
      <c r="A1205" s="1" t="s">
        <v>3362</v>
      </c>
      <c r="B1205" s="2" t="s">
        <v>308</v>
      </c>
      <c r="C1205" s="1" t="s">
        <v>309</v>
      </c>
      <c r="D1205" s="1" t="s">
        <v>3378</v>
      </c>
      <c r="E1205" s="1" t="s">
        <v>37</v>
      </c>
      <c r="F1205" s="1">
        <v>45125</v>
      </c>
      <c r="G1205" s="14" t="s">
        <v>28</v>
      </c>
      <c r="H1205" t="s">
        <v>3379</v>
      </c>
      <c r="I1205" s="2" t="s">
        <v>3380</v>
      </c>
      <c r="J1205" s="2">
        <v>0.020833333333333332</v>
      </c>
      <c r="K1205" s="1">
        <v>0.03125</v>
      </c>
      <c r="L1205" s="1">
        <v>0.05208333333333333</v>
      </c>
      <c r="M1205" s="1" t="s">
        <v>22</v>
      </c>
      <c r="N1205" s="1" t="s">
        <v>32</v>
      </c>
      <c r="O1205" s="1" t="s">
        <v>483</v>
      </c>
      <c r="P1205" s="1" t="s">
        <v>488</v>
      </c>
      <c r="Q1205" s="1">
        <v>45125</v>
      </c>
      <c r="R1205" s="14">
        <v>5</v>
      </c>
      <c r="S1205" s="1" t="s">
        <v>22</v>
      </c>
      <c r="T1205" s="1" t="s">
        <v>22</v>
      </c>
      <c r="U1205" s="1" t="s">
        <v>22</v>
      </c>
    </row>
    <row r="1206" spans="1:21" x14ac:dyDescent="0.25">
      <c r="A1206" s="1" t="s">
        <v>3362</v>
      </c>
      <c r="B1206" s="2" t="s">
        <v>219</v>
      </c>
      <c r="C1206" s="1" t="s">
        <v>186</v>
      </c>
      <c r="D1206" s="1" t="s">
        <v>3381</v>
      </c>
      <c r="E1206" s="1" t="s">
        <v>27</v>
      </c>
      <c r="F1206" s="1">
        <v>45126</v>
      </c>
      <c r="G1206" s="14" t="s">
        <v>28</v>
      </c>
      <c r="H1206" t="s">
        <v>3382</v>
      </c>
      <c r="I1206" s="2" t="s">
        <v>3383</v>
      </c>
      <c r="J1206" s="2">
        <v>0.034722222222222224</v>
      </c>
      <c r="K1206" s="1">
        <v>0.034722222222222224</v>
      </c>
      <c r="L1206" s="1">
        <v>0.06944444444444445</v>
      </c>
      <c r="M1206" s="1" t="s">
        <v>22</v>
      </c>
      <c r="N1206" s="1" t="s">
        <v>32</v>
      </c>
      <c r="O1206" s="1" t="s">
        <v>483</v>
      </c>
      <c r="P1206" s="1" t="s">
        <v>488</v>
      </c>
      <c r="Q1206" s="1">
        <v>45126</v>
      </c>
      <c r="R1206" s="14">
        <v>5</v>
      </c>
      <c r="S1206" s="1" t="s">
        <v>22</v>
      </c>
      <c r="T1206" s="1" t="s">
        <v>22</v>
      </c>
      <c r="U1206" s="1" t="s">
        <v>22</v>
      </c>
    </row>
    <row r="1207" spans="1:21" x14ac:dyDescent="0.25">
      <c r="A1207" s="1" t="s">
        <v>3362</v>
      </c>
      <c r="B1207" s="2" t="s">
        <v>286</v>
      </c>
      <c r="C1207" s="1" t="s">
        <v>287</v>
      </c>
      <c r="D1207" s="1" t="s">
        <v>3384</v>
      </c>
      <c r="E1207" s="1" t="s">
        <v>27</v>
      </c>
      <c r="F1207" s="1">
        <v>45128</v>
      </c>
      <c r="G1207" s="14" t="s">
        <v>38</v>
      </c>
      <c r="H1207" t="s">
        <v>3385</v>
      </c>
      <c r="I1207" s="2" t="s">
        <v>3386</v>
      </c>
      <c r="J1207" s="2">
        <v>0.020833333333333332</v>
      </c>
      <c r="K1207" s="1">
        <v>0.027777777777777776</v>
      </c>
      <c r="L1207" s="1">
        <v>0.048611111111111105</v>
      </c>
      <c r="M1207" s="1" t="s">
        <v>22</v>
      </c>
      <c r="N1207" s="1" t="s">
        <v>574</v>
      </c>
      <c r="O1207" s="1" t="s">
        <v>41</v>
      </c>
      <c r="P1207" s="1" t="s">
        <v>484</v>
      </c>
      <c r="Q1207" s="1">
        <v>45128</v>
      </c>
      <c r="R1207" s="14">
        <v>5</v>
      </c>
      <c r="S1207" s="1" t="s">
        <v>22</v>
      </c>
      <c r="T1207" s="1" t="s">
        <v>22</v>
      </c>
      <c r="U1207" s="1" t="s">
        <v>22</v>
      </c>
    </row>
    <row r="1208" spans="1:21" x14ac:dyDescent="0.25">
      <c r="A1208" s="1" t="s">
        <v>3362</v>
      </c>
      <c r="B1208" s="2" t="s">
        <v>2315</v>
      </c>
      <c r="C1208" s="1" t="s">
        <v>25</v>
      </c>
      <c r="D1208" s="1" t="s">
        <v>3387</v>
      </c>
      <c r="E1208" s="1" t="s">
        <v>37</v>
      </c>
      <c r="F1208" s="1">
        <v>45129</v>
      </c>
      <c r="G1208" s="14" t="s">
        <v>28</v>
      </c>
      <c r="H1208" t="s">
        <v>3388</v>
      </c>
      <c r="I1208" s="2" t="s">
        <v>3389</v>
      </c>
      <c r="J1208" s="2">
        <v>0.10416666666666667</v>
      </c>
      <c r="K1208" s="1">
        <v>0.09027777777777778</v>
      </c>
      <c r="L1208" s="1">
        <v>0.19444444444444445</v>
      </c>
      <c r="M1208" s="1" t="s">
        <v>22</v>
      </c>
      <c r="N1208" s="1" t="s">
        <v>31</v>
      </c>
      <c r="O1208" s="1" t="s">
        <v>483</v>
      </c>
      <c r="P1208" s="1" t="s">
        <v>484</v>
      </c>
      <c r="Q1208" s="1">
        <v>45131</v>
      </c>
      <c r="R1208" s="14">
        <v>5</v>
      </c>
      <c r="S1208" s="1" t="s">
        <v>22</v>
      </c>
      <c r="T1208" s="1" t="s">
        <v>22</v>
      </c>
      <c r="U1208" s="1" t="s">
        <v>22</v>
      </c>
    </row>
    <row r="1209" spans="1:21" x14ac:dyDescent="0.25">
      <c r="A1209" s="1" t="s">
        <v>3362</v>
      </c>
      <c r="B1209" s="2" t="s">
        <v>99</v>
      </c>
      <c r="C1209" s="1" t="s">
        <v>25</v>
      </c>
      <c r="D1209" s="1" t="s">
        <v>3390</v>
      </c>
      <c r="E1209" s="1" t="s">
        <v>713</v>
      </c>
      <c r="F1209" s="1">
        <v>45133</v>
      </c>
      <c r="G1209" s="14" t="s">
        <v>28</v>
      </c>
      <c r="H1209" t="s">
        <v>3391</v>
      </c>
      <c r="I1209" s="2" t="s">
        <v>3392</v>
      </c>
      <c r="J1209" s="2">
        <v>0.04513888888888889</v>
      </c>
      <c r="K1209" s="1">
        <v>0.05555555555555555</v>
      </c>
      <c r="L1209" s="1">
        <v>0.10069444444444445</v>
      </c>
      <c r="M1209" s="1" t="s">
        <v>22</v>
      </c>
      <c r="N1209" s="1" t="s">
        <v>41</v>
      </c>
      <c r="O1209" s="1" t="s">
        <v>32</v>
      </c>
      <c r="P1209" s="1" t="s">
        <v>484</v>
      </c>
      <c r="Q1209" s="1">
        <v>45133</v>
      </c>
      <c r="R1209" s="14">
        <v>5</v>
      </c>
      <c r="S1209" s="1" t="s">
        <v>22</v>
      </c>
      <c r="T1209" s="1" t="s">
        <v>22</v>
      </c>
      <c r="U1209" s="1" t="s">
        <v>22</v>
      </c>
    </row>
    <row r="1210" spans="1:21" x14ac:dyDescent="0.25">
      <c r="A1210" s="1" t="s">
        <v>3393</v>
      </c>
      <c r="B1210" s="2" t="s">
        <v>616</v>
      </c>
      <c r="C1210" s="1" t="s">
        <v>617</v>
      </c>
      <c r="D1210" s="1" t="s">
        <v>3394</v>
      </c>
      <c r="E1210" s="1" t="s">
        <v>713</v>
      </c>
      <c r="F1210" s="1">
        <v>45140</v>
      </c>
      <c r="G1210" s="14" t="s">
        <v>670</v>
      </c>
      <c r="H1210" t="s">
        <v>3395</v>
      </c>
      <c r="I1210" s="2" t="s">
        <v>3396</v>
      </c>
      <c r="J1210" s="2">
        <v>0.017361111111111112</v>
      </c>
      <c r="K1210" s="1" t="s">
        <v>22</v>
      </c>
      <c r="L1210" s="1">
        <v>0.017361111111111112</v>
      </c>
      <c r="M1210" s="1" t="s">
        <v>22</v>
      </c>
      <c r="N1210" s="1" t="s">
        <v>41</v>
      </c>
      <c r="O1210" s="1" t="s">
        <v>22</v>
      </c>
      <c r="P1210" s="1" t="s">
        <v>484</v>
      </c>
      <c r="Q1210" s="1">
        <v>45140</v>
      </c>
      <c r="R1210" s="14">
        <v>5</v>
      </c>
      <c r="S1210" s="1" t="s">
        <v>22</v>
      </c>
      <c r="T1210" s="1" t="s">
        <v>22</v>
      </c>
      <c r="U1210" s="1" t="s">
        <v>22</v>
      </c>
    </row>
    <row r="1211" spans="1:21" x14ac:dyDescent="0.25">
      <c r="A1211" s="1" t="s">
        <v>3393</v>
      </c>
      <c r="B1211" s="2" t="s">
        <v>281</v>
      </c>
      <c r="C1211" s="1" t="s">
        <v>186</v>
      </c>
      <c r="D1211" s="1" t="s">
        <v>3397</v>
      </c>
      <c r="E1211" s="1" t="s">
        <v>27</v>
      </c>
      <c r="F1211" s="1">
        <v>45141</v>
      </c>
      <c r="G1211" s="14" t="s">
        <v>74</v>
      </c>
      <c r="H1211" t="s">
        <v>3398</v>
      </c>
      <c r="I1211" s="2" t="s">
        <v>3399</v>
      </c>
      <c r="J1211" s="2">
        <v>0.013888888888888888</v>
      </c>
      <c r="K1211" s="1">
        <v>0.020833333333333332</v>
      </c>
      <c r="L1211" s="1">
        <v>0.034722222222222224</v>
      </c>
      <c r="M1211" s="1" t="s">
        <v>22</v>
      </c>
      <c r="N1211" s="1" t="s">
        <v>32</v>
      </c>
      <c r="O1211" s="1" t="s">
        <v>483</v>
      </c>
      <c r="P1211" s="1" t="s">
        <v>488</v>
      </c>
      <c r="Q1211" s="1">
        <v>45141</v>
      </c>
      <c r="R1211" s="14">
        <v>5</v>
      </c>
      <c r="S1211" s="1" t="s">
        <v>22</v>
      </c>
      <c r="T1211" s="1" t="s">
        <v>22</v>
      </c>
      <c r="U1211" s="1" t="s">
        <v>22</v>
      </c>
    </row>
    <row r="1212" spans="1:21" x14ac:dyDescent="0.25">
      <c r="A1212" s="1" t="s">
        <v>3393</v>
      </c>
      <c r="B1212" s="2" t="s">
        <v>2997</v>
      </c>
      <c r="C1212" s="1" t="s">
        <v>25</v>
      </c>
      <c r="D1212" s="1" t="s">
        <v>3400</v>
      </c>
      <c r="E1212" s="1" t="s">
        <v>27</v>
      </c>
      <c r="F1212" s="1">
        <v>45146</v>
      </c>
      <c r="G1212" s="14" t="s">
        <v>74</v>
      </c>
      <c r="H1212" t="s">
        <v>3401</v>
      </c>
      <c r="I1212" s="2" t="s">
        <v>3402</v>
      </c>
      <c r="J1212" s="2">
        <v>0.017361111111111112</v>
      </c>
      <c r="K1212" s="1">
        <v>0.024305555555555556</v>
      </c>
      <c r="L1212" s="1">
        <v>0.04166666666666667</v>
      </c>
      <c r="M1212" s="1" t="s">
        <v>22</v>
      </c>
      <c r="N1212" s="1" t="s">
        <v>32</v>
      </c>
      <c r="O1212" s="1" t="s">
        <v>483</v>
      </c>
      <c r="P1212" s="1" t="s">
        <v>488</v>
      </c>
      <c r="Q1212" s="1">
        <v>45146</v>
      </c>
      <c r="R1212" s="14">
        <v>5</v>
      </c>
      <c r="S1212" s="1" t="s">
        <v>22</v>
      </c>
      <c r="T1212" s="1" t="s">
        <v>22</v>
      </c>
      <c r="U1212" s="1" t="s">
        <v>22</v>
      </c>
    </row>
    <row r="1213" spans="1:21" x14ac:dyDescent="0.25">
      <c r="A1213" s="1" t="s">
        <v>3393</v>
      </c>
      <c r="B1213" s="2" t="s">
        <v>334</v>
      </c>
      <c r="C1213" s="1" t="s">
        <v>335</v>
      </c>
      <c r="D1213" s="1" t="s">
        <v>3403</v>
      </c>
      <c r="E1213" s="1" t="s">
        <v>27</v>
      </c>
      <c r="F1213" s="1">
        <v>45152</v>
      </c>
      <c r="G1213" s="14" t="s">
        <v>353</v>
      </c>
      <c r="H1213" t="s">
        <v>3404</v>
      </c>
      <c r="I1213" s="2" t="s">
        <v>3405</v>
      </c>
      <c r="J1213" s="2">
        <v>0.020833333333333332</v>
      </c>
      <c r="K1213" s="1">
        <v>0.027777777777777776</v>
      </c>
      <c r="L1213" s="1">
        <v>0.048611111111111105</v>
      </c>
      <c r="M1213" s="1" t="s">
        <v>22</v>
      </c>
      <c r="N1213" s="1" t="s">
        <v>32</v>
      </c>
      <c r="O1213" s="1" t="s">
        <v>483</v>
      </c>
      <c r="P1213" s="1" t="s">
        <v>484</v>
      </c>
      <c r="Q1213" s="1">
        <v>45152</v>
      </c>
      <c r="R1213" s="14">
        <v>5</v>
      </c>
      <c r="S1213" s="1" t="s">
        <v>22</v>
      </c>
      <c r="T1213" s="1" t="s">
        <v>22</v>
      </c>
      <c r="U1213" s="1" t="s">
        <v>22</v>
      </c>
    </row>
    <row r="1214" spans="1:21" x14ac:dyDescent="0.25">
      <c r="A1214" s="1" t="s">
        <v>3393</v>
      </c>
      <c r="B1214" s="2" t="s">
        <v>113</v>
      </c>
      <c r="C1214" s="1" t="s">
        <v>25</v>
      </c>
      <c r="D1214" s="1" t="s">
        <v>3406</v>
      </c>
      <c r="E1214" s="1" t="s">
        <v>37</v>
      </c>
      <c r="F1214" s="1">
        <v>45154</v>
      </c>
      <c r="G1214" s="14" t="s">
        <v>353</v>
      </c>
      <c r="H1214" t="s">
        <v>3407</v>
      </c>
      <c r="I1214" s="2" t="s">
        <v>3408</v>
      </c>
      <c r="J1214" s="2">
        <v>0.017361111111111112</v>
      </c>
      <c r="K1214" s="1">
        <v>0.027777777777777776</v>
      </c>
      <c r="L1214" s="1">
        <v>0.04513888888888889</v>
      </c>
      <c r="M1214" s="1" t="s">
        <v>22</v>
      </c>
      <c r="N1214" s="1" t="s">
        <v>32</v>
      </c>
      <c r="O1214" s="1" t="s">
        <v>483</v>
      </c>
      <c r="P1214" s="1" t="s">
        <v>484</v>
      </c>
      <c r="Q1214" s="1">
        <v>45154</v>
      </c>
      <c r="R1214" s="14">
        <v>5</v>
      </c>
      <c r="S1214" s="1" t="s">
        <v>22</v>
      </c>
      <c r="T1214" s="1" t="s">
        <v>22</v>
      </c>
      <c r="U1214" s="1" t="s">
        <v>22</v>
      </c>
    </row>
    <row r="1215" spans="1:21" x14ac:dyDescent="0.25">
      <c r="A1215" s="1" t="s">
        <v>3393</v>
      </c>
      <c r="B1215" s="2" t="s">
        <v>113</v>
      </c>
      <c r="C1215" s="1" t="s">
        <v>25</v>
      </c>
      <c r="D1215" s="1" t="s">
        <v>3409</v>
      </c>
      <c r="E1215" s="1" t="s">
        <v>37</v>
      </c>
      <c r="F1215" s="1">
        <v>45154</v>
      </c>
      <c r="G1215" s="14" t="s">
        <v>3290</v>
      </c>
      <c r="H1215" t="s">
        <v>3410</v>
      </c>
      <c r="I1215" s="2" t="s">
        <v>3411</v>
      </c>
      <c r="J1215" s="2">
        <v>0.041666666666666664</v>
      </c>
      <c r="K1215" s="1">
        <v>0.041666666666666664</v>
      </c>
      <c r="L1215" s="1">
        <v>0.08333333333333333</v>
      </c>
      <c r="M1215" s="1" t="s">
        <v>22</v>
      </c>
      <c r="N1215" s="1" t="s">
        <v>574</v>
      </c>
      <c r="O1215" s="1" t="s">
        <v>41</v>
      </c>
      <c r="P1215" s="1" t="s">
        <v>484</v>
      </c>
      <c r="Q1215" s="1">
        <v>45154</v>
      </c>
      <c r="R1215" s="14">
        <v>5</v>
      </c>
      <c r="S1215" s="1" t="s">
        <v>22</v>
      </c>
      <c r="T1215" s="1" t="s">
        <v>22</v>
      </c>
      <c r="U1215" s="1" t="s">
        <v>22</v>
      </c>
    </row>
    <row r="1216" spans="1:21" x14ac:dyDescent="0.25">
      <c r="A1216" s="1" t="s">
        <v>3393</v>
      </c>
      <c r="B1216" s="2" t="s">
        <v>48</v>
      </c>
      <c r="C1216" s="1" t="s">
        <v>25</v>
      </c>
      <c r="D1216" s="1" t="s">
        <v>3412</v>
      </c>
      <c r="E1216" s="1" t="s">
        <v>37</v>
      </c>
      <c r="F1216" s="1">
        <v>45160</v>
      </c>
      <c r="G1216" s="14" t="s">
        <v>28</v>
      </c>
      <c r="H1216" t="s">
        <v>3413</v>
      </c>
      <c r="I1216" s="2" t="s">
        <v>3413</v>
      </c>
      <c r="J1216" s="2">
        <v>0.0625</v>
      </c>
      <c r="K1216" s="1">
        <v>0.06944444444444443</v>
      </c>
      <c r="L1216" s="1">
        <v>0.13194444444444442</v>
      </c>
      <c r="M1216" s="1" t="s">
        <v>22</v>
      </c>
      <c r="N1216" s="1" t="s">
        <v>31</v>
      </c>
      <c r="O1216" s="1" t="s">
        <v>483</v>
      </c>
      <c r="P1216" s="1" t="s">
        <v>488</v>
      </c>
      <c r="Q1216" s="1">
        <v>45160</v>
      </c>
      <c r="R1216" s="14">
        <v>5</v>
      </c>
      <c r="S1216" s="1" t="s">
        <v>22</v>
      </c>
      <c r="T1216" s="1" t="s">
        <v>22</v>
      </c>
      <c r="U1216" s="1" t="s">
        <v>22</v>
      </c>
    </row>
    <row r="1217" spans="1:21" x14ac:dyDescent="0.25">
      <c r="A1217" s="1" t="s">
        <v>3393</v>
      </c>
      <c r="B1217" s="2" t="s">
        <v>185</v>
      </c>
      <c r="C1217" s="1" t="s">
        <v>186</v>
      </c>
      <c r="D1217" s="1" t="s">
        <v>3414</v>
      </c>
      <c r="E1217" s="1" t="s">
        <v>27</v>
      </c>
      <c r="F1217" s="1">
        <v>45167</v>
      </c>
      <c r="G1217" s="14" t="s">
        <v>507</v>
      </c>
      <c r="H1217" t="s">
        <v>3415</v>
      </c>
      <c r="I1217" s="2" t="s">
        <v>3416</v>
      </c>
      <c r="J1217" s="2">
        <v>0.020833333333333332</v>
      </c>
      <c r="K1217" s="1">
        <v>0.05555555555555555</v>
      </c>
      <c r="L1217" s="1">
        <v>0.07638888888888888</v>
      </c>
      <c r="M1217" s="1" t="s">
        <v>22</v>
      </c>
      <c r="N1217" s="1" t="s">
        <v>41</v>
      </c>
      <c r="O1217" s="1" t="s">
        <v>32</v>
      </c>
      <c r="P1217" s="1" t="s">
        <v>484</v>
      </c>
      <c r="Q1217" s="1">
        <v>45167</v>
      </c>
      <c r="R1217" s="14">
        <v>5</v>
      </c>
      <c r="S1217" s="1" t="s">
        <v>22</v>
      </c>
      <c r="T1217" s="1" t="s">
        <v>22</v>
      </c>
      <c r="U1217" s="1" t="s">
        <v>22</v>
      </c>
    </row>
    <row r="1218" spans="1:21" x14ac:dyDescent="0.25">
      <c r="A1218" s="1" t="s">
        <v>3393</v>
      </c>
      <c r="B1218" s="2" t="s">
        <v>48</v>
      </c>
      <c r="C1218" s="1" t="s">
        <v>25</v>
      </c>
      <c r="D1218" s="1" t="s">
        <v>3417</v>
      </c>
      <c r="E1218" s="1" t="s">
        <v>27</v>
      </c>
      <c r="F1218" s="1">
        <v>45168</v>
      </c>
      <c r="G1218" s="14" t="s">
        <v>38</v>
      </c>
      <c r="H1218" t="s">
        <v>3418</v>
      </c>
      <c r="I1218" s="2" t="s">
        <v>3418</v>
      </c>
      <c r="J1218" s="2">
        <v>0.020833333333333332</v>
      </c>
      <c r="K1218" s="1">
        <v>0.027777777777777776</v>
      </c>
      <c r="L1218" s="1">
        <v>0.048611111111111105</v>
      </c>
      <c r="M1218" s="1" t="s">
        <v>22</v>
      </c>
      <c r="N1218" s="1" t="s">
        <v>31</v>
      </c>
      <c r="O1218" s="1" t="s">
        <v>483</v>
      </c>
      <c r="P1218" s="1" t="s">
        <v>488</v>
      </c>
      <c r="Q1218" s="1">
        <v>45168</v>
      </c>
      <c r="R1218" s="14">
        <v>5</v>
      </c>
      <c r="S1218" s="1" t="s">
        <v>22</v>
      </c>
      <c r="T1218" s="1" t="s">
        <v>22</v>
      </c>
      <c r="U1218" s="1" t="s">
        <v>22</v>
      </c>
    </row>
    <row r="1219" spans="1:21" x14ac:dyDescent="0.25">
      <c r="A1219" s="1" t="s">
        <v>3393</v>
      </c>
      <c r="B1219" s="2" t="s">
        <v>48</v>
      </c>
      <c r="C1219" s="1" t="s">
        <v>25</v>
      </c>
      <c r="D1219" s="1" t="s">
        <v>3419</v>
      </c>
      <c r="E1219" s="1" t="s">
        <v>27</v>
      </c>
      <c r="F1219" s="1">
        <v>45168</v>
      </c>
      <c r="G1219" s="14" t="s">
        <v>38</v>
      </c>
      <c r="H1219" t="s">
        <v>3420</v>
      </c>
      <c r="I1219" s="2" t="s">
        <v>3420</v>
      </c>
      <c r="J1219" s="2">
        <v>0.041666666666666664</v>
      </c>
      <c r="K1219" s="1">
        <v>0.05555555555555555</v>
      </c>
      <c r="L1219" s="1">
        <v>0.09722222222222221</v>
      </c>
      <c r="M1219" s="1" t="s">
        <v>22</v>
      </c>
      <c r="N1219" s="1" t="s">
        <v>31</v>
      </c>
      <c r="O1219" s="1" t="s">
        <v>483</v>
      </c>
      <c r="P1219" s="1" t="s">
        <v>488</v>
      </c>
      <c r="Q1219" s="1">
        <v>45168</v>
      </c>
      <c r="R1219" s="14">
        <v>5</v>
      </c>
      <c r="S1219" s="1" t="s">
        <v>22</v>
      </c>
      <c r="T1219" s="1" t="s">
        <v>22</v>
      </c>
      <c r="U1219" s="1" t="s">
        <v>22</v>
      </c>
    </row>
    <row r="1220" spans="1:21" x14ac:dyDescent="0.25">
      <c r="A1220" s="1" t="s">
        <v>3393</v>
      </c>
      <c r="B1220" s="2" t="s">
        <v>48</v>
      </c>
      <c r="C1220" s="1" t="s">
        <v>25</v>
      </c>
      <c r="D1220" s="1" t="s">
        <v>3421</v>
      </c>
      <c r="E1220" s="1" t="s">
        <v>27</v>
      </c>
      <c r="F1220" s="1">
        <v>45168</v>
      </c>
      <c r="G1220" s="14" t="s">
        <v>74</v>
      </c>
      <c r="H1220" t="s">
        <v>3422</v>
      </c>
      <c r="I1220" s="2" t="s">
        <v>3422</v>
      </c>
      <c r="J1220" s="2">
        <v>0.041666666666666664</v>
      </c>
      <c r="K1220" s="1">
        <v>0.041666666666666664</v>
      </c>
      <c r="L1220" s="1">
        <v>0.08333333333333333</v>
      </c>
      <c r="M1220" s="1" t="s">
        <v>22</v>
      </c>
      <c r="N1220" s="1" t="s">
        <v>31</v>
      </c>
      <c r="O1220" s="1" t="s">
        <v>483</v>
      </c>
      <c r="P1220" s="1" t="s">
        <v>484</v>
      </c>
      <c r="Q1220" s="1">
        <v>45168</v>
      </c>
      <c r="R1220" s="14">
        <v>5</v>
      </c>
      <c r="S1220" s="1" t="s">
        <v>22</v>
      </c>
      <c r="T1220" s="1" t="s">
        <v>22</v>
      </c>
      <c r="U1220" s="1" t="s">
        <v>22</v>
      </c>
    </row>
    <row r="1221" spans="1:21" x14ac:dyDescent="0.25">
      <c r="A1221" s="1" t="s">
        <v>3393</v>
      </c>
      <c r="B1221" s="2" t="s">
        <v>667</v>
      </c>
      <c r="C1221" s="1" t="s">
        <v>668</v>
      </c>
      <c r="D1221" s="1" t="s">
        <v>3423</v>
      </c>
      <c r="E1221" s="1" t="s">
        <v>37</v>
      </c>
      <c r="F1221" s="1">
        <v>45168</v>
      </c>
      <c r="G1221" s="14" t="s">
        <v>670</v>
      </c>
      <c r="H1221" t="s">
        <v>3424</v>
      </c>
      <c r="I1221" s="2" t="s">
        <v>3425</v>
      </c>
      <c r="J1221" s="2">
        <v>0.013888888888888888</v>
      </c>
      <c r="K1221" s="1">
        <v>0.04861111111111111</v>
      </c>
      <c r="L1221" s="1">
        <v>0.0625</v>
      </c>
      <c r="M1221" s="1" t="s">
        <v>22</v>
      </c>
      <c r="N1221" s="1" t="s">
        <v>41</v>
      </c>
      <c r="O1221" s="1" t="s">
        <v>32</v>
      </c>
      <c r="P1221" s="1" t="s">
        <v>42</v>
      </c>
      <c r="Q1221" s="1">
        <v>45169</v>
      </c>
      <c r="R1221" s="14">
        <v>5</v>
      </c>
      <c r="S1221" s="1" t="s">
        <v>22</v>
      </c>
      <c r="T1221" s="1" t="s">
        <v>22</v>
      </c>
      <c r="U1221" s="1" t="s">
        <v>22</v>
      </c>
    </row>
    <row r="1222" spans="1:21" x14ac:dyDescent="0.25">
      <c r="A1222" s="1" t="s">
        <v>3426</v>
      </c>
      <c r="B1222" s="2" t="s">
        <v>308</v>
      </c>
      <c r="C1222" s="1" t="s">
        <v>309</v>
      </c>
      <c r="D1222" s="1" t="s">
        <v>3427</v>
      </c>
      <c r="E1222" s="1" t="s">
        <v>37</v>
      </c>
      <c r="F1222" s="1">
        <v>45170</v>
      </c>
      <c r="G1222" s="14" t="s">
        <v>38</v>
      </c>
      <c r="H1222" t="s">
        <v>3428</v>
      </c>
      <c r="I1222" s="2" t="s">
        <v>3429</v>
      </c>
      <c r="J1222" s="2">
        <v>0.041666666666666664</v>
      </c>
      <c r="K1222" s="1">
        <v>0.027777777777777776</v>
      </c>
      <c r="L1222" s="1">
        <v>0.06944444444444445</v>
      </c>
      <c r="M1222" s="1" t="s">
        <v>22</v>
      </c>
      <c r="N1222" s="1" t="s">
        <v>31</v>
      </c>
      <c r="O1222" s="1" t="s">
        <v>483</v>
      </c>
      <c r="P1222" s="1" t="s">
        <v>488</v>
      </c>
      <c r="Q1222" s="1">
        <v>45170</v>
      </c>
      <c r="R1222" s="14">
        <v>5</v>
      </c>
      <c r="S1222" s="1" t="s">
        <v>22</v>
      </c>
      <c r="T1222" s="1" t="s">
        <v>22</v>
      </c>
      <c r="U1222" s="1" t="s">
        <v>22</v>
      </c>
    </row>
    <row r="1223" spans="1:21" x14ac:dyDescent="0.25">
      <c r="A1223" s="1" t="s">
        <v>3426</v>
      </c>
      <c r="B1223" s="2" t="s">
        <v>48</v>
      </c>
      <c r="C1223" s="1" t="s">
        <v>25</v>
      </c>
      <c r="D1223" s="1" t="s">
        <v>3430</v>
      </c>
      <c r="E1223" s="1" t="s">
        <v>37</v>
      </c>
      <c r="F1223" s="1">
        <v>45171</v>
      </c>
      <c r="G1223" s="14" t="s">
        <v>38</v>
      </c>
      <c r="H1223" t="s">
        <v>3431</v>
      </c>
      <c r="I1223" s="2" t="s">
        <v>3432</v>
      </c>
      <c r="J1223" s="2">
        <v>0.020833333333333332</v>
      </c>
      <c r="K1223" s="1">
        <v>0.034722222222222224</v>
      </c>
      <c r="L1223" s="1">
        <v>0.05555555555555555</v>
      </c>
      <c r="M1223" s="1" t="s">
        <v>22</v>
      </c>
      <c r="N1223" s="1" t="s">
        <v>31</v>
      </c>
      <c r="O1223" s="1" t="s">
        <v>32</v>
      </c>
      <c r="P1223" s="1" t="s">
        <v>488</v>
      </c>
      <c r="Q1223" s="1">
        <v>45171</v>
      </c>
      <c r="R1223" s="14">
        <v>5</v>
      </c>
      <c r="S1223" s="1" t="s">
        <v>22</v>
      </c>
      <c r="T1223" s="1" t="s">
        <v>22</v>
      </c>
      <c r="U1223" s="1" t="s">
        <v>22</v>
      </c>
    </row>
    <row r="1224" spans="1:21" x14ac:dyDescent="0.25">
      <c r="A1224" s="1" t="s">
        <v>3426</v>
      </c>
      <c r="B1224" s="2" t="s">
        <v>163</v>
      </c>
      <c r="C1224" s="1" t="s">
        <v>25</v>
      </c>
      <c r="D1224" s="1" t="s">
        <v>3433</v>
      </c>
      <c r="E1224" s="1" t="s">
        <v>37</v>
      </c>
      <c r="F1224" s="1">
        <v>45171</v>
      </c>
      <c r="G1224" s="14" t="s">
        <v>670</v>
      </c>
      <c r="H1224" t="s">
        <v>3434</v>
      </c>
      <c r="I1224" s="2" t="s">
        <v>3435</v>
      </c>
      <c r="J1224" s="2">
        <v>0.03125</v>
      </c>
      <c r="K1224" s="1">
        <v>0.020833333333333332</v>
      </c>
      <c r="L1224" s="1">
        <v>0.05208333333333333</v>
      </c>
      <c r="M1224" s="1" t="s">
        <v>22</v>
      </c>
      <c r="N1224" s="1" t="s">
        <v>31</v>
      </c>
      <c r="O1224" s="1" t="s">
        <v>32</v>
      </c>
      <c r="P1224" s="1" t="s">
        <v>488</v>
      </c>
      <c r="Q1224" s="1">
        <v>45171</v>
      </c>
      <c r="R1224" s="14">
        <v>5</v>
      </c>
      <c r="S1224" s="1" t="s">
        <v>22</v>
      </c>
      <c r="T1224" s="1" t="s">
        <v>22</v>
      </c>
      <c r="U1224" s="1" t="s">
        <v>22</v>
      </c>
    </row>
    <row r="1225" spans="1:21" x14ac:dyDescent="0.25">
      <c r="A1225" s="1" t="s">
        <v>3426</v>
      </c>
      <c r="B1225" s="2" t="s">
        <v>258</v>
      </c>
      <c r="C1225" s="1" t="s">
        <v>25</v>
      </c>
      <c r="D1225" s="1" t="s">
        <v>3357</v>
      </c>
      <c r="E1225" s="1" t="s">
        <v>713</v>
      </c>
      <c r="F1225" s="1">
        <v>45171</v>
      </c>
      <c r="G1225" s="14" t="s">
        <v>38</v>
      </c>
      <c r="H1225" t="s">
        <v>3436</v>
      </c>
      <c r="I1225" s="2" t="s">
        <v>3436</v>
      </c>
      <c r="J1225" s="2">
        <v>0.03125</v>
      </c>
      <c r="K1225" s="1">
        <v>0.027777777777777776</v>
      </c>
      <c r="L1225" s="1">
        <v>0.059027777777777776</v>
      </c>
      <c r="M1225" s="1" t="s">
        <v>22</v>
      </c>
      <c r="N1225" s="1" t="s">
        <v>31</v>
      </c>
      <c r="O1225" s="1" t="s">
        <v>32</v>
      </c>
      <c r="P1225" s="1" t="s">
        <v>42</v>
      </c>
      <c r="Q1225" s="1">
        <v>45171</v>
      </c>
      <c r="R1225" s="14">
        <v>5</v>
      </c>
      <c r="S1225" s="1" t="s">
        <v>22</v>
      </c>
      <c r="T1225" s="1" t="s">
        <v>22</v>
      </c>
      <c r="U1225" s="1" t="s">
        <v>22</v>
      </c>
    </row>
    <row r="1226" spans="1:21" x14ac:dyDescent="0.25">
      <c r="A1226" s="1" t="s">
        <v>3426</v>
      </c>
      <c r="B1226" s="2" t="s">
        <v>113</v>
      </c>
      <c r="C1226" s="1" t="s">
        <v>25</v>
      </c>
      <c r="D1226" s="1" t="s">
        <v>3437</v>
      </c>
      <c r="E1226" s="1" t="s">
        <v>37</v>
      </c>
      <c r="F1226" s="1">
        <v>45175</v>
      </c>
      <c r="G1226" s="14" t="s">
        <v>38</v>
      </c>
      <c r="H1226" t="s">
        <v>3438</v>
      </c>
      <c r="I1226" s="2" t="s">
        <v>3439</v>
      </c>
      <c r="J1226" s="2">
        <v>0.03125</v>
      </c>
      <c r="K1226" s="1">
        <v>0.044444444444444446</v>
      </c>
      <c r="L1226" s="1">
        <v>0.07569444444444445</v>
      </c>
      <c r="M1226" s="1" t="s">
        <v>22</v>
      </c>
      <c r="N1226" s="1" t="s">
        <v>31</v>
      </c>
      <c r="O1226" s="1" t="s">
        <v>483</v>
      </c>
      <c r="P1226" s="1" t="s">
        <v>484</v>
      </c>
      <c r="Q1226" s="1">
        <v>45175</v>
      </c>
      <c r="R1226" s="14">
        <v>5</v>
      </c>
      <c r="S1226" s="1" t="s">
        <v>22</v>
      </c>
      <c r="T1226" s="1" t="s">
        <v>22</v>
      </c>
      <c r="U1226" s="1" t="s">
        <v>22</v>
      </c>
    </row>
    <row r="1227" spans="1:21" x14ac:dyDescent="0.25">
      <c r="A1227" s="1" t="s">
        <v>3426</v>
      </c>
      <c r="B1227" s="2" t="s">
        <v>113</v>
      </c>
      <c r="C1227" s="1" t="s">
        <v>25</v>
      </c>
      <c r="D1227" s="1" t="s">
        <v>3406</v>
      </c>
      <c r="E1227" s="1" t="s">
        <v>37</v>
      </c>
      <c r="F1227" s="1">
        <v>45175</v>
      </c>
      <c r="G1227" s="14" t="s">
        <v>353</v>
      </c>
      <c r="H1227" t="s">
        <v>3440</v>
      </c>
      <c r="I1227" s="2" t="s">
        <v>3440</v>
      </c>
      <c r="J1227" s="2">
        <v>0.03125</v>
      </c>
      <c r="K1227" s="1">
        <v>0.020833333333333332</v>
      </c>
      <c r="L1227" s="1">
        <v>0.05208333333333333</v>
      </c>
      <c r="M1227" s="1" t="s">
        <v>22</v>
      </c>
      <c r="N1227" s="1" t="s">
        <v>31</v>
      </c>
      <c r="O1227" s="1" t="s">
        <v>41</v>
      </c>
      <c r="P1227" s="1" t="s">
        <v>484</v>
      </c>
      <c r="Q1227" s="1">
        <v>45175</v>
      </c>
      <c r="R1227" s="14">
        <v>5</v>
      </c>
      <c r="S1227" s="1" t="s">
        <v>22</v>
      </c>
      <c r="T1227" s="1" t="s">
        <v>22</v>
      </c>
      <c r="U1227" s="1" t="s">
        <v>22</v>
      </c>
    </row>
    <row r="1228" spans="1:21" x14ac:dyDescent="0.25">
      <c r="A1228" s="1" t="s">
        <v>3426</v>
      </c>
      <c r="B1228" s="2" t="s">
        <v>163</v>
      </c>
      <c r="C1228" s="1" t="s">
        <v>25</v>
      </c>
      <c r="D1228" s="1" t="s">
        <v>3433</v>
      </c>
      <c r="E1228" s="1" t="s">
        <v>37</v>
      </c>
      <c r="F1228" s="1">
        <v>45180</v>
      </c>
      <c r="G1228" s="14" t="s">
        <v>670</v>
      </c>
      <c r="H1228" t="s">
        <v>3441</v>
      </c>
      <c r="I1228" s="2" t="s">
        <v>3442</v>
      </c>
      <c r="J1228" s="2">
        <v>0.11805555555555557</v>
      </c>
      <c r="K1228" s="1">
        <v>0.05902777777777778</v>
      </c>
      <c r="L1228" s="1">
        <v>0.17708333333333334</v>
      </c>
      <c r="M1228" s="1" t="s">
        <v>22</v>
      </c>
      <c r="N1228" s="1" t="s">
        <v>31</v>
      </c>
      <c r="O1228" s="1" t="s">
        <v>483</v>
      </c>
      <c r="P1228" s="1" t="s">
        <v>488</v>
      </c>
      <c r="Q1228" s="1">
        <v>45180</v>
      </c>
      <c r="R1228" s="14">
        <v>5</v>
      </c>
      <c r="S1228" s="1" t="s">
        <v>22</v>
      </c>
      <c r="T1228" s="1" t="s">
        <v>22</v>
      </c>
      <c r="U1228" s="1" t="s">
        <v>22</v>
      </c>
    </row>
    <row r="1229" spans="1:21" x14ac:dyDescent="0.25">
      <c r="A1229" s="1" t="s">
        <v>3426</v>
      </c>
      <c r="B1229" s="2" t="s">
        <v>35</v>
      </c>
      <c r="C1229" s="1" t="s">
        <v>25</v>
      </c>
      <c r="D1229" s="1" t="s">
        <v>3443</v>
      </c>
      <c r="E1229" s="1" t="s">
        <v>27</v>
      </c>
      <c r="F1229" s="1">
        <v>45182</v>
      </c>
      <c r="G1229" s="14" t="s">
        <v>38</v>
      </c>
      <c r="H1229" t="s">
        <v>3444</v>
      </c>
      <c r="I1229" s="2" t="s">
        <v>3445</v>
      </c>
      <c r="J1229" s="2">
        <v>0.07291666666666667</v>
      </c>
      <c r="K1229" s="1">
        <v>0.12916666666666668</v>
      </c>
      <c r="L1229" s="1">
        <v>0.20208333333333334</v>
      </c>
      <c r="M1229" s="1" t="s">
        <v>22</v>
      </c>
      <c r="N1229" s="1" t="s">
        <v>41</v>
      </c>
      <c r="O1229" s="1" t="s">
        <v>483</v>
      </c>
      <c r="P1229" s="1" t="s">
        <v>42</v>
      </c>
      <c r="Q1229" s="1">
        <v>45182</v>
      </c>
      <c r="R1229" s="14">
        <v>5</v>
      </c>
      <c r="S1229" s="1" t="s">
        <v>22</v>
      </c>
      <c r="T1229" s="1" t="s">
        <v>22</v>
      </c>
      <c r="U1229" s="1" t="s">
        <v>22</v>
      </c>
    </row>
    <row r="1230" spans="1:21" x14ac:dyDescent="0.25">
      <c r="A1230" s="1" t="s">
        <v>3426</v>
      </c>
      <c r="B1230" s="2" t="s">
        <v>3446</v>
      </c>
      <c r="C1230" s="1" t="s">
        <v>25</v>
      </c>
      <c r="D1230" s="1" t="s">
        <v>3447</v>
      </c>
      <c r="E1230" s="1" t="s">
        <v>27</v>
      </c>
      <c r="F1230" s="1">
        <v>45183</v>
      </c>
      <c r="G1230" s="14" t="s">
        <v>3448</v>
      </c>
      <c r="H1230" t="s">
        <v>3449</v>
      </c>
      <c r="I1230" s="2" t="s">
        <v>3450</v>
      </c>
      <c r="J1230" s="2">
        <v>0.03125</v>
      </c>
      <c r="K1230" s="1" t="s">
        <v>22</v>
      </c>
      <c r="L1230" s="1">
        <v>0.03125</v>
      </c>
      <c r="M1230" s="1" t="s">
        <v>22</v>
      </c>
      <c r="N1230" s="1" t="s">
        <v>31</v>
      </c>
      <c r="O1230" s="1" t="s">
        <v>22</v>
      </c>
      <c r="P1230" s="1" t="s">
        <v>488</v>
      </c>
      <c r="Q1230" s="1">
        <v>45183</v>
      </c>
      <c r="R1230" s="14">
        <v>5</v>
      </c>
      <c r="S1230" s="1" t="s">
        <v>22</v>
      </c>
      <c r="T1230" s="1" t="s">
        <v>22</v>
      </c>
      <c r="U1230" s="1" t="s">
        <v>22</v>
      </c>
    </row>
    <row r="1231" spans="1:21" x14ac:dyDescent="0.25">
      <c r="A1231" s="1" t="s">
        <v>3426</v>
      </c>
      <c r="B1231" s="2" t="s">
        <v>48</v>
      </c>
      <c r="C1231" s="1" t="s">
        <v>25</v>
      </c>
      <c r="D1231" s="1" t="s">
        <v>3451</v>
      </c>
      <c r="E1231" s="1" t="s">
        <v>27</v>
      </c>
      <c r="F1231" s="1">
        <v>45183</v>
      </c>
      <c r="G1231" s="14" t="s">
        <v>38</v>
      </c>
      <c r="H1231" t="s">
        <v>3452</v>
      </c>
      <c r="I1231" s="2" t="s">
        <v>3453</v>
      </c>
      <c r="J1231" s="2">
        <v>0.013888888888888888</v>
      </c>
      <c r="K1231" s="1">
        <v>0.020833333333333332</v>
      </c>
      <c r="L1231" s="1">
        <v>0.034722222222222224</v>
      </c>
      <c r="M1231" s="1" t="s">
        <v>22</v>
      </c>
      <c r="N1231" s="1" t="s">
        <v>32</v>
      </c>
      <c r="O1231" s="1" t="s">
        <v>41</v>
      </c>
      <c r="P1231" s="1" t="s">
        <v>484</v>
      </c>
      <c r="Q1231" s="1">
        <v>45183</v>
      </c>
      <c r="R1231" s="14">
        <v>5</v>
      </c>
      <c r="S1231" s="1" t="s">
        <v>22</v>
      </c>
      <c r="T1231" s="1" t="s">
        <v>22</v>
      </c>
      <c r="U1231" s="1" t="s">
        <v>22</v>
      </c>
    </row>
    <row r="1232" spans="1:21" x14ac:dyDescent="0.25">
      <c r="A1232" s="1" t="s">
        <v>3426</v>
      </c>
      <c r="B1232" s="2" t="s">
        <v>258</v>
      </c>
      <c r="C1232" s="1" t="s">
        <v>25</v>
      </c>
      <c r="D1232" s="1" t="s">
        <v>3454</v>
      </c>
      <c r="E1232" s="1" t="s">
        <v>27</v>
      </c>
      <c r="F1232" s="1">
        <v>45183</v>
      </c>
      <c r="G1232" s="14" t="s">
        <v>507</v>
      </c>
      <c r="H1232" t="s">
        <v>3455</v>
      </c>
      <c r="I1232" s="2" t="s">
        <v>3456</v>
      </c>
      <c r="J1232" s="2">
        <v>0.03125</v>
      </c>
      <c r="K1232" s="1">
        <v>0.03819444444444444</v>
      </c>
      <c r="L1232" s="1">
        <v>0.06944444444444445</v>
      </c>
      <c r="M1232" s="1" t="s">
        <v>22</v>
      </c>
      <c r="N1232" s="1" t="s">
        <v>41</v>
      </c>
      <c r="O1232" s="1" t="s">
        <v>32</v>
      </c>
      <c r="P1232" s="1" t="s">
        <v>42</v>
      </c>
      <c r="Q1232" s="1">
        <v>45183</v>
      </c>
      <c r="R1232" s="14">
        <v>5</v>
      </c>
      <c r="S1232" s="1" t="s">
        <v>22</v>
      </c>
      <c r="T1232" s="1" t="s">
        <v>22</v>
      </c>
      <c r="U1232" s="1" t="s">
        <v>22</v>
      </c>
    </row>
    <row r="1233" spans="1:21" x14ac:dyDescent="0.25">
      <c r="A1233" s="1" t="s">
        <v>3426</v>
      </c>
      <c r="B1233" s="2" t="s">
        <v>48</v>
      </c>
      <c r="C1233" s="1" t="s">
        <v>25</v>
      </c>
      <c r="D1233" s="1" t="s">
        <v>3457</v>
      </c>
      <c r="E1233" s="1" t="s">
        <v>27</v>
      </c>
      <c r="F1233" s="1">
        <v>45183</v>
      </c>
      <c r="G1233" s="14" t="s">
        <v>133</v>
      </c>
      <c r="H1233" t="s">
        <v>3458</v>
      </c>
      <c r="I1233" s="2" t="s">
        <v>3459</v>
      </c>
      <c r="J1233" s="2">
        <v>0.024305555555555556</v>
      </c>
      <c r="K1233" s="1">
        <v>0.020833333333333332</v>
      </c>
      <c r="L1233" s="1">
        <v>0.04513888888888889</v>
      </c>
      <c r="M1233" s="1" t="s">
        <v>22</v>
      </c>
      <c r="N1233" s="1" t="s">
        <v>483</v>
      </c>
      <c r="O1233" s="1" t="s">
        <v>32</v>
      </c>
      <c r="P1233" s="1" t="s">
        <v>484</v>
      </c>
      <c r="Q1233" s="1">
        <v>45183</v>
      </c>
      <c r="R1233" s="14">
        <v>5</v>
      </c>
      <c r="S1233" s="1" t="s">
        <v>22</v>
      </c>
      <c r="T1233" s="1" t="s">
        <v>22</v>
      </c>
      <c r="U1233" s="1" t="s">
        <v>22</v>
      </c>
    </row>
    <row r="1234" spans="1:21" x14ac:dyDescent="0.25">
      <c r="A1234" s="1" t="s">
        <v>3426</v>
      </c>
      <c r="B1234" s="2" t="s">
        <v>545</v>
      </c>
      <c r="C1234" s="1" t="s">
        <v>963</v>
      </c>
      <c r="D1234" s="1" t="s">
        <v>3460</v>
      </c>
      <c r="E1234" s="1" t="s">
        <v>37</v>
      </c>
      <c r="F1234" s="1">
        <v>45183</v>
      </c>
      <c r="G1234" s="14" t="s">
        <v>38</v>
      </c>
      <c r="H1234" t="s">
        <v>3461</v>
      </c>
      <c r="I1234" s="2" t="s">
        <v>3462</v>
      </c>
      <c r="J1234" s="2">
        <v>0.041666666666666664</v>
      </c>
      <c r="K1234" s="1">
        <v>0.04513888888888889</v>
      </c>
      <c r="L1234" s="1">
        <v>0.08680555555555555</v>
      </c>
      <c r="M1234" s="1" t="s">
        <v>22</v>
      </c>
      <c r="N1234" s="1" t="s">
        <v>31</v>
      </c>
      <c r="O1234" s="1" t="s">
        <v>483</v>
      </c>
      <c r="P1234" s="1" t="s">
        <v>484</v>
      </c>
      <c r="Q1234" s="1">
        <v>45183</v>
      </c>
      <c r="R1234" s="14">
        <v>5</v>
      </c>
      <c r="S1234" s="1" t="s">
        <v>22</v>
      </c>
      <c r="T1234" s="1" t="s">
        <v>22</v>
      </c>
      <c r="U1234" s="1" t="s">
        <v>22</v>
      </c>
    </row>
    <row r="1235" spans="1:21" x14ac:dyDescent="0.25">
      <c r="A1235" s="1" t="s">
        <v>3426</v>
      </c>
      <c r="B1235" s="2" t="s">
        <v>479</v>
      </c>
      <c r="C1235" s="1" t="s">
        <v>25</v>
      </c>
      <c r="D1235" s="1" t="s">
        <v>3463</v>
      </c>
      <c r="E1235" s="1" t="s">
        <v>27</v>
      </c>
      <c r="F1235" s="1">
        <v>45183</v>
      </c>
      <c r="G1235" s="14" t="s">
        <v>38</v>
      </c>
      <c r="H1235" t="s">
        <v>3464</v>
      </c>
      <c r="I1235" s="2" t="s">
        <v>3465</v>
      </c>
      <c r="J1235" s="2">
        <v>0.027777777777777776</v>
      </c>
      <c r="K1235" s="1">
        <v>0.04513888888888889</v>
      </c>
      <c r="L1235" s="1">
        <v>0.07291666666666666</v>
      </c>
      <c r="M1235" s="1" t="s">
        <v>22</v>
      </c>
      <c r="N1235" s="1" t="s">
        <v>32</v>
      </c>
      <c r="O1235" s="1" t="s">
        <v>483</v>
      </c>
      <c r="P1235" s="1" t="s">
        <v>488</v>
      </c>
      <c r="Q1235" s="1">
        <v>45183</v>
      </c>
      <c r="R1235" s="14">
        <v>5</v>
      </c>
      <c r="S1235" s="1" t="s">
        <v>22</v>
      </c>
      <c r="T1235" s="1" t="s">
        <v>22</v>
      </c>
      <c r="U1235" s="1" t="s">
        <v>22</v>
      </c>
    </row>
    <row r="1236" spans="1:21" x14ac:dyDescent="0.25">
      <c r="A1236" s="1" t="s">
        <v>3426</v>
      </c>
      <c r="B1236" s="2" t="s">
        <v>545</v>
      </c>
      <c r="C1236" s="1" t="s">
        <v>546</v>
      </c>
      <c r="D1236" s="1" t="s">
        <v>3460</v>
      </c>
      <c r="E1236" s="1" t="s">
        <v>27</v>
      </c>
      <c r="F1236" s="1">
        <v>45190</v>
      </c>
      <c r="G1236" s="14" t="s">
        <v>353</v>
      </c>
      <c r="H1236" t="s">
        <v>3466</v>
      </c>
      <c r="I1236" s="2" t="s">
        <v>3467</v>
      </c>
      <c r="J1236" s="2">
        <v>0.034722222222222224</v>
      </c>
      <c r="K1236" s="1">
        <v>0.0625</v>
      </c>
      <c r="L1236" s="1">
        <v>0.09722222222222222</v>
      </c>
      <c r="M1236" s="1" t="s">
        <v>22</v>
      </c>
      <c r="N1236" s="1" t="s">
        <v>32</v>
      </c>
      <c r="O1236" s="1" t="s">
        <v>41</v>
      </c>
      <c r="P1236" s="1" t="s">
        <v>484</v>
      </c>
      <c r="Q1236" s="1">
        <v>45190</v>
      </c>
      <c r="R1236" s="14">
        <v>5</v>
      </c>
      <c r="S1236" s="1" t="s">
        <v>22</v>
      </c>
      <c r="T1236" s="1" t="s">
        <v>22</v>
      </c>
      <c r="U1236" s="1" t="s">
        <v>22</v>
      </c>
    </row>
    <row r="1237" spans="1:21" x14ac:dyDescent="0.25">
      <c r="A1237" s="1" t="s">
        <v>3426</v>
      </c>
      <c r="B1237" s="2" t="s">
        <v>48</v>
      </c>
      <c r="C1237" s="1" t="s">
        <v>25</v>
      </c>
      <c r="D1237" s="1" t="s">
        <v>3468</v>
      </c>
      <c r="E1237" s="1" t="s">
        <v>37</v>
      </c>
      <c r="F1237" s="1">
        <v>45191</v>
      </c>
      <c r="G1237" s="14" t="s">
        <v>38</v>
      </c>
      <c r="H1237" t="s">
        <v>3469</v>
      </c>
      <c r="I1237" s="2" t="s">
        <v>3469</v>
      </c>
      <c r="J1237" s="2">
        <v>0.013888888888888888</v>
      </c>
      <c r="K1237" s="1">
        <v>0.027777777777777776</v>
      </c>
      <c r="L1237" s="1">
        <v>0.041666666666666664</v>
      </c>
      <c r="M1237" s="1" t="s">
        <v>22</v>
      </c>
      <c r="N1237" s="1" t="s">
        <v>31</v>
      </c>
      <c r="O1237" s="1" t="s">
        <v>483</v>
      </c>
      <c r="P1237" s="1" t="s">
        <v>488</v>
      </c>
      <c r="Q1237" s="1">
        <v>45191</v>
      </c>
      <c r="R1237" s="14">
        <v>5</v>
      </c>
      <c r="S1237" s="1" t="s">
        <v>22</v>
      </c>
      <c r="T1237" s="1" t="s">
        <v>22</v>
      </c>
      <c r="U1237" s="1" t="s">
        <v>22</v>
      </c>
    </row>
    <row r="1238" spans="1:21" x14ac:dyDescent="0.25">
      <c r="A1238" s="1" t="s">
        <v>3426</v>
      </c>
      <c r="B1238" s="2" t="s">
        <v>308</v>
      </c>
      <c r="C1238" s="1" t="s">
        <v>309</v>
      </c>
      <c r="D1238" s="1" t="s">
        <v>3470</v>
      </c>
      <c r="E1238" s="1" t="s">
        <v>37</v>
      </c>
      <c r="F1238" s="1">
        <v>45195</v>
      </c>
      <c r="G1238" s="14" t="s">
        <v>74</v>
      </c>
      <c r="H1238" t="s">
        <v>3471</v>
      </c>
      <c r="I1238" s="2" t="s">
        <v>3472</v>
      </c>
      <c r="J1238" s="2">
        <v>0.034722222222222224</v>
      </c>
      <c r="K1238" s="1">
        <v>0.04513888888888889</v>
      </c>
      <c r="L1238" s="1">
        <v>0.0798611111111111</v>
      </c>
      <c r="M1238" s="1" t="s">
        <v>22</v>
      </c>
      <c r="N1238" s="1" t="s">
        <v>32</v>
      </c>
      <c r="O1238" s="1" t="s">
        <v>483</v>
      </c>
      <c r="P1238" s="1" t="s">
        <v>488</v>
      </c>
      <c r="Q1238" s="1">
        <v>45195</v>
      </c>
      <c r="R1238" s="14">
        <v>5</v>
      </c>
      <c r="S1238" s="1" t="s">
        <v>22</v>
      </c>
      <c r="T1238" s="1" t="s">
        <v>22</v>
      </c>
      <c r="U1238" s="1" t="s">
        <v>22</v>
      </c>
    </row>
    <row r="1239" spans="1:21" x14ac:dyDescent="0.25">
      <c r="A1239" s="1" t="s">
        <v>3426</v>
      </c>
      <c r="B1239" s="2" t="s">
        <v>48</v>
      </c>
      <c r="C1239" s="1" t="s">
        <v>25</v>
      </c>
      <c r="D1239" s="1" t="s">
        <v>3473</v>
      </c>
      <c r="E1239" s="1" t="s">
        <v>37</v>
      </c>
      <c r="F1239" s="1">
        <v>45195</v>
      </c>
      <c r="G1239" s="14" t="s">
        <v>353</v>
      </c>
      <c r="H1239" t="s">
        <v>3474</v>
      </c>
      <c r="I1239" s="2" t="s">
        <v>3475</v>
      </c>
      <c r="J1239" s="2">
        <v>0.013888888888888888</v>
      </c>
      <c r="K1239" s="1">
        <v>0.034722222222222224</v>
      </c>
      <c r="L1239" s="1">
        <v>0.04861111111111111</v>
      </c>
      <c r="M1239" s="1" t="s">
        <v>22</v>
      </c>
      <c r="N1239" s="1" t="s">
        <v>31</v>
      </c>
      <c r="O1239" s="1" t="s">
        <v>32</v>
      </c>
      <c r="P1239" s="1" t="s">
        <v>484</v>
      </c>
      <c r="Q1239" s="1">
        <v>45195</v>
      </c>
      <c r="R1239" s="14">
        <v>5</v>
      </c>
      <c r="S1239" s="1" t="s">
        <v>22</v>
      </c>
      <c r="T1239" s="1" t="s">
        <v>22</v>
      </c>
      <c r="U1239" s="1" t="s">
        <v>22</v>
      </c>
    </row>
    <row r="1240" spans="1:21" x14ac:dyDescent="0.25">
      <c r="A1240" s="1" t="s">
        <v>3476</v>
      </c>
      <c r="B1240" s="2" t="s">
        <v>288</v>
      </c>
      <c r="C1240" s="1" t="s">
        <v>289</v>
      </c>
      <c r="D1240" s="1" t="s">
        <v>3477</v>
      </c>
      <c r="E1240" s="1" t="s">
        <v>27</v>
      </c>
      <c r="F1240" s="1">
        <v>45204</v>
      </c>
      <c r="G1240" s="14" t="s">
        <v>38</v>
      </c>
      <c r="H1240" t="s">
        <v>3478</v>
      </c>
      <c r="I1240" s="2" t="s">
        <v>3479</v>
      </c>
      <c r="J1240" s="2">
        <v>0.03125</v>
      </c>
      <c r="K1240" s="1">
        <v>0.052083333333333336</v>
      </c>
      <c r="L1240" s="1">
        <v>0.08333333333333334</v>
      </c>
      <c r="M1240" s="1" t="s">
        <v>22</v>
      </c>
      <c r="N1240" s="1" t="s">
        <v>32</v>
      </c>
      <c r="O1240" s="1" t="s">
        <v>483</v>
      </c>
      <c r="P1240" s="1" t="s">
        <v>488</v>
      </c>
      <c r="Q1240" s="1">
        <v>45204</v>
      </c>
      <c r="R1240" s="14">
        <v>5</v>
      </c>
      <c r="S1240" s="1" t="s">
        <v>22</v>
      </c>
      <c r="T1240" s="1" t="s">
        <v>22</v>
      </c>
      <c r="U1240" s="1" t="s">
        <v>22</v>
      </c>
    </row>
    <row r="1241" spans="1:21" x14ac:dyDescent="0.25">
      <c r="A1241" s="1" t="s">
        <v>3476</v>
      </c>
      <c r="B1241" s="2" t="s">
        <v>163</v>
      </c>
      <c r="C1241" s="1" t="s">
        <v>25</v>
      </c>
      <c r="D1241" s="1" t="s">
        <v>3480</v>
      </c>
      <c r="E1241" s="1" t="s">
        <v>37</v>
      </c>
      <c r="F1241" s="1">
        <v>45205</v>
      </c>
      <c r="G1241" s="14" t="s">
        <v>28</v>
      </c>
      <c r="H1241" t="s">
        <v>3481</v>
      </c>
      <c r="I1241" s="2" t="s">
        <v>3482</v>
      </c>
      <c r="J1241" s="2">
        <v>0.03125</v>
      </c>
      <c r="K1241" s="1">
        <v>0.0625</v>
      </c>
      <c r="L1241" s="1">
        <v>0.09375</v>
      </c>
      <c r="M1241" s="1" t="s">
        <v>22</v>
      </c>
      <c r="N1241" s="1" t="s">
        <v>483</v>
      </c>
      <c r="O1241" s="1" t="s">
        <v>32</v>
      </c>
      <c r="P1241" s="1" t="s">
        <v>488</v>
      </c>
      <c r="Q1241" s="1">
        <v>45205</v>
      </c>
      <c r="R1241" s="14">
        <v>5</v>
      </c>
      <c r="S1241" s="1" t="s">
        <v>22</v>
      </c>
      <c r="T1241" s="1" t="s">
        <v>22</v>
      </c>
      <c r="U1241" s="1" t="s">
        <v>22</v>
      </c>
    </row>
    <row r="1242" spans="1:21" x14ac:dyDescent="0.25">
      <c r="A1242" s="1" t="s">
        <v>3476</v>
      </c>
      <c r="B1242" s="2" t="s">
        <v>284</v>
      </c>
      <c r="C1242" s="1" t="s">
        <v>285</v>
      </c>
      <c r="D1242" s="1" t="s">
        <v>3483</v>
      </c>
      <c r="E1242" s="1" t="s">
        <v>27</v>
      </c>
      <c r="F1242" s="1">
        <v>45209</v>
      </c>
      <c r="G1242" s="14" t="s">
        <v>670</v>
      </c>
      <c r="H1242" t="s">
        <v>3484</v>
      </c>
      <c r="I1242" s="2" t="s">
        <v>3485</v>
      </c>
      <c r="J1242" s="2">
        <v>0.024305555555555556</v>
      </c>
      <c r="K1242" s="1">
        <v>0.03125</v>
      </c>
      <c r="L1242" s="1">
        <v>0.05555555555555555</v>
      </c>
      <c r="M1242" s="1" t="s">
        <v>22</v>
      </c>
      <c r="N1242" s="1" t="s">
        <v>53</v>
      </c>
      <c r="O1242" s="1" t="s">
        <v>483</v>
      </c>
      <c r="P1242" s="1" t="s">
        <v>484</v>
      </c>
      <c r="Q1242" s="1">
        <v>45209</v>
      </c>
      <c r="R1242" s="14">
        <v>5</v>
      </c>
      <c r="S1242" s="1" t="s">
        <v>22</v>
      </c>
      <c r="T1242" s="1" t="s">
        <v>22</v>
      </c>
      <c r="U1242" s="1" t="s">
        <v>22</v>
      </c>
    </row>
    <row r="1243" spans="1:21" x14ac:dyDescent="0.25">
      <c r="A1243" s="1" t="s">
        <v>3476</v>
      </c>
      <c r="B1243" s="2" t="s">
        <v>35</v>
      </c>
      <c r="C1243" s="1" t="s">
        <v>25</v>
      </c>
      <c r="D1243" s="1" t="s">
        <v>3486</v>
      </c>
      <c r="E1243" s="1" t="s">
        <v>27</v>
      </c>
      <c r="F1243" s="1">
        <v>45209</v>
      </c>
      <c r="G1243" s="14" t="s">
        <v>28</v>
      </c>
      <c r="H1243" t="s">
        <v>3487</v>
      </c>
      <c r="I1243" s="2" t="s">
        <v>3488</v>
      </c>
      <c r="J1243" s="2">
        <v>0.0625</v>
      </c>
      <c r="K1243" s="1">
        <v>0.006944444444444444</v>
      </c>
      <c r="L1243" s="1">
        <v>0.06944444444444445</v>
      </c>
      <c r="M1243" s="1" t="s">
        <v>22</v>
      </c>
      <c r="N1243" s="1" t="s">
        <v>574</v>
      </c>
      <c r="O1243" s="1" t="s">
        <v>32</v>
      </c>
      <c r="P1243" s="1" t="s">
        <v>42</v>
      </c>
      <c r="Q1243" s="1">
        <v>45209</v>
      </c>
      <c r="R1243" s="14">
        <v>5</v>
      </c>
      <c r="S1243" s="1" t="s">
        <v>22</v>
      </c>
      <c r="T1243" s="1" t="s">
        <v>22</v>
      </c>
      <c r="U1243" s="1" t="s">
        <v>22</v>
      </c>
    </row>
    <row r="1244" spans="1:21" x14ac:dyDescent="0.25">
      <c r="A1244" s="1" t="s">
        <v>3476</v>
      </c>
      <c r="B1244" s="2" t="s">
        <v>35</v>
      </c>
      <c r="C1244" s="1" t="s">
        <v>25</v>
      </c>
      <c r="D1244" s="1" t="s">
        <v>3489</v>
      </c>
      <c r="E1244" s="1" t="s">
        <v>27</v>
      </c>
      <c r="F1244" s="1">
        <v>45210</v>
      </c>
      <c r="G1244" s="14" t="s">
        <v>74</v>
      </c>
      <c r="H1244" t="s">
        <v>3490</v>
      </c>
      <c r="I1244" s="2" t="s">
        <v>3491</v>
      </c>
      <c r="J1244" s="2">
        <v>0.0625</v>
      </c>
      <c r="K1244" s="1">
        <v>0.04861111111111111</v>
      </c>
      <c r="L1244" s="1">
        <v>0.1111111111111111</v>
      </c>
      <c r="M1244" s="1" t="s">
        <v>22</v>
      </c>
      <c r="N1244" s="1" t="s">
        <v>32</v>
      </c>
      <c r="O1244" s="1" t="s">
        <v>483</v>
      </c>
      <c r="P1244" s="1" t="s">
        <v>42</v>
      </c>
      <c r="Q1244" s="1">
        <v>45210</v>
      </c>
      <c r="R1244" s="14">
        <v>5</v>
      </c>
      <c r="S1244" s="1" t="s">
        <v>22</v>
      </c>
      <c r="T1244" s="1" t="s">
        <v>22</v>
      </c>
      <c r="U1244" s="1" t="s">
        <v>22</v>
      </c>
    </row>
    <row r="1245" spans="1:21" x14ac:dyDescent="0.25">
      <c r="A1245" s="1" t="s">
        <v>3476</v>
      </c>
      <c r="B1245" s="2" t="s">
        <v>113</v>
      </c>
      <c r="C1245" s="1" t="s">
        <v>25</v>
      </c>
      <c r="D1245" s="1" t="s">
        <v>3492</v>
      </c>
      <c r="E1245" s="1" t="s">
        <v>37</v>
      </c>
      <c r="F1245" s="1">
        <v>45210</v>
      </c>
      <c r="G1245" s="14" t="s">
        <v>3290</v>
      </c>
      <c r="H1245" t="s">
        <v>3493</v>
      </c>
      <c r="I1245" s="2" t="s">
        <v>3494</v>
      </c>
      <c r="J1245" s="2">
        <v>0.041666666666666664</v>
      </c>
      <c r="K1245" s="1">
        <v>0.05555555555555555</v>
      </c>
      <c r="L1245" s="1">
        <v>0.09722222222222221</v>
      </c>
      <c r="M1245" s="1" t="s">
        <v>22</v>
      </c>
      <c r="N1245" s="1" t="s">
        <v>31</v>
      </c>
      <c r="O1245" s="1" t="s">
        <v>483</v>
      </c>
      <c r="P1245" s="1" t="s">
        <v>484</v>
      </c>
      <c r="Q1245" s="1">
        <v>45210</v>
      </c>
      <c r="R1245" s="14">
        <v>5</v>
      </c>
      <c r="S1245" s="1" t="s">
        <v>22</v>
      </c>
      <c r="T1245" s="1" t="s">
        <v>22</v>
      </c>
      <c r="U1245" s="1" t="s">
        <v>22</v>
      </c>
    </row>
    <row r="1246" spans="1:21" x14ac:dyDescent="0.25">
      <c r="A1246" s="1" t="s">
        <v>3476</v>
      </c>
      <c r="B1246" s="2" t="s">
        <v>3296</v>
      </c>
      <c r="C1246" s="1" t="s">
        <v>309</v>
      </c>
      <c r="D1246" s="1" t="s">
        <v>3495</v>
      </c>
      <c r="E1246" s="1" t="s">
        <v>37</v>
      </c>
      <c r="F1246" s="1">
        <v>45211</v>
      </c>
      <c r="G1246" s="14" t="s">
        <v>28</v>
      </c>
      <c r="H1246" t="s">
        <v>3496</v>
      </c>
      <c r="I1246" s="2" t="s">
        <v>3497</v>
      </c>
      <c r="J1246" s="2">
        <v>0.034722222222222224</v>
      </c>
      <c r="K1246" s="1">
        <v>0.052083333333333336</v>
      </c>
      <c r="L1246" s="1">
        <v>0.08680555555555555</v>
      </c>
      <c r="M1246" s="1" t="s">
        <v>22</v>
      </c>
      <c r="N1246" s="1" t="s">
        <v>32</v>
      </c>
      <c r="O1246" s="1" t="s">
        <v>483</v>
      </c>
      <c r="P1246" s="1" t="s">
        <v>488</v>
      </c>
      <c r="Q1246" s="1">
        <v>45211</v>
      </c>
      <c r="R1246" s="14">
        <v>5</v>
      </c>
      <c r="S1246" s="1" t="s">
        <v>22</v>
      </c>
      <c r="T1246" s="1" t="s">
        <v>22</v>
      </c>
      <c r="U1246" s="1" t="s">
        <v>22</v>
      </c>
    </row>
    <row r="1247" spans="1:21" x14ac:dyDescent="0.25">
      <c r="A1247" s="1" t="s">
        <v>3476</v>
      </c>
      <c r="B1247" s="2" t="s">
        <v>35</v>
      </c>
      <c r="C1247" s="1" t="s">
        <v>25</v>
      </c>
      <c r="D1247" s="1" t="s">
        <v>3498</v>
      </c>
      <c r="E1247" s="1" t="s">
        <v>27</v>
      </c>
      <c r="F1247" s="1">
        <v>45213</v>
      </c>
      <c r="G1247" s="14" t="s">
        <v>38</v>
      </c>
      <c r="H1247" t="s">
        <v>3499</v>
      </c>
      <c r="I1247" s="2" t="s">
        <v>3499</v>
      </c>
      <c r="J1247" s="2">
        <v>0.020833333333333332</v>
      </c>
      <c r="K1247" s="1">
        <v>0.041666666666666664</v>
      </c>
      <c r="L1247" s="1">
        <v>0.0625</v>
      </c>
      <c r="M1247" s="1" t="s">
        <v>22</v>
      </c>
      <c r="N1247" s="1" t="s">
        <v>32</v>
      </c>
      <c r="O1247" s="1" t="s">
        <v>41</v>
      </c>
      <c r="P1247" s="1" t="s">
        <v>42</v>
      </c>
      <c r="Q1247" s="1">
        <v>45213</v>
      </c>
      <c r="R1247" s="14">
        <v>5</v>
      </c>
      <c r="S1247" s="1" t="s">
        <v>22</v>
      </c>
      <c r="T1247" s="1" t="s">
        <v>22</v>
      </c>
      <c r="U1247" s="1" t="s">
        <v>22</v>
      </c>
    </row>
    <row r="1248" spans="1:21" x14ac:dyDescent="0.25">
      <c r="A1248" s="1" t="s">
        <v>3476</v>
      </c>
      <c r="B1248" s="2" t="s">
        <v>284</v>
      </c>
      <c r="C1248" s="1" t="s">
        <v>285</v>
      </c>
      <c r="D1248" s="1" t="s">
        <v>3500</v>
      </c>
      <c r="E1248" s="1" t="s">
        <v>27</v>
      </c>
      <c r="F1248" s="1">
        <v>45223</v>
      </c>
      <c r="G1248" s="14" t="s">
        <v>507</v>
      </c>
      <c r="H1248" t="s">
        <v>3501</v>
      </c>
      <c r="I1248" s="2" t="s">
        <v>3502</v>
      </c>
      <c r="J1248" s="2">
        <v>0.013888888888888888</v>
      </c>
      <c r="K1248" s="1">
        <v>0.020833333333333332</v>
      </c>
      <c r="L1248" s="1">
        <v>0.034722222222222224</v>
      </c>
      <c r="M1248" s="1" t="s">
        <v>22</v>
      </c>
      <c r="N1248" s="1" t="s">
        <v>32</v>
      </c>
      <c r="O1248" s="1" t="s">
        <v>41</v>
      </c>
      <c r="P1248" s="1" t="s">
        <v>484</v>
      </c>
      <c r="Q1248" s="1">
        <v>45223</v>
      </c>
      <c r="R1248" s="14">
        <v>5</v>
      </c>
      <c r="S1248" s="1" t="s">
        <v>22</v>
      </c>
      <c r="T1248" s="1" t="s">
        <v>22</v>
      </c>
      <c r="U1248" s="1" t="s">
        <v>22</v>
      </c>
    </row>
    <row r="1249" spans="1:21" x14ac:dyDescent="0.25">
      <c r="A1249" s="1" t="s">
        <v>3476</v>
      </c>
      <c r="B1249" s="2" t="s">
        <v>99</v>
      </c>
      <c r="C1249" s="1" t="s">
        <v>25</v>
      </c>
      <c r="D1249" s="1" t="s">
        <v>3503</v>
      </c>
      <c r="E1249" s="1" t="s">
        <v>37</v>
      </c>
      <c r="F1249" s="1">
        <v>45224</v>
      </c>
      <c r="G1249" s="14" t="s">
        <v>28</v>
      </c>
      <c r="H1249" t="s">
        <v>3504</v>
      </c>
      <c r="I1249" s="2" t="s">
        <v>3505</v>
      </c>
      <c r="J1249" s="2">
        <v>0.034722222222222224</v>
      </c>
      <c r="K1249" s="1">
        <v>0.06944444444444443</v>
      </c>
      <c r="L1249" s="1">
        <v>0.10416666666666666</v>
      </c>
      <c r="M1249" s="1" t="s">
        <v>22</v>
      </c>
      <c r="N1249" s="1" t="s">
        <v>32</v>
      </c>
      <c r="O1249" s="1" t="s">
        <v>41</v>
      </c>
      <c r="P1249" s="1" t="s">
        <v>484</v>
      </c>
      <c r="Q1249" s="1">
        <v>45224</v>
      </c>
      <c r="R1249" s="14">
        <v>5</v>
      </c>
      <c r="S1249" s="1" t="s">
        <v>22</v>
      </c>
      <c r="T1249" s="1" t="s">
        <v>22</v>
      </c>
      <c r="U1249" s="1" t="s">
        <v>22</v>
      </c>
    </row>
    <row r="1250" spans="1:21" x14ac:dyDescent="0.25">
      <c r="A1250" s="1" t="s">
        <v>3506</v>
      </c>
      <c r="B1250" s="2" t="s">
        <v>113</v>
      </c>
      <c r="C1250" s="1" t="s">
        <v>25</v>
      </c>
      <c r="D1250" s="1" t="s">
        <v>3507</v>
      </c>
      <c r="E1250" s="1" t="s">
        <v>37</v>
      </c>
      <c r="F1250" s="1">
        <v>45232</v>
      </c>
      <c r="G1250" s="14" t="s">
        <v>28</v>
      </c>
      <c r="H1250" t="s">
        <v>3508</v>
      </c>
      <c r="I1250" s="2" t="s">
        <v>3509</v>
      </c>
      <c r="J1250" s="2">
        <v>0.034722222222222224</v>
      </c>
      <c r="K1250" s="1">
        <v>0.09027777777777778</v>
      </c>
      <c r="L1250" s="1">
        <v>0.125</v>
      </c>
      <c r="M1250" s="1" t="s">
        <v>22</v>
      </c>
      <c r="N1250" s="1" t="s">
        <v>32</v>
      </c>
      <c r="O1250" s="1" t="s">
        <v>41</v>
      </c>
      <c r="P1250" s="1" t="s">
        <v>484</v>
      </c>
      <c r="Q1250" s="1">
        <v>45232</v>
      </c>
      <c r="R1250" s="14">
        <v>5</v>
      </c>
      <c r="S1250" s="1" t="s">
        <v>22</v>
      </c>
      <c r="T1250" s="1" t="s">
        <v>22</v>
      </c>
      <c r="U1250" s="1" t="s">
        <v>22</v>
      </c>
    </row>
    <row r="1251" spans="1:21" x14ac:dyDescent="0.25">
      <c r="A1251" s="1" t="s">
        <v>3506</v>
      </c>
      <c r="B1251" s="2" t="s">
        <v>479</v>
      </c>
      <c r="C1251" s="1" t="s">
        <v>25</v>
      </c>
      <c r="D1251" s="1" t="s">
        <v>3510</v>
      </c>
      <c r="E1251" s="1" t="s">
        <v>27</v>
      </c>
      <c r="F1251" s="1">
        <v>45247</v>
      </c>
      <c r="G1251" s="14" t="s">
        <v>38</v>
      </c>
      <c r="H1251" t="s">
        <v>3511</v>
      </c>
      <c r="I1251" s="2" t="s">
        <v>3512</v>
      </c>
      <c r="J1251" s="2">
        <v>0.027777777777777776</v>
      </c>
      <c r="K1251" s="1">
        <v>0.020833333333333332</v>
      </c>
      <c r="L1251" s="1">
        <v>0.048611111111111105</v>
      </c>
      <c r="M1251" s="1" t="s">
        <v>22</v>
      </c>
      <c r="N1251" s="1" t="s">
        <v>53</v>
      </c>
      <c r="O1251" s="1" t="s">
        <v>32</v>
      </c>
      <c r="P1251" s="1" t="s">
        <v>42</v>
      </c>
      <c r="Q1251" s="1">
        <v>45247</v>
      </c>
      <c r="R1251" s="14">
        <v>5</v>
      </c>
      <c r="S1251" s="1" t="s">
        <v>22</v>
      </c>
      <c r="T1251" s="1" t="s">
        <v>22</v>
      </c>
      <c r="U1251" s="1" t="s">
        <v>22</v>
      </c>
    </row>
    <row r="1252" spans="1:21" x14ac:dyDescent="0.25">
      <c r="A1252" s="1" t="s">
        <v>3506</v>
      </c>
      <c r="B1252" s="2" t="s">
        <v>283</v>
      </c>
      <c r="C1252" s="1" t="s">
        <v>25</v>
      </c>
      <c r="D1252" s="1" t="s">
        <v>3513</v>
      </c>
      <c r="E1252" s="1" t="s">
        <v>37</v>
      </c>
      <c r="F1252" s="1">
        <v>45253</v>
      </c>
      <c r="G1252" s="14" t="s">
        <v>38</v>
      </c>
      <c r="H1252" t="s">
        <v>3514</v>
      </c>
      <c r="I1252" s="2" t="s">
        <v>3515</v>
      </c>
      <c r="J1252" s="2">
        <v>0.027777777777777776</v>
      </c>
      <c r="K1252" s="1">
        <v>0.03125</v>
      </c>
      <c r="L1252" s="1">
        <v>0.059027777777777776</v>
      </c>
      <c r="M1252" s="1" t="s">
        <v>22</v>
      </c>
      <c r="N1252" s="1" t="s">
        <v>31</v>
      </c>
      <c r="O1252" s="1" t="s">
        <v>483</v>
      </c>
      <c r="P1252" s="1" t="s">
        <v>488</v>
      </c>
      <c r="Q1252" s="1">
        <v>45253</v>
      </c>
      <c r="R1252" s="14">
        <v>5</v>
      </c>
      <c r="S1252" s="1" t="s">
        <v>22</v>
      </c>
      <c r="T1252" s="1" t="s">
        <v>22</v>
      </c>
      <c r="U1252" s="1" t="s">
        <v>22</v>
      </c>
    </row>
    <row r="1253" spans="1:21" x14ac:dyDescent="0.25">
      <c r="A1253" s="1" t="s">
        <v>3506</v>
      </c>
      <c r="B1253" s="2" t="s">
        <v>529</v>
      </c>
      <c r="C1253" s="1" t="s">
        <v>530</v>
      </c>
      <c r="D1253" s="1" t="s">
        <v>3516</v>
      </c>
      <c r="E1253" s="1" t="s">
        <v>37</v>
      </c>
      <c r="F1253" s="1">
        <v>45253</v>
      </c>
      <c r="G1253" s="14" t="s">
        <v>28</v>
      </c>
      <c r="H1253" t="s">
        <v>3517</v>
      </c>
      <c r="I1253" s="2" t="s">
        <v>3518</v>
      </c>
      <c r="J1253" s="2">
        <v>0.06597222222222222</v>
      </c>
      <c r="K1253" s="1">
        <v>0.0625</v>
      </c>
      <c r="L1253" s="1">
        <v>0.1284722222222222</v>
      </c>
      <c r="M1253" s="1" t="s">
        <v>22</v>
      </c>
      <c r="N1253" s="1" t="s">
        <v>41</v>
      </c>
      <c r="O1253" s="1" t="s">
        <v>32</v>
      </c>
      <c r="P1253" s="1" t="s">
        <v>484</v>
      </c>
      <c r="Q1253" s="1">
        <v>45253</v>
      </c>
      <c r="R1253" s="14">
        <v>5</v>
      </c>
      <c r="S1253" s="1" t="s">
        <v>22</v>
      </c>
      <c r="T1253" s="1" t="s">
        <v>22</v>
      </c>
      <c r="U1253" s="1" t="s">
        <v>22</v>
      </c>
    </row>
    <row r="1254" spans="1:21" x14ac:dyDescent="0.25">
      <c r="A1254" s="1" t="s">
        <v>3519</v>
      </c>
      <c r="B1254" s="2" t="s">
        <v>3296</v>
      </c>
      <c r="C1254" s="1" t="s">
        <v>309</v>
      </c>
      <c r="D1254" s="1" t="s">
        <v>3520</v>
      </c>
      <c r="E1254" s="1" t="s">
        <v>37</v>
      </c>
      <c r="F1254" s="1">
        <v>45264</v>
      </c>
      <c r="G1254" s="14" t="s">
        <v>507</v>
      </c>
      <c r="H1254" t="s">
        <v>3521</v>
      </c>
      <c r="I1254" s="2" t="s">
        <v>3522</v>
      </c>
      <c r="J1254" s="2">
        <v>0.027777777777777776</v>
      </c>
      <c r="K1254" s="1">
        <v>0.04861111111111111</v>
      </c>
      <c r="L1254" s="1">
        <v>0.0763888888888889</v>
      </c>
      <c r="M1254" s="1" t="s">
        <v>22</v>
      </c>
      <c r="N1254" s="1" t="s">
        <v>32</v>
      </c>
      <c r="O1254" s="1" t="s">
        <v>41</v>
      </c>
      <c r="P1254" s="1" t="s">
        <v>488</v>
      </c>
      <c r="Q1254" s="1">
        <v>45264</v>
      </c>
      <c r="R1254" s="14">
        <v>5</v>
      </c>
      <c r="S1254" s="1" t="s">
        <v>22</v>
      </c>
      <c r="T1254" s="1" t="s">
        <v>22</v>
      </c>
      <c r="U1254" s="1" t="s">
        <v>22</v>
      </c>
    </row>
    <row r="1255" spans="1:21" x14ac:dyDescent="0.25">
      <c r="A1255" s="1" t="s">
        <v>3519</v>
      </c>
      <c r="B1255" s="2" t="s">
        <v>529</v>
      </c>
      <c r="C1255" s="1" t="s">
        <v>530</v>
      </c>
      <c r="D1255" s="1" t="s">
        <v>3523</v>
      </c>
      <c r="E1255" s="1" t="s">
        <v>37</v>
      </c>
      <c r="F1255" s="1">
        <v>45269</v>
      </c>
      <c r="G1255" s="14" t="s">
        <v>28</v>
      </c>
      <c r="H1255" t="s">
        <v>3524</v>
      </c>
      <c r="I1255" s="2" t="s">
        <v>3525</v>
      </c>
      <c r="J1255" s="2">
        <v>0.06597222222222222</v>
      </c>
      <c r="K1255" s="1">
        <v>0.05555555555555555</v>
      </c>
      <c r="L1255" s="1">
        <v>0.12152777777777778</v>
      </c>
      <c r="M1255" s="1" t="s">
        <v>22</v>
      </c>
      <c r="N1255" s="1" t="s">
        <v>41</v>
      </c>
      <c r="O1255" s="1" t="s">
        <v>32</v>
      </c>
      <c r="P1255" s="1" t="s">
        <v>484</v>
      </c>
      <c r="Q1255" s="1">
        <v>45269</v>
      </c>
      <c r="R1255" s="14">
        <v>5</v>
      </c>
      <c r="S1255" s="1" t="s">
        <v>22</v>
      </c>
      <c r="T1255" s="1" t="s">
        <v>22</v>
      </c>
      <c r="U1255" s="1" t="s">
        <v>22</v>
      </c>
    </row>
    <row r="1256" spans="1:21" x14ac:dyDescent="0.25">
      <c r="A1256" s="1" t="s">
        <v>3519</v>
      </c>
      <c r="B1256" s="2" t="s">
        <v>247</v>
      </c>
      <c r="C1256" s="1" t="s">
        <v>25</v>
      </c>
      <c r="D1256" s="1" t="s">
        <v>3526</v>
      </c>
      <c r="E1256" s="1" t="s">
        <v>27</v>
      </c>
      <c r="F1256" s="1">
        <v>45269</v>
      </c>
      <c r="G1256" s="14" t="s">
        <v>38</v>
      </c>
      <c r="H1256" t="s">
        <v>3527</v>
      </c>
      <c r="I1256" s="2" t="s">
        <v>3528</v>
      </c>
      <c r="J1256" s="2">
        <v>0.041666666666666664</v>
      </c>
      <c r="K1256" s="1">
        <v>0.041666666666666664</v>
      </c>
      <c r="L1256" s="1">
        <v>0.08333333333333333</v>
      </c>
      <c r="M1256" s="1" t="s">
        <v>22</v>
      </c>
      <c r="N1256" s="1" t="s">
        <v>31</v>
      </c>
      <c r="O1256" s="1" t="s">
        <v>32</v>
      </c>
      <c r="P1256" s="1" t="s">
        <v>488</v>
      </c>
      <c r="Q1256" s="1">
        <v>45269</v>
      </c>
      <c r="R1256" s="14">
        <v>5</v>
      </c>
      <c r="S1256" s="1" t="s">
        <v>22</v>
      </c>
      <c r="T1256" s="1" t="s">
        <v>22</v>
      </c>
      <c r="U1256" s="1" t="s">
        <v>22</v>
      </c>
    </row>
    <row r="1257" spans="1:21" x14ac:dyDescent="0.25">
      <c r="A1257" s="1" t="s">
        <v>3519</v>
      </c>
      <c r="B1257" s="2" t="s">
        <v>3296</v>
      </c>
      <c r="C1257" s="1" t="s">
        <v>309</v>
      </c>
      <c r="D1257" s="1" t="s">
        <v>3529</v>
      </c>
      <c r="E1257" s="1" t="s">
        <v>37</v>
      </c>
      <c r="F1257" s="1">
        <v>45264</v>
      </c>
      <c r="G1257" s="14" t="s">
        <v>507</v>
      </c>
      <c r="H1257" t="s">
        <v>3530</v>
      </c>
      <c r="I1257" s="2" t="s">
        <v>3522</v>
      </c>
      <c r="J1257" s="2">
        <v>0.017361111111111112</v>
      </c>
      <c r="K1257" s="1">
        <v>0.03125</v>
      </c>
      <c r="L1257" s="1">
        <v>0.04861111111111111</v>
      </c>
      <c r="M1257" s="1" t="s">
        <v>22</v>
      </c>
      <c r="N1257" s="1" t="s">
        <v>31</v>
      </c>
      <c r="O1257" s="1" t="s">
        <v>32</v>
      </c>
      <c r="P1257" s="1" t="s">
        <v>488</v>
      </c>
      <c r="Q1257" s="1">
        <v>45273</v>
      </c>
      <c r="R1257" s="14">
        <v>5</v>
      </c>
      <c r="S1257" s="1" t="s">
        <v>22</v>
      </c>
      <c r="T1257" s="1" t="s">
        <v>22</v>
      </c>
      <c r="U1257" s="1" t="s">
        <v>22</v>
      </c>
    </row>
    <row r="1258" spans="1:21" x14ac:dyDescent="0.25">
      <c r="A1258" s="1" t="s">
        <v>3519</v>
      </c>
      <c r="B1258" s="2" t="s">
        <v>99</v>
      </c>
      <c r="C1258" s="1" t="s">
        <v>25</v>
      </c>
      <c r="D1258" s="1" t="s">
        <v>3531</v>
      </c>
      <c r="E1258" s="1" t="s">
        <v>27</v>
      </c>
      <c r="F1258" s="1">
        <v>45273</v>
      </c>
      <c r="G1258" s="14" t="s">
        <v>28</v>
      </c>
      <c r="H1258" t="s">
        <v>3532</v>
      </c>
      <c r="I1258" s="2" t="s">
        <v>3533</v>
      </c>
      <c r="J1258" s="2">
        <v>0.03125</v>
      </c>
      <c r="K1258" s="1">
        <v>0.06597222222222222</v>
      </c>
      <c r="L1258" s="1">
        <v>0.09722222222222222</v>
      </c>
      <c r="M1258" s="1" t="s">
        <v>22</v>
      </c>
      <c r="N1258" s="1" t="s">
        <v>483</v>
      </c>
      <c r="O1258" s="1" t="s">
        <v>41</v>
      </c>
      <c r="P1258" s="1" t="s">
        <v>484</v>
      </c>
      <c r="Q1258" s="1">
        <v>45273</v>
      </c>
      <c r="R1258" s="14">
        <v>5</v>
      </c>
      <c r="S1258" s="1" t="s">
        <v>22</v>
      </c>
      <c r="T1258" s="1" t="s">
        <v>22</v>
      </c>
      <c r="U1258" s="1" t="s">
        <v>22</v>
      </c>
    </row>
    <row r="1259" spans="1:21" x14ac:dyDescent="0.25">
      <c r="A1259" s="1" t="s">
        <v>3519</v>
      </c>
      <c r="B1259" s="2" t="s">
        <v>48</v>
      </c>
      <c r="C1259" s="1" t="s">
        <v>25</v>
      </c>
      <c r="D1259" s="1" t="s">
        <v>3534</v>
      </c>
      <c r="E1259" s="1" t="s">
        <v>37</v>
      </c>
      <c r="F1259" s="1">
        <v>45279</v>
      </c>
      <c r="G1259" s="14" t="s">
        <v>133</v>
      </c>
      <c r="H1259" t="s">
        <v>3535</v>
      </c>
      <c r="I1259" s="2" t="s">
        <v>3536</v>
      </c>
      <c r="J1259" s="2">
        <v>0.024305555555555556</v>
      </c>
      <c r="K1259" s="1">
        <v>0.052083333333333336</v>
      </c>
      <c r="L1259" s="1">
        <v>0.0763888888888889</v>
      </c>
      <c r="M1259" s="1" t="s">
        <v>22</v>
      </c>
      <c r="N1259" s="1" t="s">
        <v>483</v>
      </c>
      <c r="O1259" s="1" t="s">
        <v>41</v>
      </c>
      <c r="P1259" s="1" t="s">
        <v>484</v>
      </c>
      <c r="Q1259" s="1">
        <v>45279</v>
      </c>
      <c r="R1259" s="14">
        <v>5</v>
      </c>
      <c r="S1259" s="1" t="s">
        <v>22</v>
      </c>
      <c r="T1259" s="1" t="s">
        <v>22</v>
      </c>
      <c r="U1259" s="1" t="s">
        <v>22</v>
      </c>
    </row>
    <row r="1260" spans="1:21" x14ac:dyDescent="0.25">
      <c r="A1260" s="1" t="s">
        <v>3519</v>
      </c>
      <c r="B1260" s="2" t="s">
        <v>223</v>
      </c>
      <c r="C1260" s="1" t="s">
        <v>186</v>
      </c>
      <c r="D1260" s="1" t="s">
        <v>3537</v>
      </c>
      <c r="E1260" s="1" t="s">
        <v>37</v>
      </c>
      <c r="F1260" s="1">
        <v>45279</v>
      </c>
      <c r="G1260" s="14" t="s">
        <v>28</v>
      </c>
      <c r="H1260" t="s">
        <v>3538</v>
      </c>
      <c r="I1260" s="2" t="s">
        <v>3539</v>
      </c>
      <c r="J1260" s="2">
        <v>0.06944444444444443</v>
      </c>
      <c r="K1260" s="1">
        <v>0.034722222222222224</v>
      </c>
      <c r="L1260" s="1">
        <v>0.10416666666666666</v>
      </c>
      <c r="M1260" s="1" t="s">
        <v>22</v>
      </c>
      <c r="N1260" s="1" t="s">
        <v>41</v>
      </c>
      <c r="O1260" s="1" t="s">
        <v>32</v>
      </c>
      <c r="P1260" s="1" t="s">
        <v>488</v>
      </c>
      <c r="Q1260" s="1">
        <v>45279</v>
      </c>
      <c r="R1260" s="14">
        <v>5</v>
      </c>
      <c r="S1260" s="1" t="s">
        <v>22</v>
      </c>
      <c r="T1260" s="1" t="s">
        <v>22</v>
      </c>
      <c r="U1260" s="1" t="s">
        <v>22</v>
      </c>
    </row>
    <row r="1261" spans="1:21" x14ac:dyDescent="0.25">
      <c r="A1261" s="1" t="s">
        <v>3519</v>
      </c>
      <c r="B1261" s="2" t="s">
        <v>283</v>
      </c>
      <c r="C1261" s="1" t="s">
        <v>25</v>
      </c>
      <c r="D1261" s="1" t="s">
        <v>3540</v>
      </c>
      <c r="E1261" s="1" t="s">
        <v>27</v>
      </c>
      <c r="F1261" s="1">
        <v>45280</v>
      </c>
      <c r="G1261" s="14" t="s">
        <v>507</v>
      </c>
      <c r="H1261" t="s">
        <v>3541</v>
      </c>
      <c r="I1261" s="2" t="s">
        <v>3542</v>
      </c>
      <c r="J1261" s="2">
        <v>0.027777777777777776</v>
      </c>
      <c r="K1261" s="1">
        <v>0.05555555555555555</v>
      </c>
      <c r="L1261" s="1">
        <v>0.08333333333333333</v>
      </c>
      <c r="M1261" s="1" t="s">
        <v>22</v>
      </c>
      <c r="N1261" s="1" t="s">
        <v>483</v>
      </c>
      <c r="O1261" s="1" t="s">
        <v>41</v>
      </c>
      <c r="P1261" s="1" t="s">
        <v>488</v>
      </c>
      <c r="Q1261" s="1">
        <v>45280</v>
      </c>
      <c r="R1261" s="14">
        <v>5</v>
      </c>
      <c r="S1261" s="1" t="s">
        <v>22</v>
      </c>
      <c r="T1261" s="1" t="s">
        <v>22</v>
      </c>
      <c r="U1261" s="1" t="s">
        <v>22</v>
      </c>
    </row>
    <row r="1262" spans="1:21" x14ac:dyDescent="0.25">
      <c r="A1262" s="1" t="s">
        <v>3519</v>
      </c>
      <c r="B1262" s="2" t="s">
        <v>286</v>
      </c>
      <c r="C1262" s="1" t="s">
        <v>287</v>
      </c>
      <c r="D1262" s="1" t="s">
        <v>3543</v>
      </c>
      <c r="E1262" s="1" t="s">
        <v>37</v>
      </c>
      <c r="F1262" s="1">
        <v>45280</v>
      </c>
      <c r="G1262" s="14" t="s">
        <v>38</v>
      </c>
      <c r="H1262" t="s">
        <v>3544</v>
      </c>
      <c r="I1262" s="2" t="s">
        <v>3545</v>
      </c>
      <c r="J1262" s="2">
        <v>0.1111111111111111</v>
      </c>
      <c r="K1262" s="1">
        <v>0.0625</v>
      </c>
      <c r="L1262" s="1">
        <v>0.1736111111111111</v>
      </c>
      <c r="M1262" s="1" t="s">
        <v>22</v>
      </c>
      <c r="N1262" s="1" t="s">
        <v>483</v>
      </c>
      <c r="O1262" s="1" t="s">
        <v>32</v>
      </c>
      <c r="P1262" s="1" t="s">
        <v>484</v>
      </c>
      <c r="Q1262" s="1">
        <v>45280</v>
      </c>
      <c r="R1262" s="14">
        <v>5</v>
      </c>
      <c r="S1262" s="1" t="s">
        <v>22</v>
      </c>
      <c r="T1262" s="1" t="s">
        <v>22</v>
      </c>
      <c r="U1262" s="1" t="s">
        <v>22</v>
      </c>
    </row>
    <row r="1263" spans="1:21" x14ac:dyDescent="0.25">
      <c r="A1263" s="1" t="s">
        <v>3519</v>
      </c>
      <c r="B1263" s="2" t="s">
        <v>99</v>
      </c>
      <c r="C1263" s="1" t="s">
        <v>25</v>
      </c>
      <c r="D1263" s="1" t="s">
        <v>3546</v>
      </c>
      <c r="E1263" s="1" t="s">
        <v>27</v>
      </c>
      <c r="F1263" s="1">
        <v>45281</v>
      </c>
      <c r="G1263" s="14" t="s">
        <v>28</v>
      </c>
      <c r="H1263" t="s">
        <v>3547</v>
      </c>
      <c r="I1263" s="2" t="s">
        <v>3548</v>
      </c>
      <c r="J1263" s="2">
        <v>0.041666666666666664</v>
      </c>
      <c r="K1263" s="1">
        <v>0.05555555555555555</v>
      </c>
      <c r="L1263" s="1">
        <v>0.09722222222222221</v>
      </c>
      <c r="M1263" s="1" t="s">
        <v>22</v>
      </c>
      <c r="N1263" s="1" t="s">
        <v>41</v>
      </c>
      <c r="O1263" s="1" t="s">
        <v>32</v>
      </c>
      <c r="P1263" s="1" t="s">
        <v>484</v>
      </c>
      <c r="Q1263" s="1">
        <v>45281</v>
      </c>
      <c r="R1263" s="14">
        <v>5</v>
      </c>
      <c r="S1263" s="1" t="s">
        <v>22</v>
      </c>
      <c r="T1263" s="1" t="s">
        <v>22</v>
      </c>
      <c r="U1263" s="1" t="s">
        <v>22</v>
      </c>
    </row>
    <row r="1264" spans="1:21" x14ac:dyDescent="0.25">
      <c r="A1264" s="1" t="s">
        <v>3519</v>
      </c>
      <c r="B1264" s="2" t="s">
        <v>223</v>
      </c>
      <c r="C1264" s="1" t="s">
        <v>186</v>
      </c>
      <c r="D1264" s="1" t="s">
        <v>3537</v>
      </c>
      <c r="E1264" s="1" t="s">
        <v>37</v>
      </c>
      <c r="F1264" s="1">
        <v>45281</v>
      </c>
      <c r="G1264" s="14" t="s">
        <v>38</v>
      </c>
      <c r="H1264" t="s">
        <v>3549</v>
      </c>
      <c r="I1264" s="2" t="s">
        <v>3550</v>
      </c>
      <c r="J1264" s="2">
        <v>0.0625</v>
      </c>
      <c r="K1264" s="1">
        <v>0.04513888888888889</v>
      </c>
      <c r="L1264" s="1">
        <v>0.1076388888888889</v>
      </c>
      <c r="M1264" s="1" t="s">
        <v>22</v>
      </c>
      <c r="N1264" s="1" t="s">
        <v>31</v>
      </c>
      <c r="O1264" s="1" t="s">
        <v>483</v>
      </c>
      <c r="P1264" s="1" t="s">
        <v>488</v>
      </c>
      <c r="Q1264" s="1">
        <v>45281</v>
      </c>
      <c r="R1264" s="14">
        <v>5</v>
      </c>
      <c r="S1264" s="1" t="s">
        <v>22</v>
      </c>
      <c r="T1264" s="1" t="s">
        <v>22</v>
      </c>
      <c r="U1264" s="1" t="s">
        <v>22</v>
      </c>
    </row>
    <row r="1265" spans="1:21" x14ac:dyDescent="0.25">
      <c r="A1265" s="1" t="s">
        <v>3519</v>
      </c>
      <c r="B1265" s="2" t="s">
        <v>260</v>
      </c>
      <c r="C1265" s="1" t="s">
        <v>261</v>
      </c>
      <c r="D1265" s="1" t="s">
        <v>3551</v>
      </c>
      <c r="E1265" s="1" t="s">
        <v>37</v>
      </c>
      <c r="F1265" s="1">
        <v>45283</v>
      </c>
      <c r="G1265" s="14" t="s">
        <v>38</v>
      </c>
      <c r="H1265" t="s">
        <v>3552</v>
      </c>
      <c r="I1265" s="2" t="s">
        <v>3553</v>
      </c>
      <c r="J1265" s="2">
        <v>0.013888888888888888</v>
      </c>
      <c r="K1265" s="1">
        <v>0.020833333333333332</v>
      </c>
      <c r="L1265" s="1">
        <v>0.034722222222222224</v>
      </c>
      <c r="M1265" s="1" t="s">
        <v>22</v>
      </c>
      <c r="N1265" s="1" t="s">
        <v>31</v>
      </c>
      <c r="O1265" s="1" t="s">
        <v>483</v>
      </c>
      <c r="P1265" s="1" t="s">
        <v>42</v>
      </c>
      <c r="Q1265" s="1">
        <v>45282</v>
      </c>
      <c r="R1265" s="14">
        <v>5</v>
      </c>
      <c r="S1265" s="1" t="s">
        <v>22</v>
      </c>
      <c r="T1265" s="1" t="s">
        <v>22</v>
      </c>
      <c r="U1265" s="1" t="s">
        <v>22</v>
      </c>
    </row>
    <row r="1266" spans="1:21" x14ac:dyDescent="0.25">
      <c r="A1266" s="1" t="s">
        <v>3519</v>
      </c>
      <c r="B1266" s="2" t="s">
        <v>43</v>
      </c>
      <c r="C1266" s="1" t="s">
        <v>44</v>
      </c>
      <c r="D1266" s="1" t="s">
        <v>3554</v>
      </c>
      <c r="E1266" s="1" t="s">
        <v>27</v>
      </c>
      <c r="F1266" s="1">
        <v>45286</v>
      </c>
      <c r="G1266" s="14" t="s">
        <v>507</v>
      </c>
      <c r="H1266" t="s">
        <v>3555</v>
      </c>
      <c r="I1266" s="2" t="s">
        <v>3556</v>
      </c>
      <c r="J1266" s="2">
        <v>0.013888888888888888</v>
      </c>
      <c r="K1266" s="1">
        <v>0.020833333333333332</v>
      </c>
      <c r="L1266" s="1">
        <v>0.034722222222222224</v>
      </c>
      <c r="M1266" s="1" t="s">
        <v>22</v>
      </c>
      <c r="N1266" s="1" t="s">
        <v>31</v>
      </c>
      <c r="O1266" s="1" t="s">
        <v>483</v>
      </c>
      <c r="P1266" s="1" t="s">
        <v>42</v>
      </c>
      <c r="Q1266" s="1">
        <v>45286</v>
      </c>
      <c r="R1266" s="14">
        <v>5</v>
      </c>
      <c r="S1266" s="1" t="s">
        <v>22</v>
      </c>
      <c r="T1266" s="1" t="s">
        <v>22</v>
      </c>
      <c r="U1266" s="1" t="s">
        <v>22</v>
      </c>
    </row>
    <row r="1267" spans="1:21" x14ac:dyDescent="0.25">
      <c r="A1267" s="1" t="s">
        <v>3519</v>
      </c>
      <c r="B1267" s="2" t="s">
        <v>537</v>
      </c>
      <c r="C1267" s="1" t="s">
        <v>229</v>
      </c>
      <c r="D1267" s="1" t="s">
        <v>3557</v>
      </c>
      <c r="E1267" s="1" t="s">
        <v>37</v>
      </c>
      <c r="F1267" s="1">
        <v>45286</v>
      </c>
      <c r="G1267" s="14" t="s">
        <v>670</v>
      </c>
      <c r="H1267" t="s">
        <v>3558</v>
      </c>
      <c r="I1267" s="2" t="s">
        <v>3559</v>
      </c>
      <c r="J1267" s="2">
        <v>0.013888888888888888</v>
      </c>
      <c r="K1267" s="1">
        <v>0.020833333333333332</v>
      </c>
      <c r="L1267" s="1">
        <v>0.034722222222222224</v>
      </c>
      <c r="M1267" s="1" t="s">
        <v>22</v>
      </c>
      <c r="N1267" s="1" t="s">
        <v>31</v>
      </c>
      <c r="O1267" s="1" t="s">
        <v>483</v>
      </c>
      <c r="P1267" s="1" t="s">
        <v>42</v>
      </c>
      <c r="Q1267" s="1">
        <v>45286</v>
      </c>
      <c r="R1267" s="14">
        <v>5</v>
      </c>
      <c r="S1267" s="1" t="s">
        <v>22</v>
      </c>
      <c r="T1267" s="1" t="s">
        <v>22</v>
      </c>
      <c r="U1267" s="1" t="s">
        <v>22</v>
      </c>
    </row>
    <row r="1268" spans="1:21" x14ac:dyDescent="0.25">
      <c r="A1268" s="1" t="s">
        <v>3519</v>
      </c>
      <c r="B1268" s="2" t="s">
        <v>3446</v>
      </c>
      <c r="C1268" s="1" t="s">
        <v>25</v>
      </c>
      <c r="D1268" s="1" t="s">
        <v>3560</v>
      </c>
      <c r="E1268" s="1" t="s">
        <v>27</v>
      </c>
      <c r="F1268" s="1">
        <v>45288</v>
      </c>
      <c r="G1268" s="14" t="s">
        <v>96</v>
      </c>
      <c r="H1268" t="s">
        <v>3561</v>
      </c>
      <c r="I1268" s="2" t="s">
        <v>3562</v>
      </c>
      <c r="J1268" s="2">
        <v>0.013888888888888888</v>
      </c>
      <c r="K1268" s="1">
        <v>0.03125</v>
      </c>
      <c r="L1268" s="1">
        <v>0.04513888888888889</v>
      </c>
      <c r="M1268" s="1" t="s">
        <v>22</v>
      </c>
      <c r="N1268" s="1" t="s">
        <v>32</v>
      </c>
      <c r="O1268" s="1" t="s">
        <v>483</v>
      </c>
      <c r="P1268" s="1" t="s">
        <v>42</v>
      </c>
      <c r="Q1268" s="1">
        <v>45288</v>
      </c>
      <c r="R1268" s="14">
        <v>5</v>
      </c>
      <c r="S1268" s="1" t="s">
        <v>22</v>
      </c>
      <c r="T1268" s="1" t="s">
        <v>22</v>
      </c>
      <c r="U1268" s="1" t="s">
        <v>22</v>
      </c>
    </row>
    <row r="1269" spans="1:21" x14ac:dyDescent="0.25">
      <c r="A1269" s="1" t="s">
        <v>3519</v>
      </c>
      <c r="B1269" s="2" t="s">
        <v>545</v>
      </c>
      <c r="C1269" s="1" t="s">
        <v>546</v>
      </c>
      <c r="D1269" s="1" t="s">
        <v>3563</v>
      </c>
      <c r="E1269" s="1" t="s">
        <v>27</v>
      </c>
      <c r="F1269" s="1">
        <v>45289</v>
      </c>
      <c r="G1269" s="14" t="s">
        <v>507</v>
      </c>
      <c r="H1269" t="s">
        <v>3564</v>
      </c>
      <c r="I1269" s="2" t="s">
        <v>3565</v>
      </c>
      <c r="J1269" s="2">
        <v>0.013888888888888888</v>
      </c>
      <c r="K1269" s="1">
        <v>0.020833333333333332</v>
      </c>
      <c r="L1269" s="1">
        <v>0.034722222222222224</v>
      </c>
      <c r="M1269" s="1" t="s">
        <v>22</v>
      </c>
      <c r="N1269" s="1" t="s">
        <v>483</v>
      </c>
      <c r="O1269" s="1" t="s">
        <v>32</v>
      </c>
      <c r="P1269" s="1" t="s">
        <v>484</v>
      </c>
      <c r="Q1269" s="1">
        <v>45289</v>
      </c>
      <c r="R1269" s="14">
        <v>5</v>
      </c>
      <c r="S1269" s="1" t="s">
        <v>22</v>
      </c>
      <c r="T1269" s="1" t="s">
        <v>22</v>
      </c>
      <c r="U1269" s="1" t="s">
        <v>22</v>
      </c>
    </row>
    <row r="1270" spans="1:21" x14ac:dyDescent="0.25">
      <c r="A1270" s="1" t="s">
        <v>3519</v>
      </c>
      <c r="B1270" s="2" t="s">
        <v>545</v>
      </c>
      <c r="C1270" s="1" t="s">
        <v>546</v>
      </c>
      <c r="D1270" s="1" t="s">
        <v>3566</v>
      </c>
      <c r="E1270" s="1" t="s">
        <v>37</v>
      </c>
      <c r="F1270" s="1">
        <v>45289</v>
      </c>
      <c r="G1270" s="14" t="s">
        <v>353</v>
      </c>
      <c r="H1270" t="s">
        <v>3567</v>
      </c>
      <c r="I1270" s="2" t="s">
        <v>3568</v>
      </c>
      <c r="J1270" s="2">
        <v>0.020833333333333332</v>
      </c>
      <c r="K1270" s="1">
        <v>0.041666666666666664</v>
      </c>
      <c r="L1270" s="1">
        <v>0.0625</v>
      </c>
      <c r="M1270" s="1" t="s">
        <v>22</v>
      </c>
      <c r="N1270" s="1" t="s">
        <v>32</v>
      </c>
      <c r="O1270" s="1" t="s">
        <v>483</v>
      </c>
      <c r="P1270" s="1" t="s">
        <v>484</v>
      </c>
      <c r="Q1270" s="1">
        <v>45289</v>
      </c>
      <c r="R1270" s="14">
        <v>5</v>
      </c>
      <c r="S1270" s="1" t="s">
        <v>22</v>
      </c>
      <c r="T1270" s="1" t="s">
        <v>22</v>
      </c>
      <c r="U1270" s="1" t="s">
        <v>22</v>
      </c>
    </row>
    <row r="1271" spans="1:21" x14ac:dyDescent="0.25">
      <c r="A1271" s="1" t="s">
        <v>478</v>
      </c>
      <c r="B1271" s="2" t="s">
        <v>479</v>
      </c>
      <c r="C1271" s="1" t="s">
        <v>25</v>
      </c>
      <c r="D1271" s="1" t="s">
        <v>480</v>
      </c>
      <c r="E1271" s="1" t="s">
        <v>37</v>
      </c>
      <c r="F1271" s="1">
        <v>45293</v>
      </c>
      <c r="G1271" s="14" t="s">
        <v>28</v>
      </c>
      <c r="H1271" t="s">
        <v>481</v>
      </c>
      <c r="I1271" s="2" t="s">
        <v>482</v>
      </c>
      <c r="J1271" s="2">
        <v>0.04513888888888889</v>
      </c>
      <c r="K1271" s="1">
        <v>0.05555555555555555</v>
      </c>
      <c r="L1271" s="1">
        <v>0.10069444444444445</v>
      </c>
      <c r="M1271" s="1" t="s">
        <v>22</v>
      </c>
      <c r="N1271" s="1" t="s">
        <v>31</v>
      </c>
      <c r="O1271" s="1" t="s">
        <v>483</v>
      </c>
      <c r="P1271" s="1" t="s">
        <v>484</v>
      </c>
      <c r="Q1271" s="1">
        <v>45293</v>
      </c>
      <c r="R1271" s="14">
        <v>5</v>
      </c>
      <c r="S1271" s="1" t="s">
        <v>22</v>
      </c>
      <c r="T1271" s="1" t="s">
        <v>22</v>
      </c>
      <c r="U1271" s="1" t="s">
        <v>22</v>
      </c>
    </row>
    <row r="1272" spans="1:21" x14ac:dyDescent="0.25">
      <c r="A1272" s="1" t="s">
        <v>478</v>
      </c>
      <c r="B1272" s="2" t="s">
        <v>283</v>
      </c>
      <c r="C1272" s="1" t="s">
        <v>25</v>
      </c>
      <c r="D1272" s="1" t="s">
        <v>485</v>
      </c>
      <c r="E1272" s="1" t="s">
        <v>37</v>
      </c>
      <c r="F1272" s="1">
        <v>45294</v>
      </c>
      <c r="G1272" s="14" t="s">
        <v>133</v>
      </c>
      <c r="H1272" t="s">
        <v>486</v>
      </c>
      <c r="I1272" s="2" t="s">
        <v>487</v>
      </c>
      <c r="J1272" s="2">
        <v>0.020833333333333332</v>
      </c>
      <c r="K1272" s="1">
        <v>0.034722222222222224</v>
      </c>
      <c r="L1272" s="1">
        <v>0.05555555555555555</v>
      </c>
      <c r="M1272" s="1" t="s">
        <v>22</v>
      </c>
      <c r="N1272" s="1" t="s">
        <v>54</v>
      </c>
      <c r="O1272" s="1" t="s">
        <v>32</v>
      </c>
      <c r="P1272" s="1" t="s">
        <v>488</v>
      </c>
      <c r="Q1272" s="1">
        <v>45294</v>
      </c>
      <c r="R1272" s="14">
        <v>5</v>
      </c>
      <c r="S1272" s="1" t="s">
        <v>22</v>
      </c>
      <c r="T1272" s="1" t="s">
        <v>22</v>
      </c>
      <c r="U1272" s="1" t="s">
        <v>22</v>
      </c>
    </row>
    <row r="1273" spans="1:21" x14ac:dyDescent="0.25">
      <c r="A1273" s="1" t="s">
        <v>478</v>
      </c>
      <c r="B1273" s="2" t="s">
        <v>489</v>
      </c>
      <c r="C1273" s="1" t="s">
        <v>490</v>
      </c>
      <c r="D1273" s="1" t="s">
        <v>491</v>
      </c>
      <c r="E1273" s="1" t="s">
        <v>27</v>
      </c>
      <c r="F1273" s="1">
        <v>45294</v>
      </c>
      <c r="G1273" s="14" t="s">
        <v>28</v>
      </c>
      <c r="H1273" t="s">
        <v>492</v>
      </c>
      <c r="I1273" s="2" t="s">
        <v>493</v>
      </c>
      <c r="J1273" s="2">
        <v>0.020833333333333332</v>
      </c>
      <c r="K1273" s="1">
        <v>0.04861111111111111</v>
      </c>
      <c r="L1273" s="1">
        <v>0.06944444444444445</v>
      </c>
      <c r="M1273" s="1" t="s">
        <v>22</v>
      </c>
      <c r="N1273" s="1" t="s">
        <v>483</v>
      </c>
      <c r="O1273" s="1" t="s">
        <v>32</v>
      </c>
      <c r="P1273" s="1" t="s">
        <v>42</v>
      </c>
      <c r="Q1273" s="1">
        <v>45294</v>
      </c>
      <c r="R1273" s="14">
        <v>5</v>
      </c>
      <c r="S1273" s="1" t="s">
        <v>22</v>
      </c>
      <c r="T1273" s="1" t="s">
        <v>22</v>
      </c>
      <c r="U1273" s="1" t="s">
        <v>22</v>
      </c>
    </row>
    <row r="1274" spans="1:21" x14ac:dyDescent="0.25">
      <c r="A1274" s="1" t="s">
        <v>478</v>
      </c>
      <c r="B1274" s="2" t="s">
        <v>223</v>
      </c>
      <c r="C1274" s="1" t="s">
        <v>186</v>
      </c>
      <c r="D1274" s="1" t="s">
        <v>494</v>
      </c>
      <c r="E1274" s="1" t="s">
        <v>37</v>
      </c>
      <c r="F1274" s="1">
        <v>45294</v>
      </c>
      <c r="G1274" s="14" t="s">
        <v>74</v>
      </c>
      <c r="H1274" t="s">
        <v>495</v>
      </c>
      <c r="I1274" s="2" t="s">
        <v>496</v>
      </c>
      <c r="J1274" s="2">
        <v>0.020833333333333332</v>
      </c>
      <c r="K1274" s="1">
        <v>0.027777777777777776</v>
      </c>
      <c r="L1274" s="1">
        <v>0.048611111111111105</v>
      </c>
      <c r="M1274" s="1" t="s">
        <v>22</v>
      </c>
      <c r="N1274" s="1" t="s">
        <v>31</v>
      </c>
      <c r="O1274" s="1" t="s">
        <v>483</v>
      </c>
      <c r="P1274" s="1" t="s">
        <v>488</v>
      </c>
      <c r="Q1274" s="1">
        <v>45294</v>
      </c>
      <c r="R1274" s="14">
        <v>5</v>
      </c>
      <c r="S1274" s="1" t="s">
        <v>22</v>
      </c>
      <c r="T1274" s="1" t="s">
        <v>22</v>
      </c>
      <c r="U1274" s="1" t="s">
        <v>22</v>
      </c>
    </row>
    <row r="1275" spans="1:21" x14ac:dyDescent="0.25">
      <c r="A1275" s="1" t="s">
        <v>478</v>
      </c>
      <c r="B1275" s="2" t="s">
        <v>48</v>
      </c>
      <c r="C1275" s="1" t="s">
        <v>25</v>
      </c>
      <c r="D1275" s="1" t="s">
        <v>497</v>
      </c>
      <c r="E1275" s="1" t="s">
        <v>37</v>
      </c>
      <c r="F1275" s="1">
        <v>45294</v>
      </c>
      <c r="G1275" s="14" t="s">
        <v>74</v>
      </c>
      <c r="H1275" t="s">
        <v>498</v>
      </c>
      <c r="I1275" s="2" t="s">
        <v>499</v>
      </c>
      <c r="J1275" s="2">
        <v>0.03125</v>
      </c>
      <c r="K1275" s="1">
        <v>0.03819444444444444</v>
      </c>
      <c r="L1275" s="1">
        <v>0.06944444444444445</v>
      </c>
      <c r="M1275" s="1" t="s">
        <v>22</v>
      </c>
      <c r="N1275" s="1" t="s">
        <v>31</v>
      </c>
      <c r="O1275" s="1" t="s">
        <v>483</v>
      </c>
      <c r="P1275" s="1" t="s">
        <v>488</v>
      </c>
      <c r="Q1275" s="1">
        <v>45294</v>
      </c>
      <c r="R1275" s="14">
        <v>5</v>
      </c>
      <c r="S1275" s="1" t="s">
        <v>22</v>
      </c>
      <c r="T1275" s="1" t="s">
        <v>22</v>
      </c>
      <c r="U1275" s="1" t="s">
        <v>22</v>
      </c>
    </row>
    <row r="1276" spans="1:21" x14ac:dyDescent="0.25">
      <c r="A1276" s="1" t="s">
        <v>478</v>
      </c>
      <c r="B1276" s="2" t="s">
        <v>99</v>
      </c>
      <c r="C1276" s="1" t="s">
        <v>25</v>
      </c>
      <c r="D1276" s="1" t="s">
        <v>500</v>
      </c>
      <c r="E1276" s="1" t="s">
        <v>27</v>
      </c>
      <c r="F1276" s="1">
        <v>45295</v>
      </c>
      <c r="G1276" s="14" t="s">
        <v>28</v>
      </c>
      <c r="H1276" t="s">
        <v>501</v>
      </c>
      <c r="I1276" s="2" t="s">
        <v>502</v>
      </c>
      <c r="J1276" s="2">
        <v>0.020833333333333332</v>
      </c>
      <c r="K1276" s="1">
        <v>0.0625</v>
      </c>
      <c r="L1276" s="1">
        <v>0.08333333333333333</v>
      </c>
      <c r="M1276" s="1" t="s">
        <v>22</v>
      </c>
      <c r="N1276" s="1" t="s">
        <v>41</v>
      </c>
      <c r="O1276" s="1" t="s">
        <v>483</v>
      </c>
      <c r="P1276" s="1" t="s">
        <v>484</v>
      </c>
      <c r="Q1276" s="1">
        <v>45295</v>
      </c>
      <c r="R1276" s="14">
        <v>5</v>
      </c>
      <c r="S1276" s="1" t="s">
        <v>22</v>
      </c>
      <c r="T1276" s="1" t="s">
        <v>22</v>
      </c>
      <c r="U1276" s="1" t="s">
        <v>22</v>
      </c>
    </row>
    <row r="1277" spans="1:21" x14ac:dyDescent="0.25">
      <c r="A1277" s="1" t="s">
        <v>478</v>
      </c>
      <c r="B1277" s="2" t="s">
        <v>223</v>
      </c>
      <c r="C1277" s="1" t="s">
        <v>186</v>
      </c>
      <c r="D1277" s="1" t="s">
        <v>503</v>
      </c>
      <c r="E1277" s="1" t="s">
        <v>37</v>
      </c>
      <c r="F1277" s="1">
        <v>45295</v>
      </c>
      <c r="G1277" s="14" t="s">
        <v>96</v>
      </c>
      <c r="H1277" t="s">
        <v>504</v>
      </c>
      <c r="I1277" s="2" t="s">
        <v>505</v>
      </c>
      <c r="J1277" s="2">
        <v>0.020833333333333332</v>
      </c>
      <c r="K1277" s="1" t="s">
        <v>22</v>
      </c>
      <c r="L1277" s="1">
        <v>0.020833333333333332</v>
      </c>
      <c r="M1277" s="1" t="s">
        <v>22</v>
      </c>
      <c r="N1277" s="1" t="s">
        <v>347</v>
      </c>
      <c r="O1277" s="1" t="s">
        <v>503</v>
      </c>
      <c r="P1277" s="1" t="s">
        <v>117</v>
      </c>
      <c r="Q1277" s="1">
        <v>45295</v>
      </c>
      <c r="R1277" s="14">
        <v>5</v>
      </c>
      <c r="S1277" s="1" t="s">
        <v>22</v>
      </c>
      <c r="T1277" s="1" t="s">
        <v>22</v>
      </c>
      <c r="U1277" s="1" t="s">
        <v>22</v>
      </c>
    </row>
    <row r="1278" spans="1:21" x14ac:dyDescent="0.25">
      <c r="A1278" s="1" t="s">
        <v>478</v>
      </c>
      <c r="B1278" s="2" t="s">
        <v>2813</v>
      </c>
      <c r="C1278" s="1" t="s">
        <v>25</v>
      </c>
      <c r="D1278" s="1" t="s">
        <v>506</v>
      </c>
      <c r="E1278" s="1" t="s">
        <v>27</v>
      </c>
      <c r="F1278" s="1">
        <v>45296</v>
      </c>
      <c r="G1278" s="14" t="s">
        <v>507</v>
      </c>
      <c r="H1278" t="s">
        <v>508</v>
      </c>
      <c r="I1278" s="2" t="s">
        <v>509</v>
      </c>
      <c r="J1278" s="2">
        <v>0.013888888888888888</v>
      </c>
      <c r="K1278" s="1">
        <v>0.020833333333333332</v>
      </c>
      <c r="L1278" s="1">
        <v>0.034722222222222224</v>
      </c>
      <c r="M1278" s="1" t="s">
        <v>22</v>
      </c>
      <c r="N1278" s="1" t="s">
        <v>483</v>
      </c>
      <c r="O1278" s="1" t="s">
        <v>32</v>
      </c>
      <c r="P1278" s="1" t="s">
        <v>488</v>
      </c>
      <c r="Q1278" s="1">
        <v>45296</v>
      </c>
      <c r="R1278" s="14">
        <v>5</v>
      </c>
      <c r="S1278" s="1" t="s">
        <v>22</v>
      </c>
      <c r="T1278" s="1" t="s">
        <v>22</v>
      </c>
      <c r="U1278" s="1" t="s">
        <v>22</v>
      </c>
    </row>
    <row r="1279" spans="1:21" x14ac:dyDescent="0.25">
      <c r="A1279" s="1" t="s">
        <v>478</v>
      </c>
      <c r="B1279" s="2" t="s">
        <v>510</v>
      </c>
      <c r="C1279" s="1" t="s">
        <v>25</v>
      </c>
      <c r="D1279" s="1" t="s">
        <v>511</v>
      </c>
      <c r="E1279" s="1" t="s">
        <v>27</v>
      </c>
      <c r="F1279" s="1">
        <v>45296</v>
      </c>
      <c r="G1279" s="14" t="s">
        <v>28</v>
      </c>
      <c r="H1279" t="s">
        <v>512</v>
      </c>
      <c r="I1279" s="2" t="s">
        <v>512</v>
      </c>
      <c r="J1279" s="2">
        <v>0.0625</v>
      </c>
      <c r="K1279" s="1">
        <v>0.052083333333333336</v>
      </c>
      <c r="L1279" s="1">
        <v>0.11458333333333334</v>
      </c>
      <c r="M1279" s="1" t="s">
        <v>22</v>
      </c>
      <c r="N1279" s="1" t="s">
        <v>31</v>
      </c>
      <c r="O1279" s="1" t="s">
        <v>483</v>
      </c>
      <c r="P1279" s="1" t="s">
        <v>488</v>
      </c>
      <c r="Q1279" s="1">
        <v>45296</v>
      </c>
      <c r="R1279" s="14">
        <v>5</v>
      </c>
      <c r="S1279" s="1" t="s">
        <v>22</v>
      </c>
      <c r="T1279" s="1" t="s">
        <v>22</v>
      </c>
      <c r="U1279" s="1" t="s">
        <v>22</v>
      </c>
    </row>
    <row r="1280" spans="1:21" x14ac:dyDescent="0.25">
      <c r="A1280" s="1" t="s">
        <v>478</v>
      </c>
      <c r="B1280" s="2" t="s">
        <v>247</v>
      </c>
      <c r="C1280" s="1" t="s">
        <v>25</v>
      </c>
      <c r="D1280" s="1" t="s">
        <v>513</v>
      </c>
      <c r="E1280" s="1" t="s">
        <v>27</v>
      </c>
      <c r="F1280" s="1">
        <v>45296</v>
      </c>
      <c r="G1280" s="14" t="s">
        <v>28</v>
      </c>
      <c r="H1280" t="s">
        <v>514</v>
      </c>
      <c r="I1280" s="2" t="s">
        <v>514</v>
      </c>
      <c r="J1280" s="2">
        <v>0.024305555555555556</v>
      </c>
      <c r="K1280" s="1">
        <v>0.03819444444444444</v>
      </c>
      <c r="L1280" s="1">
        <v>0.0625</v>
      </c>
      <c r="M1280" s="1" t="s">
        <v>22</v>
      </c>
      <c r="N1280" s="1" t="s">
        <v>31</v>
      </c>
      <c r="O1280" s="1" t="s">
        <v>483</v>
      </c>
      <c r="P1280" s="1" t="s">
        <v>488</v>
      </c>
      <c r="Q1280" s="1">
        <v>45296</v>
      </c>
      <c r="R1280" s="14">
        <v>5</v>
      </c>
      <c r="S1280" s="1" t="s">
        <v>22</v>
      </c>
      <c r="T1280" s="1" t="s">
        <v>22</v>
      </c>
      <c r="U1280" s="1" t="s">
        <v>22</v>
      </c>
    </row>
    <row r="1281" spans="1:21" x14ac:dyDescent="0.25">
      <c r="A1281" s="1" t="s">
        <v>515</v>
      </c>
      <c r="B1281" s="2" t="s">
        <v>170</v>
      </c>
      <c r="C1281" s="1" t="s">
        <v>25</v>
      </c>
      <c r="D1281" s="1" t="s">
        <v>516</v>
      </c>
      <c r="E1281" s="1" t="s">
        <v>27</v>
      </c>
      <c r="F1281" s="1">
        <v>44932</v>
      </c>
      <c r="G1281" s="14" t="s">
        <v>28</v>
      </c>
      <c r="H1281" t="s">
        <v>517</v>
      </c>
      <c r="I1281" s="2" t="s">
        <v>518</v>
      </c>
      <c r="J1281" s="2">
        <v>0.0625</v>
      </c>
      <c r="K1281" s="1">
        <v>0.06597222222222222</v>
      </c>
      <c r="L1281" s="1">
        <v>0.1284722222222222</v>
      </c>
      <c r="M1281" s="1" t="s">
        <v>22</v>
      </c>
      <c r="N1281" s="1" t="s">
        <v>31</v>
      </c>
      <c r="O1281" s="1" t="s">
        <v>483</v>
      </c>
      <c r="P1281" s="1" t="s">
        <v>42</v>
      </c>
      <c r="Q1281" s="1">
        <v>44932</v>
      </c>
      <c r="R1281" s="14">
        <v>5</v>
      </c>
      <c r="S1281" s="1" t="s">
        <v>22</v>
      </c>
      <c r="T1281" s="1" t="s">
        <v>22</v>
      </c>
      <c r="U1281" s="1" t="s">
        <v>22</v>
      </c>
    </row>
    <row r="1282" spans="1:21" x14ac:dyDescent="0.25">
      <c r="A1282" s="1" t="s">
        <v>478</v>
      </c>
      <c r="B1282" s="2" t="s">
        <v>43</v>
      </c>
      <c r="C1282" s="1" t="s">
        <v>44</v>
      </c>
      <c r="D1282" s="1" t="s">
        <v>519</v>
      </c>
      <c r="E1282" s="1" t="s">
        <v>27</v>
      </c>
      <c r="F1282" s="1">
        <v>45303</v>
      </c>
      <c r="G1282" s="14" t="s">
        <v>507</v>
      </c>
      <c r="H1282" t="s">
        <v>520</v>
      </c>
      <c r="I1282" s="2" t="s">
        <v>521</v>
      </c>
      <c r="J1282" s="2">
        <v>0.013888888888888888</v>
      </c>
      <c r="K1282" s="1">
        <v>0.034722222222222224</v>
      </c>
      <c r="L1282" s="1">
        <v>0.04861111111111111</v>
      </c>
      <c r="M1282" s="1" t="s">
        <v>22</v>
      </c>
      <c r="N1282" s="1" t="s">
        <v>32</v>
      </c>
      <c r="O1282" s="1" t="s">
        <v>483</v>
      </c>
      <c r="P1282" s="1" t="s">
        <v>484</v>
      </c>
      <c r="Q1282" s="1">
        <v>45303</v>
      </c>
      <c r="R1282" s="14">
        <v>5</v>
      </c>
      <c r="S1282" s="1" t="s">
        <v>22</v>
      </c>
      <c r="T1282" s="1" t="s">
        <v>22</v>
      </c>
      <c r="U1282" s="1" t="s">
        <v>22</v>
      </c>
    </row>
    <row r="1283" spans="1:21" x14ac:dyDescent="0.25">
      <c r="A1283" s="1" t="s">
        <v>478</v>
      </c>
      <c r="B1283" s="2" t="s">
        <v>283</v>
      </c>
      <c r="C1283" s="1" t="s">
        <v>25</v>
      </c>
      <c r="D1283" s="1" t="s">
        <v>522</v>
      </c>
      <c r="E1283" s="1" t="s">
        <v>27</v>
      </c>
      <c r="F1283" s="1">
        <v>45303</v>
      </c>
      <c r="G1283" s="14" t="s">
        <v>74</v>
      </c>
      <c r="H1283" t="s">
        <v>523</v>
      </c>
      <c r="I1283" s="2" t="s">
        <v>524</v>
      </c>
      <c r="J1283" s="2">
        <v>0.024305555555555556</v>
      </c>
      <c r="K1283" s="1">
        <v>0.027777777777777776</v>
      </c>
      <c r="L1283" s="1">
        <v>0.05208333333333333</v>
      </c>
      <c r="M1283" s="1" t="s">
        <v>22</v>
      </c>
      <c r="N1283" s="1" t="s">
        <v>31</v>
      </c>
      <c r="O1283" s="1" t="s">
        <v>483</v>
      </c>
      <c r="P1283" s="1" t="s">
        <v>488</v>
      </c>
      <c r="Q1283" s="1">
        <v>45303</v>
      </c>
      <c r="R1283" s="14">
        <v>5</v>
      </c>
      <c r="S1283" s="1" t="s">
        <v>22</v>
      </c>
      <c r="T1283" s="1" t="s">
        <v>22</v>
      </c>
      <c r="U1283" s="1" t="s">
        <v>22</v>
      </c>
    </row>
    <row r="1284" spans="1:21" x14ac:dyDescent="0.25">
      <c r="A1284" s="1" t="s">
        <v>478</v>
      </c>
      <c r="B1284" s="2" t="s">
        <v>525</v>
      </c>
      <c r="C1284" s="1" t="s">
        <v>25</v>
      </c>
      <c r="D1284" s="1" t="s">
        <v>526</v>
      </c>
      <c r="E1284" s="1" t="s">
        <v>37</v>
      </c>
      <c r="F1284" s="1">
        <v>45307</v>
      </c>
      <c r="G1284" s="14" t="s">
        <v>28</v>
      </c>
      <c r="H1284" t="s">
        <v>527</v>
      </c>
      <c r="I1284" s="2" t="s">
        <v>528</v>
      </c>
      <c r="J1284" s="2">
        <v>0.020833333333333332</v>
      </c>
      <c r="K1284" s="1">
        <v>0.034722222222222224</v>
      </c>
      <c r="L1284" s="1">
        <v>0.05555555555555555</v>
      </c>
      <c r="M1284" s="1" t="s">
        <v>22</v>
      </c>
      <c r="N1284" s="1" t="s">
        <v>41</v>
      </c>
      <c r="O1284" s="1" t="s">
        <v>32</v>
      </c>
      <c r="P1284" s="1" t="s">
        <v>484</v>
      </c>
      <c r="Q1284" s="1">
        <v>45307</v>
      </c>
      <c r="R1284" s="14">
        <v>5</v>
      </c>
      <c r="S1284" s="1" t="s">
        <v>22</v>
      </c>
      <c r="T1284" s="1" t="s">
        <v>22</v>
      </c>
      <c r="U1284" s="1" t="s">
        <v>22</v>
      </c>
    </row>
    <row r="1285" spans="1:21" x14ac:dyDescent="0.25">
      <c r="A1285" s="1" t="s">
        <v>478</v>
      </c>
      <c r="B1285" s="2" t="s">
        <v>529</v>
      </c>
      <c r="C1285" s="1" t="s">
        <v>530</v>
      </c>
      <c r="D1285" s="1" t="s">
        <v>531</v>
      </c>
      <c r="E1285" s="1" t="s">
        <v>37</v>
      </c>
      <c r="F1285" s="1">
        <v>45309</v>
      </c>
      <c r="G1285" s="14" t="s">
        <v>28</v>
      </c>
      <c r="H1285" t="s">
        <v>532</v>
      </c>
      <c r="I1285" s="2" t="s">
        <v>533</v>
      </c>
      <c r="J1285" s="2">
        <v>0.020833333333333332</v>
      </c>
      <c r="K1285" s="1">
        <v>0.04861111111111111</v>
      </c>
      <c r="L1285" s="1">
        <v>0.06944444444444445</v>
      </c>
      <c r="M1285" s="1" t="s">
        <v>22</v>
      </c>
      <c r="N1285" s="1" t="s">
        <v>41</v>
      </c>
      <c r="O1285" s="1" t="s">
        <v>32</v>
      </c>
      <c r="P1285" s="1" t="s">
        <v>484</v>
      </c>
      <c r="Q1285" s="1">
        <v>45309</v>
      </c>
      <c r="R1285" s="14">
        <v>5</v>
      </c>
      <c r="S1285" s="1" t="s">
        <v>22</v>
      </c>
      <c r="T1285" s="1" t="s">
        <v>22</v>
      </c>
      <c r="U1285" s="1" t="s">
        <v>22</v>
      </c>
    </row>
    <row r="1286" spans="1:21" x14ac:dyDescent="0.25">
      <c r="A1286" s="1" t="s">
        <v>478</v>
      </c>
      <c r="B1286" s="2" t="s">
        <v>99</v>
      </c>
      <c r="C1286" s="1" t="s">
        <v>25</v>
      </c>
      <c r="D1286" s="1" t="s">
        <v>534</v>
      </c>
      <c r="E1286" s="1" t="s">
        <v>27</v>
      </c>
      <c r="F1286" s="1">
        <v>45309</v>
      </c>
      <c r="G1286" s="14" t="s">
        <v>28</v>
      </c>
      <c r="H1286" t="s">
        <v>535</v>
      </c>
      <c r="I1286" s="2" t="s">
        <v>536</v>
      </c>
      <c r="J1286" s="2">
        <v>0.020833333333333332</v>
      </c>
      <c r="K1286" s="1">
        <v>0.041666666666666664</v>
      </c>
      <c r="L1286" s="1">
        <v>0.0625</v>
      </c>
      <c r="M1286" s="1" t="s">
        <v>22</v>
      </c>
      <c r="N1286" s="1" t="s">
        <v>53</v>
      </c>
      <c r="O1286" s="1" t="s">
        <v>32</v>
      </c>
      <c r="P1286" s="1" t="s">
        <v>484</v>
      </c>
      <c r="Q1286" s="1">
        <v>45309</v>
      </c>
      <c r="R1286" s="14">
        <v>5</v>
      </c>
      <c r="S1286" s="1" t="s">
        <v>22</v>
      </c>
      <c r="T1286" s="1" t="s">
        <v>22</v>
      </c>
      <c r="U1286" s="1" t="s">
        <v>22</v>
      </c>
    </row>
    <row r="1287" spans="1:21" x14ac:dyDescent="0.25">
      <c r="A1287" s="1" t="s">
        <v>478</v>
      </c>
      <c r="B1287" s="2" t="s">
        <v>537</v>
      </c>
      <c r="C1287" s="1" t="s">
        <v>229</v>
      </c>
      <c r="D1287" s="1" t="s">
        <v>538</v>
      </c>
      <c r="E1287" s="1" t="s">
        <v>27</v>
      </c>
      <c r="F1287" s="1">
        <v>45309</v>
      </c>
      <c r="G1287" s="14" t="s">
        <v>507</v>
      </c>
      <c r="H1287" t="s">
        <v>539</v>
      </c>
      <c r="I1287" s="2" t="s">
        <v>540</v>
      </c>
      <c r="J1287" s="2">
        <v>0.020833333333333332</v>
      </c>
      <c r="K1287" s="1">
        <v>0.027777777777777776</v>
      </c>
      <c r="L1287" s="1">
        <v>0.048611111111111105</v>
      </c>
      <c r="M1287" s="1" t="s">
        <v>22</v>
      </c>
      <c r="N1287" s="1" t="s">
        <v>53</v>
      </c>
      <c r="O1287" s="1" t="s">
        <v>32</v>
      </c>
      <c r="P1287" s="1" t="s">
        <v>42</v>
      </c>
      <c r="Q1287" s="1">
        <v>45309</v>
      </c>
      <c r="R1287" s="14">
        <v>5</v>
      </c>
      <c r="S1287" s="1" t="s">
        <v>22</v>
      </c>
      <c r="T1287" s="1" t="s">
        <v>22</v>
      </c>
      <c r="U1287" s="1" t="s">
        <v>22</v>
      </c>
    </row>
    <row r="1288" spans="1:21" x14ac:dyDescent="0.25">
      <c r="A1288" s="1" t="s">
        <v>478</v>
      </c>
      <c r="B1288" s="2" t="s">
        <v>199</v>
      </c>
      <c r="C1288" s="1" t="s">
        <v>541</v>
      </c>
      <c r="D1288" s="1" t="s">
        <v>542</v>
      </c>
      <c r="E1288" s="1" t="s">
        <v>37</v>
      </c>
      <c r="F1288" s="1">
        <v>45314</v>
      </c>
      <c r="G1288" s="14" t="s">
        <v>96</v>
      </c>
      <c r="H1288" t="s">
        <v>543</v>
      </c>
      <c r="I1288" s="2" t="s">
        <v>544</v>
      </c>
      <c r="J1288" s="2">
        <v>0.020833333333333332</v>
      </c>
      <c r="K1288" s="1" t="s">
        <v>22</v>
      </c>
      <c r="L1288" s="1">
        <v>0.020833333333333332</v>
      </c>
      <c r="M1288" s="1" t="s">
        <v>22</v>
      </c>
      <c r="N1288" s="1" t="s">
        <v>31</v>
      </c>
      <c r="O1288" s="1" t="s">
        <v>22</v>
      </c>
      <c r="P1288" s="1" t="s">
        <v>488</v>
      </c>
      <c r="Q1288" s="1">
        <v>45314</v>
      </c>
      <c r="R1288" s="14">
        <v>5</v>
      </c>
      <c r="S1288" s="1" t="s">
        <v>22</v>
      </c>
      <c r="T1288" s="1" t="s">
        <v>22</v>
      </c>
      <c r="U1288" s="1" t="s">
        <v>22</v>
      </c>
    </row>
    <row r="1289" spans="1:21" x14ac:dyDescent="0.25">
      <c r="A1289" s="1" t="s">
        <v>478</v>
      </c>
      <c r="B1289" s="2" t="s">
        <v>545</v>
      </c>
      <c r="C1289" s="1" t="s">
        <v>546</v>
      </c>
      <c r="D1289" s="1" t="s">
        <v>547</v>
      </c>
      <c r="E1289" s="1" t="s">
        <v>37</v>
      </c>
      <c r="F1289" s="1">
        <v>45314</v>
      </c>
      <c r="G1289" s="14" t="s">
        <v>38</v>
      </c>
      <c r="H1289" t="s">
        <v>548</v>
      </c>
      <c r="I1289" s="2" t="s">
        <v>549</v>
      </c>
      <c r="J1289" s="2">
        <v>0.04513888888888889</v>
      </c>
      <c r="K1289" s="1">
        <v>0.034722222222222224</v>
      </c>
      <c r="L1289" s="1">
        <v>0.0798611111111111</v>
      </c>
      <c r="M1289" s="1" t="s">
        <v>22</v>
      </c>
      <c r="N1289" s="1" t="s">
        <v>31</v>
      </c>
      <c r="O1289" s="1" t="s">
        <v>483</v>
      </c>
      <c r="P1289" s="1" t="s">
        <v>484</v>
      </c>
      <c r="Q1289" s="1">
        <v>45314</v>
      </c>
      <c r="R1289" s="14">
        <v>5</v>
      </c>
      <c r="S1289" s="1" t="s">
        <v>22</v>
      </c>
      <c r="T1289" s="1" t="s">
        <v>22</v>
      </c>
      <c r="U1289" s="1" t="s">
        <v>22</v>
      </c>
    </row>
    <row r="1290" spans="1:21" x14ac:dyDescent="0.25">
      <c r="A1290" s="1" t="s">
        <v>478</v>
      </c>
      <c r="B1290" s="2" t="s">
        <v>163</v>
      </c>
      <c r="C1290" s="1" t="s">
        <v>25</v>
      </c>
      <c r="D1290" s="1" t="s">
        <v>550</v>
      </c>
      <c r="E1290" s="1" t="s">
        <v>37</v>
      </c>
      <c r="F1290" s="1">
        <v>45310</v>
      </c>
      <c r="G1290" s="14" t="s">
        <v>38</v>
      </c>
      <c r="H1290" t="s">
        <v>551</v>
      </c>
      <c r="I1290" s="2" t="s">
        <v>551</v>
      </c>
      <c r="J1290" s="2">
        <v>0.04513888888888889</v>
      </c>
      <c r="K1290" s="1" t="s">
        <v>22</v>
      </c>
      <c r="L1290" s="1">
        <v>0.04513888888888889</v>
      </c>
      <c r="M1290" s="1" t="s">
        <v>22</v>
      </c>
      <c r="N1290" s="1" t="s">
        <v>31</v>
      </c>
      <c r="O1290" s="1" t="s">
        <v>22</v>
      </c>
      <c r="P1290" s="1" t="s">
        <v>488</v>
      </c>
      <c r="Q1290" s="1">
        <v>45315</v>
      </c>
      <c r="R1290" s="14">
        <v>5</v>
      </c>
      <c r="S1290" s="1" t="s">
        <v>22</v>
      </c>
      <c r="T1290" s="1" t="s">
        <v>22</v>
      </c>
      <c r="U1290" s="1" t="s">
        <v>22</v>
      </c>
    </row>
    <row r="1291" spans="1:21" x14ac:dyDescent="0.25">
      <c r="A1291" s="1" t="s">
        <v>478</v>
      </c>
      <c r="B1291" s="2" t="s">
        <v>48</v>
      </c>
      <c r="C1291" s="1" t="s">
        <v>25</v>
      </c>
      <c r="D1291" s="1" t="s">
        <v>552</v>
      </c>
      <c r="E1291" s="1" t="s">
        <v>27</v>
      </c>
      <c r="F1291" s="1">
        <v>45320</v>
      </c>
      <c r="G1291" s="14" t="s">
        <v>38</v>
      </c>
      <c r="H1291" t="s">
        <v>553</v>
      </c>
      <c r="I1291" s="2" t="s">
        <v>553</v>
      </c>
      <c r="J1291" s="2">
        <v>0.020833333333333332</v>
      </c>
      <c r="K1291" s="1">
        <v>0.027777777777777776</v>
      </c>
      <c r="L1291" s="1">
        <v>0.048611111111111105</v>
      </c>
      <c r="M1291" s="1" t="s">
        <v>22</v>
      </c>
      <c r="N1291" s="1" t="s">
        <v>31</v>
      </c>
      <c r="O1291" s="1" t="s">
        <v>483</v>
      </c>
      <c r="P1291" s="1" t="s">
        <v>484</v>
      </c>
      <c r="Q1291" s="1">
        <v>45320</v>
      </c>
      <c r="R1291" s="14">
        <v>5</v>
      </c>
      <c r="S1291" s="1" t="s">
        <v>22</v>
      </c>
      <c r="T1291" s="1" t="s">
        <v>22</v>
      </c>
      <c r="U1291" s="1" t="s">
        <v>22</v>
      </c>
    </row>
    <row r="1292" spans="1:21" x14ac:dyDescent="0.25">
      <c r="A1292" s="1" t="s">
        <v>478</v>
      </c>
      <c r="B1292" s="2" t="s">
        <v>286</v>
      </c>
      <c r="C1292" s="1" t="s">
        <v>287</v>
      </c>
      <c r="D1292" s="1" t="s">
        <v>554</v>
      </c>
      <c r="E1292" s="1" t="s">
        <v>37</v>
      </c>
      <c r="F1292" s="1">
        <v>45320</v>
      </c>
      <c r="G1292" s="14" t="s">
        <v>38</v>
      </c>
      <c r="H1292" t="s">
        <v>555</v>
      </c>
      <c r="I1292" s="2" t="s">
        <v>556</v>
      </c>
      <c r="J1292" s="2">
        <v>0.020833333333333332</v>
      </c>
      <c r="K1292" s="1">
        <v>0.03125</v>
      </c>
      <c r="L1292" s="1">
        <v>0.05208333333333333</v>
      </c>
      <c r="M1292" s="1" t="s">
        <v>22</v>
      </c>
      <c r="N1292" s="1" t="s">
        <v>31</v>
      </c>
      <c r="O1292" s="1" t="s">
        <v>483</v>
      </c>
      <c r="P1292" s="1" t="s">
        <v>484</v>
      </c>
      <c r="Q1292" s="1">
        <v>45320</v>
      </c>
      <c r="R1292" s="14">
        <v>5</v>
      </c>
      <c r="S1292" s="1" t="s">
        <v>22</v>
      </c>
      <c r="T1292" s="1" t="s">
        <v>22</v>
      </c>
      <c r="U1292" s="1" t="s">
        <v>22</v>
      </c>
    </row>
    <row r="1293" spans="1:21" x14ac:dyDescent="0.25">
      <c r="A1293" s="1" t="s">
        <v>478</v>
      </c>
      <c r="B1293" s="2" t="s">
        <v>118</v>
      </c>
      <c r="C1293" s="1" t="s">
        <v>25</v>
      </c>
      <c r="D1293" s="1" t="s">
        <v>557</v>
      </c>
      <c r="E1293" s="1" t="s">
        <v>37</v>
      </c>
      <c r="F1293" s="1">
        <v>45321</v>
      </c>
      <c r="G1293" s="14" t="s">
        <v>38</v>
      </c>
      <c r="H1293" t="s">
        <v>558</v>
      </c>
      <c r="I1293" s="2" t="s">
        <v>558</v>
      </c>
      <c r="J1293" s="2">
        <v>0.020833333333333332</v>
      </c>
      <c r="K1293" s="1">
        <v>0.034722222222222224</v>
      </c>
      <c r="L1293" s="1">
        <v>0.05555555555555555</v>
      </c>
      <c r="M1293" s="1" t="s">
        <v>22</v>
      </c>
      <c r="N1293" s="1" t="s">
        <v>31</v>
      </c>
      <c r="O1293" s="1" t="s">
        <v>483</v>
      </c>
      <c r="P1293" s="1" t="s">
        <v>484</v>
      </c>
      <c r="Q1293" s="1">
        <v>45321</v>
      </c>
      <c r="R1293" s="14">
        <v>5</v>
      </c>
      <c r="S1293" s="1" t="s">
        <v>22</v>
      </c>
      <c r="T1293" s="1" t="s">
        <v>22</v>
      </c>
      <c r="U1293" s="1" t="s">
        <v>22</v>
      </c>
    </row>
    <row r="1294" spans="1:21" x14ac:dyDescent="0.25">
      <c r="A1294" s="1" t="s">
        <v>559</v>
      </c>
      <c r="B1294" s="2" t="s">
        <v>35</v>
      </c>
      <c r="C1294" s="1" t="s">
        <v>25</v>
      </c>
      <c r="D1294" s="1" t="s">
        <v>560</v>
      </c>
      <c r="E1294" s="1" t="s">
        <v>37</v>
      </c>
      <c r="F1294" s="1">
        <v>45323</v>
      </c>
      <c r="G1294" s="14" t="s">
        <v>38</v>
      </c>
      <c r="H1294" t="s">
        <v>561</v>
      </c>
      <c r="I1294" s="2" t="s">
        <v>562</v>
      </c>
      <c r="J1294" s="2">
        <v>0.020833333333333332</v>
      </c>
      <c r="K1294" s="1">
        <v>0.027777777777777776</v>
      </c>
      <c r="L1294" s="1">
        <v>0.048611111111111105</v>
      </c>
      <c r="M1294" s="1" t="s">
        <v>22</v>
      </c>
      <c r="N1294" s="1" t="s">
        <v>31</v>
      </c>
      <c r="O1294" s="1" t="s">
        <v>483</v>
      </c>
      <c r="P1294" s="1" t="s">
        <v>42</v>
      </c>
      <c r="Q1294" s="1">
        <v>45323</v>
      </c>
      <c r="R1294" s="14">
        <v>5</v>
      </c>
      <c r="S1294" s="1" t="s">
        <v>22</v>
      </c>
      <c r="T1294" s="1" t="s">
        <v>22</v>
      </c>
      <c r="U1294" s="1" t="s">
        <v>22</v>
      </c>
    </row>
    <row r="1295" spans="1:21" x14ac:dyDescent="0.25">
      <c r="A1295" s="1" t="s">
        <v>559</v>
      </c>
      <c r="B1295" s="2" t="s">
        <v>170</v>
      </c>
      <c r="C1295" s="1" t="s">
        <v>25</v>
      </c>
      <c r="D1295" s="1" t="s">
        <v>563</v>
      </c>
      <c r="E1295" s="1" t="s">
        <v>37</v>
      </c>
      <c r="F1295" s="1">
        <v>45323</v>
      </c>
      <c r="G1295" s="14" t="s">
        <v>38</v>
      </c>
      <c r="H1295" t="s">
        <v>564</v>
      </c>
      <c r="I1295" s="2" t="s">
        <v>565</v>
      </c>
      <c r="J1295" s="2">
        <v>0.006944444444444444</v>
      </c>
      <c r="K1295" s="1">
        <v>0.020833333333333332</v>
      </c>
      <c r="L1295" s="1">
        <v>0.027777777777777776</v>
      </c>
      <c r="M1295" s="1" t="s">
        <v>22</v>
      </c>
      <c r="N1295" s="1" t="s">
        <v>31</v>
      </c>
      <c r="O1295" s="1" t="s">
        <v>483</v>
      </c>
      <c r="P1295" s="1" t="s">
        <v>42</v>
      </c>
      <c r="Q1295" s="1">
        <v>45323</v>
      </c>
      <c r="R1295" s="14">
        <v>5</v>
      </c>
      <c r="S1295" s="1" t="s">
        <v>22</v>
      </c>
      <c r="T1295" s="1" t="s">
        <v>22</v>
      </c>
      <c r="U1295" s="1" t="s">
        <v>22</v>
      </c>
    </row>
    <row r="1296" spans="1:21" x14ac:dyDescent="0.25">
      <c r="A1296" s="1" t="s">
        <v>559</v>
      </c>
      <c r="B1296" s="2" t="s">
        <v>566</v>
      </c>
      <c r="C1296" s="1" t="s">
        <v>567</v>
      </c>
      <c r="D1296" s="1" t="s">
        <v>568</v>
      </c>
      <c r="E1296" s="1" t="s">
        <v>37</v>
      </c>
      <c r="F1296" s="1">
        <v>45323</v>
      </c>
      <c r="G1296" s="14" t="s">
        <v>38</v>
      </c>
      <c r="H1296" t="s">
        <v>569</v>
      </c>
      <c r="I1296" s="2" t="s">
        <v>570</v>
      </c>
      <c r="J1296" s="2">
        <v>0.013888888888888888</v>
      </c>
      <c r="K1296" s="1">
        <v>0.027777777777777776</v>
      </c>
      <c r="L1296" s="1">
        <v>0.041666666666666664</v>
      </c>
      <c r="M1296" s="1" t="s">
        <v>22</v>
      </c>
      <c r="N1296" s="1" t="s">
        <v>41</v>
      </c>
      <c r="O1296" s="1" t="s">
        <v>483</v>
      </c>
      <c r="P1296" s="1" t="s">
        <v>488</v>
      </c>
      <c r="Q1296" s="1">
        <v>45323</v>
      </c>
      <c r="R1296" s="14">
        <v>5</v>
      </c>
      <c r="S1296" s="1" t="s">
        <v>22</v>
      </c>
      <c r="T1296" s="1" t="s">
        <v>22</v>
      </c>
      <c r="U1296" s="1" t="s">
        <v>22</v>
      </c>
    </row>
    <row r="1297" spans="1:21" x14ac:dyDescent="0.25">
      <c r="A1297" s="1" t="s">
        <v>559</v>
      </c>
      <c r="B1297" s="2" t="s">
        <v>223</v>
      </c>
      <c r="C1297" s="1" t="s">
        <v>186</v>
      </c>
      <c r="D1297" s="1" t="s">
        <v>571</v>
      </c>
      <c r="E1297" s="1" t="s">
        <v>27</v>
      </c>
      <c r="F1297" s="1">
        <v>45327</v>
      </c>
      <c r="G1297" s="14" t="s">
        <v>38</v>
      </c>
      <c r="H1297" t="s">
        <v>572</v>
      </c>
      <c r="I1297" s="2" t="s">
        <v>573</v>
      </c>
      <c r="J1297" s="2">
        <v>0.027777777777777776</v>
      </c>
      <c r="K1297" s="1">
        <v>0.034722222222222224</v>
      </c>
      <c r="L1297" s="1">
        <v>0.0625</v>
      </c>
      <c r="M1297" s="1" t="s">
        <v>22</v>
      </c>
      <c r="N1297" s="1" t="s">
        <v>574</v>
      </c>
      <c r="O1297" s="1" t="s">
        <v>483</v>
      </c>
      <c r="P1297" s="1" t="s">
        <v>488</v>
      </c>
      <c r="Q1297" s="1">
        <v>45327</v>
      </c>
      <c r="R1297" s="14">
        <v>5</v>
      </c>
      <c r="S1297" s="1" t="s">
        <v>22</v>
      </c>
      <c r="T1297" s="1" t="s">
        <v>22</v>
      </c>
      <c r="U1297" s="1" t="s">
        <v>22</v>
      </c>
    </row>
    <row r="1298" spans="1:21" x14ac:dyDescent="0.25">
      <c r="A1298" s="1" t="s">
        <v>559</v>
      </c>
      <c r="B1298" s="2" t="s">
        <v>529</v>
      </c>
      <c r="C1298" s="1" t="s">
        <v>530</v>
      </c>
      <c r="D1298" s="1" t="s">
        <v>575</v>
      </c>
      <c r="E1298" s="1" t="s">
        <v>27</v>
      </c>
      <c r="F1298" s="1">
        <v>45329</v>
      </c>
      <c r="G1298" s="14" t="s">
        <v>38</v>
      </c>
      <c r="H1298" t="s">
        <v>576</v>
      </c>
      <c r="I1298" s="2" t="s">
        <v>577</v>
      </c>
      <c r="J1298" s="2">
        <v>0.027777777777777776</v>
      </c>
      <c r="K1298" s="1">
        <v>0.04513888888888889</v>
      </c>
      <c r="L1298" s="1">
        <v>0.07291666666666666</v>
      </c>
      <c r="M1298" s="1" t="s">
        <v>22</v>
      </c>
      <c r="N1298" s="1" t="s">
        <v>31</v>
      </c>
      <c r="O1298" s="1" t="s">
        <v>483</v>
      </c>
      <c r="P1298" s="1" t="s">
        <v>488</v>
      </c>
      <c r="Q1298" s="1">
        <v>45329</v>
      </c>
      <c r="R1298" s="14">
        <v>5</v>
      </c>
      <c r="S1298" s="1" t="s">
        <v>22</v>
      </c>
      <c r="T1298" s="1" t="s">
        <v>22</v>
      </c>
      <c r="U1298" s="1" t="s">
        <v>22</v>
      </c>
    </row>
    <row r="1299" spans="1:21" x14ac:dyDescent="0.25">
      <c r="A1299" s="1" t="s">
        <v>559</v>
      </c>
      <c r="B1299" s="2" t="s">
        <v>247</v>
      </c>
      <c r="C1299" s="1" t="s">
        <v>25</v>
      </c>
      <c r="D1299" s="1" t="s">
        <v>578</v>
      </c>
      <c r="E1299" s="1" t="s">
        <v>37</v>
      </c>
      <c r="F1299" s="1">
        <v>45331</v>
      </c>
      <c r="G1299" s="14" t="s">
        <v>38</v>
      </c>
      <c r="H1299" t="s">
        <v>579</v>
      </c>
      <c r="I1299" s="2" t="s">
        <v>580</v>
      </c>
      <c r="J1299" s="2">
        <v>0.020833333333333332</v>
      </c>
      <c r="K1299" s="1">
        <v>0.034722222222222224</v>
      </c>
      <c r="L1299" s="1">
        <v>0.05555555555555555</v>
      </c>
      <c r="M1299" s="1" t="s">
        <v>22</v>
      </c>
      <c r="N1299" s="1" t="s">
        <v>41</v>
      </c>
      <c r="O1299" s="1" t="s">
        <v>483</v>
      </c>
      <c r="P1299" s="1" t="s">
        <v>488</v>
      </c>
      <c r="Q1299" s="1">
        <v>45331</v>
      </c>
      <c r="R1299" s="14">
        <v>5</v>
      </c>
      <c r="S1299" s="1" t="s">
        <v>22</v>
      </c>
      <c r="T1299" s="1" t="s">
        <v>22</v>
      </c>
      <c r="U1299" s="1" t="s">
        <v>22</v>
      </c>
    </row>
    <row r="1300" spans="1:21" x14ac:dyDescent="0.25">
      <c r="A1300" s="1" t="s">
        <v>559</v>
      </c>
      <c r="B1300" s="2" t="s">
        <v>259</v>
      </c>
      <c r="C1300" s="1" t="s">
        <v>25</v>
      </c>
      <c r="D1300" s="1" t="s">
        <v>581</v>
      </c>
      <c r="E1300" s="1" t="s">
        <v>27</v>
      </c>
      <c r="F1300" s="1">
        <v>45334</v>
      </c>
      <c r="G1300" s="14" t="s">
        <v>507</v>
      </c>
      <c r="H1300" t="s">
        <v>582</v>
      </c>
      <c r="I1300" s="2" t="s">
        <v>583</v>
      </c>
      <c r="J1300" s="2">
        <v>0.013888888888888888</v>
      </c>
      <c r="K1300" s="1">
        <v>0.03125</v>
      </c>
      <c r="L1300" s="1">
        <v>0.04513888888888889</v>
      </c>
      <c r="M1300" s="1" t="s">
        <v>22</v>
      </c>
      <c r="N1300" s="1" t="s">
        <v>32</v>
      </c>
      <c r="O1300" s="1" t="s">
        <v>483</v>
      </c>
      <c r="P1300" s="1" t="s">
        <v>42</v>
      </c>
      <c r="Q1300" s="1">
        <v>45334</v>
      </c>
      <c r="R1300" s="14">
        <v>5</v>
      </c>
      <c r="S1300" s="1" t="s">
        <v>22</v>
      </c>
      <c r="T1300" s="1" t="s">
        <v>22</v>
      </c>
      <c r="U1300" s="1" t="s">
        <v>22</v>
      </c>
    </row>
    <row r="1301" spans="1:21" x14ac:dyDescent="0.25">
      <c r="A1301" s="1" t="s">
        <v>559</v>
      </c>
      <c r="B1301" s="2" t="s">
        <v>185</v>
      </c>
      <c r="C1301" s="1" t="s">
        <v>186</v>
      </c>
      <c r="D1301" s="1" t="s">
        <v>584</v>
      </c>
      <c r="E1301" s="1" t="s">
        <v>27</v>
      </c>
      <c r="F1301" s="1">
        <v>45334</v>
      </c>
      <c r="G1301" s="14" t="s">
        <v>507</v>
      </c>
      <c r="H1301" t="s">
        <v>585</v>
      </c>
      <c r="I1301" s="2" t="s">
        <v>586</v>
      </c>
      <c r="J1301" s="2">
        <v>0.020833333333333332</v>
      </c>
      <c r="K1301" s="1">
        <v>0.034722222222222224</v>
      </c>
      <c r="L1301" s="1">
        <v>0.05555555555555555</v>
      </c>
      <c r="M1301" s="1" t="s">
        <v>22</v>
      </c>
      <c r="N1301" s="1" t="s">
        <v>32</v>
      </c>
      <c r="O1301" s="1" t="s">
        <v>483</v>
      </c>
      <c r="P1301" s="1" t="s">
        <v>484</v>
      </c>
      <c r="Q1301" s="1">
        <v>45334</v>
      </c>
      <c r="R1301" s="14">
        <v>5</v>
      </c>
      <c r="S1301" s="1" t="s">
        <v>22</v>
      </c>
      <c r="T1301" s="1" t="s">
        <v>22</v>
      </c>
      <c r="U1301" s="1" t="s">
        <v>22</v>
      </c>
    </row>
    <row r="1302" spans="1:21" x14ac:dyDescent="0.25">
      <c r="A1302" s="1" t="s">
        <v>559</v>
      </c>
      <c r="B1302" s="2" t="s">
        <v>35</v>
      </c>
      <c r="C1302" s="1" t="s">
        <v>25</v>
      </c>
      <c r="D1302" s="1" t="s">
        <v>587</v>
      </c>
      <c r="E1302" s="1" t="s">
        <v>27</v>
      </c>
      <c r="F1302" s="1">
        <v>45334</v>
      </c>
      <c r="G1302" s="14" t="s">
        <v>38</v>
      </c>
      <c r="H1302" t="s">
        <v>588</v>
      </c>
      <c r="I1302" s="2" t="s">
        <v>588</v>
      </c>
      <c r="J1302" s="2">
        <v>0.034722222222222224</v>
      </c>
      <c r="K1302" s="1">
        <v>0.041666666666666664</v>
      </c>
      <c r="L1302" s="1">
        <v>0.0763888888888889</v>
      </c>
      <c r="M1302" s="1" t="s">
        <v>22</v>
      </c>
      <c r="N1302" s="1" t="s">
        <v>31</v>
      </c>
      <c r="O1302" s="1" t="s">
        <v>32</v>
      </c>
      <c r="P1302" s="1" t="s">
        <v>42</v>
      </c>
      <c r="Q1302" s="1">
        <v>45334</v>
      </c>
      <c r="R1302" s="14">
        <v>5</v>
      </c>
      <c r="S1302" s="1" t="s">
        <v>22</v>
      </c>
      <c r="T1302" s="1" t="s">
        <v>22</v>
      </c>
      <c r="U1302" s="1" t="s">
        <v>22</v>
      </c>
    </row>
    <row r="1303" spans="1:21" x14ac:dyDescent="0.25">
      <c r="A1303" s="1" t="s">
        <v>559</v>
      </c>
      <c r="B1303" s="2" t="s">
        <v>247</v>
      </c>
      <c r="C1303" s="1" t="s">
        <v>25</v>
      </c>
      <c r="D1303" s="1" t="s">
        <v>589</v>
      </c>
      <c r="E1303" s="1" t="s">
        <v>27</v>
      </c>
      <c r="F1303" s="1">
        <v>45335</v>
      </c>
      <c r="G1303" s="14" t="s">
        <v>38</v>
      </c>
      <c r="H1303" t="s">
        <v>590</v>
      </c>
      <c r="I1303" s="2" t="s">
        <v>591</v>
      </c>
      <c r="J1303" s="2">
        <v>0.027777777777777776</v>
      </c>
      <c r="K1303" s="1">
        <v>0.04513888888888889</v>
      </c>
      <c r="L1303" s="1">
        <v>0.07291666666666666</v>
      </c>
      <c r="M1303" s="1" t="s">
        <v>22</v>
      </c>
      <c r="N1303" s="1" t="s">
        <v>32</v>
      </c>
      <c r="O1303" s="1" t="s">
        <v>483</v>
      </c>
      <c r="P1303" s="1" t="s">
        <v>488</v>
      </c>
      <c r="Q1303" s="1">
        <v>45335</v>
      </c>
      <c r="R1303" s="14">
        <v>5</v>
      </c>
      <c r="S1303" s="1" t="s">
        <v>22</v>
      </c>
      <c r="T1303" s="1" t="s">
        <v>22</v>
      </c>
      <c r="U1303" s="1" t="s">
        <v>22</v>
      </c>
    </row>
    <row r="1304" spans="1:21" x14ac:dyDescent="0.25">
      <c r="A1304" s="1" t="s">
        <v>559</v>
      </c>
      <c r="B1304" s="2" t="s">
        <v>2813</v>
      </c>
      <c r="C1304" s="1" t="s">
        <v>25</v>
      </c>
      <c r="D1304" s="1" t="s">
        <v>592</v>
      </c>
      <c r="E1304" s="1" t="s">
        <v>27</v>
      </c>
      <c r="F1304" s="1">
        <v>45339</v>
      </c>
      <c r="G1304" s="14" t="s">
        <v>507</v>
      </c>
      <c r="H1304" t="s">
        <v>593</v>
      </c>
      <c r="I1304" s="2" t="s">
        <v>594</v>
      </c>
      <c r="J1304" s="2">
        <v>0.006944444444444444</v>
      </c>
      <c r="K1304" s="1">
        <v>0.027777777777777776</v>
      </c>
      <c r="L1304" s="1">
        <v>0.034722222222222224</v>
      </c>
      <c r="M1304" s="1" t="s">
        <v>22</v>
      </c>
      <c r="N1304" s="1" t="s">
        <v>32</v>
      </c>
      <c r="O1304" s="1" t="s">
        <v>483</v>
      </c>
      <c r="P1304" s="1" t="s">
        <v>488</v>
      </c>
      <c r="Q1304" s="1">
        <v>45339</v>
      </c>
      <c r="R1304" s="14">
        <v>5</v>
      </c>
      <c r="S1304" s="1" t="s">
        <v>22</v>
      </c>
      <c r="T1304" s="1" t="s">
        <v>22</v>
      </c>
      <c r="U1304" s="1" t="s">
        <v>22</v>
      </c>
    </row>
    <row r="1305" spans="1:21" x14ac:dyDescent="0.25">
      <c r="A1305" s="1" t="s">
        <v>559</v>
      </c>
      <c r="B1305" s="2" t="s">
        <v>286</v>
      </c>
      <c r="C1305" s="1" t="s">
        <v>287</v>
      </c>
      <c r="D1305" s="1" t="s">
        <v>595</v>
      </c>
      <c r="E1305" s="1" t="s">
        <v>37</v>
      </c>
      <c r="F1305" s="1">
        <v>45344</v>
      </c>
      <c r="G1305" s="14" t="s">
        <v>38</v>
      </c>
      <c r="H1305" t="s">
        <v>596</v>
      </c>
      <c r="I1305" s="2" t="s">
        <v>597</v>
      </c>
      <c r="J1305" s="2">
        <v>0.020833333333333332</v>
      </c>
      <c r="K1305" s="1">
        <v>0.03125</v>
      </c>
      <c r="L1305" s="1">
        <v>0.05208333333333333</v>
      </c>
      <c r="M1305" s="1" t="s">
        <v>22</v>
      </c>
      <c r="N1305" s="1" t="s">
        <v>32</v>
      </c>
      <c r="O1305" s="1" t="s">
        <v>41</v>
      </c>
      <c r="P1305" s="1" t="s">
        <v>484</v>
      </c>
      <c r="Q1305" s="1">
        <v>45344</v>
      </c>
      <c r="R1305" s="14">
        <v>5</v>
      </c>
      <c r="S1305" s="1" t="s">
        <v>22</v>
      </c>
      <c r="T1305" s="1" t="s">
        <v>22</v>
      </c>
      <c r="U1305" s="1" t="s">
        <v>22</v>
      </c>
    </row>
    <row r="1306" spans="1:21" x14ac:dyDescent="0.25">
      <c r="A1306" s="1" t="s">
        <v>559</v>
      </c>
      <c r="B1306" s="2" t="s">
        <v>48</v>
      </c>
      <c r="C1306" s="1" t="s">
        <v>25</v>
      </c>
      <c r="D1306" s="1" t="s">
        <v>598</v>
      </c>
      <c r="E1306" s="1" t="s">
        <v>27</v>
      </c>
      <c r="F1306" s="1">
        <v>45344</v>
      </c>
      <c r="G1306" s="14" t="s">
        <v>38</v>
      </c>
      <c r="H1306" t="s">
        <v>599</v>
      </c>
      <c r="I1306" s="2" t="s">
        <v>599</v>
      </c>
      <c r="J1306" s="2">
        <v>0.041666666666666664</v>
      </c>
      <c r="K1306" s="1">
        <v>0.04861111111111111</v>
      </c>
      <c r="L1306" s="1">
        <v>0.09027777777777778</v>
      </c>
      <c r="M1306" s="1" t="s">
        <v>22</v>
      </c>
      <c r="N1306" s="1" t="s">
        <v>31</v>
      </c>
      <c r="O1306" s="1" t="s">
        <v>32</v>
      </c>
      <c r="P1306" s="1" t="s">
        <v>484</v>
      </c>
      <c r="Q1306" s="1">
        <v>45344</v>
      </c>
      <c r="R1306" s="14">
        <v>5</v>
      </c>
      <c r="S1306" s="1" t="s">
        <v>22</v>
      </c>
      <c r="T1306" s="1" t="s">
        <v>22</v>
      </c>
      <c r="U1306" s="1" t="s">
        <v>22</v>
      </c>
    </row>
    <row r="1307" spans="1:21" x14ac:dyDescent="0.25">
      <c r="A1307" s="1" t="s">
        <v>559</v>
      </c>
      <c r="B1307" s="2" t="s">
        <v>223</v>
      </c>
      <c r="C1307" s="1" t="s">
        <v>186</v>
      </c>
      <c r="D1307" s="1" t="s">
        <v>600</v>
      </c>
      <c r="E1307" s="1" t="s">
        <v>37</v>
      </c>
      <c r="F1307" s="1">
        <v>45345</v>
      </c>
      <c r="G1307" s="14" t="s">
        <v>38</v>
      </c>
      <c r="H1307" t="s">
        <v>601</v>
      </c>
      <c r="I1307" s="2" t="s">
        <v>602</v>
      </c>
      <c r="J1307" s="2">
        <v>0.041666666666666664</v>
      </c>
      <c r="K1307" s="1">
        <v>0.027777777777777776</v>
      </c>
      <c r="L1307" s="1">
        <v>0.06944444444444445</v>
      </c>
      <c r="M1307" s="1" t="s">
        <v>22</v>
      </c>
      <c r="N1307" s="1" t="s">
        <v>31</v>
      </c>
      <c r="O1307" s="1" t="s">
        <v>483</v>
      </c>
      <c r="P1307" s="1" t="s">
        <v>488</v>
      </c>
      <c r="Q1307" s="1">
        <v>45348</v>
      </c>
      <c r="R1307" s="14">
        <v>5</v>
      </c>
      <c r="S1307" s="1" t="s">
        <v>22</v>
      </c>
      <c r="T1307" s="1" t="s">
        <v>22</v>
      </c>
      <c r="U1307" s="1" t="s">
        <v>22</v>
      </c>
    </row>
    <row r="1308" spans="1:21" x14ac:dyDescent="0.25">
      <c r="A1308" s="1" t="s">
        <v>559</v>
      </c>
      <c r="B1308" s="2" t="s">
        <v>260</v>
      </c>
      <c r="C1308" s="1" t="s">
        <v>261</v>
      </c>
      <c r="D1308" s="1" t="s">
        <v>603</v>
      </c>
      <c r="E1308" s="1" t="s">
        <v>37</v>
      </c>
      <c r="F1308" s="1">
        <v>45349</v>
      </c>
      <c r="G1308" s="14" t="s">
        <v>38</v>
      </c>
      <c r="H1308" t="s">
        <v>604</v>
      </c>
      <c r="I1308" s="2" t="s">
        <v>605</v>
      </c>
      <c r="J1308" s="2">
        <v>0.010416666666666666</v>
      </c>
      <c r="K1308" s="1">
        <v>0.041666666666666664</v>
      </c>
      <c r="L1308" s="1">
        <v>0.05208333333333333</v>
      </c>
      <c r="M1308" s="1" t="s">
        <v>22</v>
      </c>
      <c r="N1308" s="1" t="s">
        <v>31</v>
      </c>
      <c r="O1308" s="1" t="s">
        <v>41</v>
      </c>
      <c r="P1308" s="1" t="s">
        <v>488</v>
      </c>
      <c r="Q1308" s="1">
        <v>45349</v>
      </c>
      <c r="R1308" s="14">
        <v>5</v>
      </c>
      <c r="S1308" s="1" t="s">
        <v>22</v>
      </c>
      <c r="T1308" s="1" t="s">
        <v>22</v>
      </c>
      <c r="U1308" s="1" t="s">
        <v>22</v>
      </c>
    </row>
    <row r="1309" spans="1:21" x14ac:dyDescent="0.25">
      <c r="A1309" s="1" t="s">
        <v>559</v>
      </c>
      <c r="B1309" s="2" t="s">
        <v>163</v>
      </c>
      <c r="C1309" s="1" t="s">
        <v>25</v>
      </c>
      <c r="D1309" s="1" t="s">
        <v>606</v>
      </c>
      <c r="E1309" s="1" t="s">
        <v>27</v>
      </c>
      <c r="F1309" s="1">
        <v>45350</v>
      </c>
      <c r="G1309" s="14" t="s">
        <v>38</v>
      </c>
      <c r="H1309" t="s">
        <v>607</v>
      </c>
      <c r="I1309" s="2" t="s">
        <v>608</v>
      </c>
      <c r="J1309" s="2">
        <v>0.05555555555555555</v>
      </c>
      <c r="K1309" s="1">
        <v>0.06597222222222222</v>
      </c>
      <c r="L1309" s="1">
        <v>0.12152777777777778</v>
      </c>
      <c r="M1309" s="1" t="s">
        <v>22</v>
      </c>
      <c r="N1309" s="1" t="s">
        <v>32</v>
      </c>
      <c r="O1309" s="1" t="s">
        <v>41</v>
      </c>
      <c r="P1309" s="1" t="s">
        <v>488</v>
      </c>
      <c r="Q1309" s="1">
        <v>45350</v>
      </c>
      <c r="R1309" s="14">
        <v>5</v>
      </c>
      <c r="S1309" s="1" t="s">
        <v>22</v>
      </c>
      <c r="T1309" s="1" t="s">
        <v>22</v>
      </c>
      <c r="U1309" s="1" t="s">
        <v>22</v>
      </c>
    </row>
    <row r="1310" spans="1:21" x14ac:dyDescent="0.25">
      <c r="A1310" s="1" t="s">
        <v>559</v>
      </c>
      <c r="B1310" s="2" t="s">
        <v>609</v>
      </c>
      <c r="C1310" s="1" t="s">
        <v>567</v>
      </c>
      <c r="D1310" s="1" t="s">
        <v>606</v>
      </c>
      <c r="E1310" s="1" t="s">
        <v>27</v>
      </c>
      <c r="F1310" s="1">
        <v>45350</v>
      </c>
      <c r="G1310" s="14" t="s">
        <v>38</v>
      </c>
      <c r="H1310" t="s">
        <v>610</v>
      </c>
      <c r="I1310" s="2" t="s">
        <v>611</v>
      </c>
      <c r="J1310" s="2">
        <v>0.010416666666666666</v>
      </c>
      <c r="K1310" s="1">
        <v>0.027777777777777776</v>
      </c>
      <c r="L1310" s="1">
        <v>0.03819444444444444</v>
      </c>
      <c r="M1310" s="1" t="s">
        <v>22</v>
      </c>
      <c r="N1310" s="1" t="s">
        <v>32</v>
      </c>
      <c r="O1310" s="1" t="s">
        <v>41</v>
      </c>
      <c r="P1310" s="1" t="s">
        <v>488</v>
      </c>
      <c r="Q1310" s="1">
        <v>45350</v>
      </c>
      <c r="R1310" s="14">
        <v>5</v>
      </c>
      <c r="S1310" s="1" t="s">
        <v>22</v>
      </c>
      <c r="T1310" s="1" t="s">
        <v>22</v>
      </c>
      <c r="U1310" s="1" t="s">
        <v>22</v>
      </c>
    </row>
    <row r="1311" spans="1:21" x14ac:dyDescent="0.25">
      <c r="A1311" s="1" t="s">
        <v>559</v>
      </c>
      <c r="B1311" s="2" t="s">
        <v>566</v>
      </c>
      <c r="C1311" s="1" t="s">
        <v>567</v>
      </c>
      <c r="D1311" s="1" t="s">
        <v>606</v>
      </c>
      <c r="E1311" s="1" t="s">
        <v>27</v>
      </c>
      <c r="F1311" s="1">
        <v>45350</v>
      </c>
      <c r="G1311" s="14" t="s">
        <v>38</v>
      </c>
      <c r="H1311" t="s">
        <v>610</v>
      </c>
      <c r="I1311" s="2" t="s">
        <v>611</v>
      </c>
      <c r="J1311" s="2">
        <v>0.010416666666666666</v>
      </c>
      <c r="K1311" s="1">
        <v>0.027777777777777776</v>
      </c>
      <c r="L1311" s="1">
        <v>0.03819444444444444</v>
      </c>
      <c r="M1311" s="1" t="s">
        <v>22</v>
      </c>
      <c r="N1311" s="1" t="s">
        <v>32</v>
      </c>
      <c r="O1311" s="1" t="s">
        <v>41</v>
      </c>
      <c r="P1311" s="1" t="s">
        <v>488</v>
      </c>
      <c r="Q1311" s="1">
        <v>45350</v>
      </c>
      <c r="R1311" s="14">
        <v>5</v>
      </c>
      <c r="S1311" s="1" t="s">
        <v>22</v>
      </c>
      <c r="T1311" s="1" t="s">
        <v>22</v>
      </c>
      <c r="U1311" s="1" t="s">
        <v>22</v>
      </c>
    </row>
    <row r="1312" spans="1:21" x14ac:dyDescent="0.25">
      <c r="A1312" s="1" t="s">
        <v>559</v>
      </c>
      <c r="B1312" s="2" t="s">
        <v>612</v>
      </c>
      <c r="C1312" s="1" t="s">
        <v>567</v>
      </c>
      <c r="D1312" s="1" t="s">
        <v>606</v>
      </c>
      <c r="E1312" s="1" t="s">
        <v>27</v>
      </c>
      <c r="F1312" s="1">
        <v>45350</v>
      </c>
      <c r="G1312" s="14" t="s">
        <v>38</v>
      </c>
      <c r="H1312" t="s">
        <v>610</v>
      </c>
      <c r="I1312" s="2" t="s">
        <v>611</v>
      </c>
      <c r="J1312" s="2">
        <v>0.006944444444444444</v>
      </c>
      <c r="K1312" s="1">
        <v>0.034722222222222224</v>
      </c>
      <c r="L1312" s="1">
        <v>0.04166666666666667</v>
      </c>
      <c r="M1312" s="1" t="s">
        <v>22</v>
      </c>
      <c r="N1312" s="1" t="s">
        <v>32</v>
      </c>
      <c r="O1312" s="1" t="s">
        <v>41</v>
      </c>
      <c r="P1312" s="1" t="s">
        <v>488</v>
      </c>
      <c r="Q1312" s="1">
        <v>45350</v>
      </c>
      <c r="R1312" s="14">
        <v>5</v>
      </c>
      <c r="S1312" s="1" t="s">
        <v>22</v>
      </c>
      <c r="T1312" s="1" t="s">
        <v>22</v>
      </c>
      <c r="U1312" s="1" t="s">
        <v>22</v>
      </c>
    </row>
    <row r="1313" spans="1:21" x14ac:dyDescent="0.25">
      <c r="A1313" s="1" t="s">
        <v>559</v>
      </c>
      <c r="B1313" s="2" t="s">
        <v>223</v>
      </c>
      <c r="C1313" s="1" t="s">
        <v>186</v>
      </c>
      <c r="D1313" s="1" t="s">
        <v>613</v>
      </c>
      <c r="E1313" s="1" t="s">
        <v>37</v>
      </c>
      <c r="F1313" s="1">
        <v>45351</v>
      </c>
      <c r="G1313" s="14" t="s">
        <v>38</v>
      </c>
      <c r="H1313" t="s">
        <v>614</v>
      </c>
      <c r="I1313" s="2" t="s">
        <v>615</v>
      </c>
      <c r="J1313" s="2">
        <v>0.013888888888888888</v>
      </c>
      <c r="K1313" s="1">
        <v>0.020833333333333332</v>
      </c>
      <c r="L1313" s="1">
        <v>0.034722222222222224</v>
      </c>
      <c r="M1313" s="1" t="s">
        <v>22</v>
      </c>
      <c r="N1313" s="1" t="s">
        <v>31</v>
      </c>
      <c r="O1313" s="1" t="s">
        <v>32</v>
      </c>
      <c r="P1313" s="1" t="s">
        <v>488</v>
      </c>
      <c r="Q1313" s="1">
        <v>45355</v>
      </c>
      <c r="R1313" s="14">
        <v>5</v>
      </c>
      <c r="S1313" s="1" t="s">
        <v>22</v>
      </c>
      <c r="T1313" s="1" t="s">
        <v>22</v>
      </c>
      <c r="U1313" s="1" t="s">
        <v>22</v>
      </c>
    </row>
    <row r="1314" spans="1:21" x14ac:dyDescent="0.25">
      <c r="A1314" s="1" t="s">
        <v>559</v>
      </c>
      <c r="B1314" s="2" t="s">
        <v>616</v>
      </c>
      <c r="C1314" s="1" t="s">
        <v>617</v>
      </c>
      <c r="D1314" s="1" t="s">
        <v>618</v>
      </c>
      <c r="E1314" s="1" t="s">
        <v>37</v>
      </c>
      <c r="F1314" s="1">
        <v>45351</v>
      </c>
      <c r="G1314" s="14" t="s">
        <v>38</v>
      </c>
      <c r="H1314" t="s">
        <v>619</v>
      </c>
      <c r="I1314" s="2" t="s">
        <v>620</v>
      </c>
      <c r="J1314" s="2">
        <v>0.013888888888888888</v>
      </c>
      <c r="K1314" s="1">
        <v>0.034722222222222224</v>
      </c>
      <c r="L1314" s="1">
        <v>0.04861111111111111</v>
      </c>
      <c r="M1314" s="1" t="s">
        <v>22</v>
      </c>
      <c r="N1314" s="1" t="s">
        <v>31</v>
      </c>
      <c r="O1314" s="1" t="s">
        <v>41</v>
      </c>
      <c r="P1314" s="1" t="s">
        <v>484</v>
      </c>
      <c r="Q1314" s="1">
        <v>45351</v>
      </c>
      <c r="R1314" s="14">
        <v>5</v>
      </c>
      <c r="S1314" s="1" t="s">
        <v>22</v>
      </c>
      <c r="T1314" s="1" t="s">
        <v>22</v>
      </c>
      <c r="U1314" s="1" t="s">
        <v>22</v>
      </c>
    </row>
    <row r="1315" spans="1:21" x14ac:dyDescent="0.25">
      <c r="A1315" s="1" t="s">
        <v>621</v>
      </c>
      <c r="B1315" s="2" t="s">
        <v>35</v>
      </c>
      <c r="C1315" s="1" t="s">
        <v>25</v>
      </c>
      <c r="D1315" s="1" t="s">
        <v>622</v>
      </c>
      <c r="E1315" s="1" t="s">
        <v>27</v>
      </c>
      <c r="F1315" s="1">
        <v>45352</v>
      </c>
      <c r="G1315" s="14" t="s">
        <v>38</v>
      </c>
      <c r="H1315" t="s">
        <v>3569</v>
      </c>
      <c r="I1315" s="2" t="s">
        <v>624</v>
      </c>
      <c r="J1315" s="2">
        <v>0.020833333333333332</v>
      </c>
      <c r="K1315" s="1">
        <v>0.03819444444444445</v>
      </c>
      <c r="L1315" s="1">
        <v>0.059027777777777776</v>
      </c>
      <c r="M1315" s="1" t="s">
        <v>22</v>
      </c>
      <c r="N1315" s="1" t="s">
        <v>574</v>
      </c>
      <c r="O1315" s="1" t="s">
        <v>41</v>
      </c>
      <c r="P1315" s="1" t="s">
        <v>42</v>
      </c>
      <c r="Q1315" s="1">
        <v>45352</v>
      </c>
      <c r="R1315" s="14">
        <v>5</v>
      </c>
      <c r="S1315" s="1" t="s">
        <v>22</v>
      </c>
      <c r="T1315" s="1" t="s">
        <v>22</v>
      </c>
      <c r="U1315" s="1" t="s">
        <v>22</v>
      </c>
    </row>
    <row r="1316" spans="1:21" x14ac:dyDescent="0.25">
      <c r="A1316" s="1" t="s">
        <v>621</v>
      </c>
      <c r="B1316" s="2" t="s">
        <v>625</v>
      </c>
      <c r="C1316" s="1" t="s">
        <v>567</v>
      </c>
      <c r="D1316" s="1" t="s">
        <v>626</v>
      </c>
      <c r="E1316" s="1" t="s">
        <v>27</v>
      </c>
      <c r="F1316" s="1">
        <v>45355</v>
      </c>
      <c r="G1316" s="14" t="s">
        <v>507</v>
      </c>
      <c r="H1316" t="s">
        <v>627</v>
      </c>
      <c r="I1316" s="2" t="s">
        <v>628</v>
      </c>
      <c r="J1316" s="2">
        <v>0.013888888888888888</v>
      </c>
      <c r="K1316" s="1">
        <v>0.024305555555555556</v>
      </c>
      <c r="L1316" s="1">
        <v>0.03819444444444445</v>
      </c>
      <c r="M1316" s="1" t="s">
        <v>22</v>
      </c>
      <c r="N1316" s="1" t="s">
        <v>32</v>
      </c>
      <c r="O1316" s="1" t="s">
        <v>483</v>
      </c>
      <c r="P1316" s="1" t="s">
        <v>488</v>
      </c>
      <c r="Q1316" s="1">
        <v>45355</v>
      </c>
      <c r="R1316" s="14">
        <v>5</v>
      </c>
      <c r="S1316" s="1" t="s">
        <v>22</v>
      </c>
      <c r="T1316" s="1" t="s">
        <v>22</v>
      </c>
      <c r="U1316" s="1" t="s">
        <v>22</v>
      </c>
    </row>
    <row r="1317" spans="1:21" x14ac:dyDescent="0.25">
      <c r="A1317" s="1" t="s">
        <v>621</v>
      </c>
      <c r="B1317" s="2" t="s">
        <v>223</v>
      </c>
      <c r="C1317" s="1" t="s">
        <v>186</v>
      </c>
      <c r="D1317" s="1" t="s">
        <v>629</v>
      </c>
      <c r="E1317" s="1" t="s">
        <v>37</v>
      </c>
      <c r="F1317" s="1">
        <v>45356</v>
      </c>
      <c r="G1317" s="14" t="s">
        <v>74</v>
      </c>
      <c r="H1317" t="s">
        <v>630</v>
      </c>
      <c r="I1317" s="2" t="s">
        <v>631</v>
      </c>
      <c r="J1317" s="2">
        <v>0.041666666666666664</v>
      </c>
      <c r="K1317" s="1">
        <v>0.03125</v>
      </c>
      <c r="L1317" s="1">
        <v>0.07291666666666666</v>
      </c>
      <c r="M1317" s="1" t="s">
        <v>22</v>
      </c>
      <c r="N1317" s="1" t="s">
        <v>31</v>
      </c>
      <c r="O1317" s="1" t="s">
        <v>32</v>
      </c>
      <c r="P1317" s="1" t="s">
        <v>488</v>
      </c>
      <c r="Q1317" s="1">
        <v>45356</v>
      </c>
      <c r="R1317" s="14">
        <v>5</v>
      </c>
      <c r="S1317" s="1" t="s">
        <v>22</v>
      </c>
      <c r="T1317" s="1" t="s">
        <v>22</v>
      </c>
      <c r="U1317" s="1" t="s">
        <v>22</v>
      </c>
    </row>
    <row r="1318" spans="1:21" x14ac:dyDescent="0.25">
      <c r="A1318" s="1" t="s">
        <v>621</v>
      </c>
      <c r="B1318" s="2" t="s">
        <v>185</v>
      </c>
      <c r="C1318" s="1" t="s">
        <v>186</v>
      </c>
      <c r="D1318" s="1" t="s">
        <v>632</v>
      </c>
      <c r="E1318" s="1" t="s">
        <v>37</v>
      </c>
      <c r="F1318" s="1">
        <v>45362</v>
      </c>
      <c r="G1318" s="14" t="s">
        <v>38</v>
      </c>
      <c r="H1318" t="s">
        <v>633</v>
      </c>
      <c r="I1318" s="2" t="s">
        <v>634</v>
      </c>
      <c r="J1318" s="2">
        <v>0</v>
      </c>
      <c r="K1318" s="1">
        <v>0.03125</v>
      </c>
      <c r="L1318" s="1">
        <v>0.03125</v>
      </c>
      <c r="M1318" s="1" t="s">
        <v>22</v>
      </c>
      <c r="N1318" s="1" t="s">
        <v>54</v>
      </c>
      <c r="O1318" s="1" t="s">
        <v>41</v>
      </c>
      <c r="P1318" s="1" t="s">
        <v>484</v>
      </c>
      <c r="Q1318" s="1">
        <v>45362</v>
      </c>
      <c r="R1318" s="14">
        <v>5</v>
      </c>
      <c r="S1318" s="1" t="s">
        <v>22</v>
      </c>
      <c r="T1318" s="1" t="s">
        <v>22</v>
      </c>
      <c r="U1318" s="1" t="s">
        <v>22</v>
      </c>
    </row>
    <row r="1319" spans="1:21" x14ac:dyDescent="0.25">
      <c r="A1319" s="1" t="s">
        <v>621</v>
      </c>
      <c r="B1319" s="2" t="s">
        <v>284</v>
      </c>
      <c r="C1319" s="1" t="s">
        <v>285</v>
      </c>
      <c r="D1319" s="1" t="s">
        <v>635</v>
      </c>
      <c r="E1319" s="1" t="s">
        <v>37</v>
      </c>
      <c r="F1319" s="1">
        <v>45364</v>
      </c>
      <c r="G1319" s="14" t="s">
        <v>38</v>
      </c>
      <c r="H1319" t="s">
        <v>636</v>
      </c>
      <c r="I1319" s="2" t="s">
        <v>637</v>
      </c>
      <c r="J1319" s="2">
        <v>0.010416666666666666</v>
      </c>
      <c r="K1319" s="1">
        <v>0.034722222222222224</v>
      </c>
      <c r="L1319" s="1">
        <v>0.04513888888888889</v>
      </c>
      <c r="M1319" s="1" t="s">
        <v>22</v>
      </c>
      <c r="N1319" s="1" t="s">
        <v>31</v>
      </c>
      <c r="O1319" s="1" t="s">
        <v>41</v>
      </c>
      <c r="P1319" s="1" t="s">
        <v>484</v>
      </c>
      <c r="Q1319" s="1">
        <v>45364</v>
      </c>
      <c r="R1319" s="14">
        <v>5</v>
      </c>
      <c r="S1319" s="1" t="s">
        <v>22</v>
      </c>
      <c r="T1319" s="1" t="s">
        <v>22</v>
      </c>
      <c r="U1319" s="1" t="s">
        <v>22</v>
      </c>
    </row>
    <row r="1320" spans="1:21" x14ac:dyDescent="0.25">
      <c r="A1320" s="1" t="s">
        <v>621</v>
      </c>
      <c r="B1320" s="2" t="s">
        <v>223</v>
      </c>
      <c r="C1320" s="1" t="s">
        <v>186</v>
      </c>
      <c r="D1320" s="1" t="s">
        <v>638</v>
      </c>
      <c r="E1320" s="1" t="s">
        <v>27</v>
      </c>
      <c r="F1320" s="1">
        <v>45364</v>
      </c>
      <c r="G1320" s="14" t="s">
        <v>38</v>
      </c>
      <c r="H1320" t="s">
        <v>639</v>
      </c>
      <c r="I1320" s="2" t="s">
        <v>640</v>
      </c>
      <c r="J1320" s="2">
        <v>0.03125</v>
      </c>
      <c r="K1320" s="1">
        <v>0.0625</v>
      </c>
      <c r="L1320" s="1">
        <v>0.09375</v>
      </c>
      <c r="M1320" s="1" t="s">
        <v>22</v>
      </c>
      <c r="N1320" s="1" t="s">
        <v>31</v>
      </c>
      <c r="O1320" s="1" t="s">
        <v>41</v>
      </c>
      <c r="P1320" s="1" t="s">
        <v>488</v>
      </c>
      <c r="Q1320" s="1">
        <v>45364</v>
      </c>
      <c r="R1320" s="14">
        <v>5</v>
      </c>
      <c r="S1320" s="1" t="s">
        <v>22</v>
      </c>
      <c r="T1320" s="1" t="s">
        <v>22</v>
      </c>
      <c r="U1320" s="1" t="s">
        <v>22</v>
      </c>
    </row>
    <row r="1321" spans="1:21" x14ac:dyDescent="0.25">
      <c r="A1321" s="1" t="s">
        <v>621</v>
      </c>
      <c r="B1321" s="2" t="s">
        <v>641</v>
      </c>
      <c r="C1321" s="1" t="s">
        <v>261</v>
      </c>
      <c r="D1321" s="1" t="s">
        <v>642</v>
      </c>
      <c r="E1321" s="1" t="s">
        <v>37</v>
      </c>
      <c r="F1321" s="1">
        <v>45366</v>
      </c>
      <c r="G1321" s="14" t="s">
        <v>38</v>
      </c>
      <c r="H1321" t="s">
        <v>643</v>
      </c>
      <c r="I1321" s="2" t="s">
        <v>644</v>
      </c>
      <c r="J1321" s="2">
        <v>0.11805555555555555</v>
      </c>
      <c r="K1321" s="1">
        <v>0.0763888888888889</v>
      </c>
      <c r="L1321" s="1">
        <v>0.19444444444444445</v>
      </c>
      <c r="M1321" s="1" t="s">
        <v>22</v>
      </c>
      <c r="N1321" s="1" t="s">
        <v>31</v>
      </c>
      <c r="O1321" s="1" t="s">
        <v>41</v>
      </c>
      <c r="P1321" s="1" t="s">
        <v>42</v>
      </c>
      <c r="Q1321" s="1">
        <v>45366</v>
      </c>
      <c r="R1321" s="14">
        <v>5</v>
      </c>
      <c r="S1321" s="1" t="s">
        <v>22</v>
      </c>
      <c r="T1321" s="1" t="s">
        <v>22</v>
      </c>
      <c r="U1321" s="1" t="s">
        <v>22</v>
      </c>
    </row>
    <row r="1322" spans="1:21" x14ac:dyDescent="0.25">
      <c r="A1322" s="1" t="s">
        <v>621</v>
      </c>
      <c r="B1322" s="2" t="s">
        <v>35</v>
      </c>
      <c r="C1322" s="1" t="s">
        <v>25</v>
      </c>
      <c r="D1322" s="1" t="s">
        <v>645</v>
      </c>
      <c r="E1322" s="1" t="s">
        <v>27</v>
      </c>
      <c r="F1322" s="1">
        <v>45366</v>
      </c>
      <c r="G1322" s="14" t="s">
        <v>38</v>
      </c>
      <c r="H1322" t="s">
        <v>646</v>
      </c>
      <c r="I1322" s="2" t="s">
        <v>647</v>
      </c>
      <c r="J1322" s="2">
        <v>0.034722222222222224</v>
      </c>
      <c r="K1322" s="1">
        <v>0.041666666666666664</v>
      </c>
      <c r="L1322" s="1">
        <v>0.0763888888888889</v>
      </c>
      <c r="M1322" s="1" t="s">
        <v>22</v>
      </c>
      <c r="N1322" s="1" t="s">
        <v>41</v>
      </c>
      <c r="O1322" s="1" t="s">
        <v>31</v>
      </c>
      <c r="P1322" s="1" t="s">
        <v>42</v>
      </c>
      <c r="Q1322" s="1">
        <v>45366</v>
      </c>
      <c r="R1322" s="14">
        <v>5</v>
      </c>
      <c r="S1322" s="1" t="s">
        <v>22</v>
      </c>
      <c r="T1322" s="1" t="s">
        <v>22</v>
      </c>
      <c r="U1322" s="1" t="s">
        <v>22</v>
      </c>
    </row>
    <row r="1323" spans="1:21" x14ac:dyDescent="0.25">
      <c r="A1323" s="1" t="s">
        <v>621</v>
      </c>
      <c r="B1323" s="2" t="s">
        <v>99</v>
      </c>
      <c r="C1323" s="1" t="s">
        <v>25</v>
      </c>
      <c r="D1323" s="1" t="s">
        <v>648</v>
      </c>
      <c r="E1323" s="1" t="s">
        <v>27</v>
      </c>
      <c r="F1323" s="1">
        <v>45378</v>
      </c>
      <c r="G1323" s="14" t="s">
        <v>28</v>
      </c>
      <c r="H1323" t="s">
        <v>649</v>
      </c>
      <c r="I1323" s="2" t="s">
        <v>650</v>
      </c>
      <c r="J1323" s="2">
        <v>0.034722222222222224</v>
      </c>
      <c r="K1323" s="1">
        <v>0.06944444444444445</v>
      </c>
      <c r="L1323" s="1">
        <v>0.10416666666666667</v>
      </c>
      <c r="M1323" s="1" t="s">
        <v>22</v>
      </c>
      <c r="N1323" s="1" t="s">
        <v>32</v>
      </c>
      <c r="O1323" s="1" t="s">
        <v>41</v>
      </c>
      <c r="P1323" s="1" t="s">
        <v>47</v>
      </c>
      <c r="Q1323" s="1">
        <v>45378</v>
      </c>
      <c r="R1323" s="14">
        <v>5</v>
      </c>
      <c r="S1323" s="1" t="s">
        <v>22</v>
      </c>
      <c r="T1323" s="1" t="s">
        <v>22</v>
      </c>
      <c r="U1323" s="1" t="s">
        <v>22</v>
      </c>
    </row>
    <row r="1324" spans="1:21" x14ac:dyDescent="0.25">
      <c r="A1324" s="1" t="s">
        <v>621</v>
      </c>
      <c r="B1324" s="2" t="s">
        <v>334</v>
      </c>
      <c r="C1324" s="1" t="s">
        <v>335</v>
      </c>
      <c r="D1324" s="1" t="s">
        <v>651</v>
      </c>
      <c r="E1324" s="1" t="s">
        <v>27</v>
      </c>
      <c r="F1324" s="1">
        <v>45378</v>
      </c>
      <c r="G1324" s="14" t="s">
        <v>133</v>
      </c>
      <c r="H1324" t="s">
        <v>652</v>
      </c>
      <c r="I1324" s="2" t="s">
        <v>653</v>
      </c>
      <c r="J1324" s="2">
        <v>0.020833333333333332</v>
      </c>
      <c r="K1324" s="1">
        <v>0.024305555555555556</v>
      </c>
      <c r="L1324" s="1">
        <v>0.04513888888888889</v>
      </c>
      <c r="M1324" s="1" t="s">
        <v>22</v>
      </c>
      <c r="N1324" s="1" t="s">
        <v>54</v>
      </c>
      <c r="O1324" s="1" t="s">
        <v>41</v>
      </c>
      <c r="P1324" s="1" t="s">
        <v>42</v>
      </c>
      <c r="Q1324" s="1">
        <v>45378</v>
      </c>
      <c r="R1324" s="14">
        <v>5</v>
      </c>
      <c r="S1324" s="1" t="s">
        <v>22</v>
      </c>
      <c r="T1324" s="1" t="s">
        <v>22</v>
      </c>
      <c r="U1324" s="1" t="s">
        <v>22</v>
      </c>
    </row>
    <row r="1325" spans="1:21" x14ac:dyDescent="0.25">
      <c r="A1325" s="1" t="s">
        <v>621</v>
      </c>
      <c r="B1325" s="2" t="s">
        <v>641</v>
      </c>
      <c r="C1325" s="1" t="s">
        <v>261</v>
      </c>
      <c r="D1325" s="1" t="s">
        <v>654</v>
      </c>
      <c r="E1325" s="1" t="s">
        <v>27</v>
      </c>
      <c r="F1325" s="1">
        <v>45378</v>
      </c>
      <c r="G1325" s="14" t="s">
        <v>74</v>
      </c>
      <c r="H1325" t="s">
        <v>655</v>
      </c>
      <c r="I1325" s="2" t="s">
        <v>656</v>
      </c>
      <c r="J1325" s="2">
        <v>0.020833333333333332</v>
      </c>
      <c r="K1325" s="1">
        <v>0.052083333333333336</v>
      </c>
      <c r="L1325" s="1">
        <v>0.07291666666666667</v>
      </c>
      <c r="M1325" s="1" t="s">
        <v>22</v>
      </c>
      <c r="N1325" s="1" t="s">
        <v>32</v>
      </c>
      <c r="O1325" s="1" t="s">
        <v>41</v>
      </c>
      <c r="P1325" s="1" t="s">
        <v>42</v>
      </c>
      <c r="Q1325" s="1">
        <v>45378</v>
      </c>
      <c r="R1325" s="14">
        <v>5</v>
      </c>
      <c r="S1325" s="1" t="s">
        <v>22</v>
      </c>
      <c r="T1325" s="1" t="s">
        <v>22</v>
      </c>
      <c r="U1325" s="1" t="s">
        <v>22</v>
      </c>
    </row>
    <row r="1326" spans="1:21" x14ac:dyDescent="0.25">
      <c r="A1326" s="1" t="s">
        <v>657</v>
      </c>
      <c r="B1326" s="2" t="s">
        <v>99</v>
      </c>
      <c r="C1326" s="1" t="s">
        <v>25</v>
      </c>
      <c r="D1326" s="1" t="s">
        <v>658</v>
      </c>
      <c r="E1326" s="1" t="s">
        <v>27</v>
      </c>
      <c r="F1326" s="1">
        <v>45385</v>
      </c>
      <c r="G1326" s="14" t="s">
        <v>28</v>
      </c>
      <c r="H1326" t="s">
        <v>659</v>
      </c>
      <c r="I1326" s="2" t="s">
        <v>660</v>
      </c>
      <c r="J1326" s="2">
        <v>0.03125</v>
      </c>
      <c r="K1326" s="1">
        <v>0.027777777777777776</v>
      </c>
      <c r="L1326" s="1">
        <v>0.059027777777777776</v>
      </c>
      <c r="M1326" s="1" t="s">
        <v>22</v>
      </c>
      <c r="N1326" s="1" t="s">
        <v>41</v>
      </c>
      <c r="O1326" s="1" t="s">
        <v>32</v>
      </c>
      <c r="P1326" s="1" t="s">
        <v>47</v>
      </c>
      <c r="Q1326" s="1">
        <v>45385</v>
      </c>
      <c r="R1326" s="14">
        <v>5</v>
      </c>
      <c r="S1326" s="1" t="s">
        <v>22</v>
      </c>
      <c r="T1326" s="1" t="s">
        <v>22</v>
      </c>
      <c r="U1326" s="1" t="s">
        <v>22</v>
      </c>
    </row>
    <row r="1327" spans="1:21" x14ac:dyDescent="0.25">
      <c r="A1327" s="1" t="s">
        <v>657</v>
      </c>
      <c r="B1327" s="2" t="s">
        <v>616</v>
      </c>
      <c r="C1327" s="1" t="s">
        <v>617</v>
      </c>
      <c r="D1327" s="1" t="s">
        <v>661</v>
      </c>
      <c r="E1327" s="1" t="s">
        <v>27</v>
      </c>
      <c r="F1327" s="1">
        <v>45386</v>
      </c>
      <c r="G1327" s="14" t="s">
        <v>507</v>
      </c>
      <c r="H1327" t="s">
        <v>662</v>
      </c>
      <c r="I1327" s="2" t="s">
        <v>663</v>
      </c>
      <c r="J1327" s="2">
        <v>0.013888888888888888</v>
      </c>
      <c r="K1327" s="1">
        <v>0.03125</v>
      </c>
      <c r="L1327" s="1">
        <v>0.04513888888888889</v>
      </c>
      <c r="M1327" s="1" t="s">
        <v>22</v>
      </c>
      <c r="N1327" s="1" t="s">
        <v>32</v>
      </c>
      <c r="O1327" s="1" t="s">
        <v>41</v>
      </c>
      <c r="P1327" s="1" t="s">
        <v>47</v>
      </c>
      <c r="Q1327" s="1">
        <v>45386</v>
      </c>
      <c r="R1327" s="14">
        <v>5</v>
      </c>
      <c r="S1327" s="1" t="s">
        <v>22</v>
      </c>
      <c r="T1327" s="1" t="s">
        <v>22</v>
      </c>
      <c r="U1327" s="1" t="s">
        <v>22</v>
      </c>
    </row>
    <row r="1328" spans="1:21" x14ac:dyDescent="0.25">
      <c r="A1328" s="1" t="s">
        <v>657</v>
      </c>
      <c r="B1328" s="2" t="s">
        <v>286</v>
      </c>
      <c r="C1328" s="1" t="s">
        <v>287</v>
      </c>
      <c r="D1328" s="1" t="s">
        <v>664</v>
      </c>
      <c r="E1328" s="1" t="s">
        <v>37</v>
      </c>
      <c r="F1328" s="1">
        <v>45386</v>
      </c>
      <c r="G1328" s="14" t="s">
        <v>28</v>
      </c>
      <c r="H1328" t="s">
        <v>665</v>
      </c>
      <c r="I1328" s="2" t="s">
        <v>666</v>
      </c>
      <c r="J1328" s="2">
        <v>0.020833333333333332</v>
      </c>
      <c r="K1328" s="1">
        <v>0.05555555555555555</v>
      </c>
      <c r="L1328" s="1">
        <v>0.07638888888888888</v>
      </c>
      <c r="M1328" s="1" t="s">
        <v>22</v>
      </c>
      <c r="N1328" s="1" t="s">
        <v>31</v>
      </c>
      <c r="O1328" s="1" t="s">
        <v>483</v>
      </c>
      <c r="P1328" s="1" t="s">
        <v>47</v>
      </c>
      <c r="Q1328" s="1">
        <v>45386</v>
      </c>
      <c r="R1328" s="14">
        <v>5</v>
      </c>
      <c r="S1328" s="1" t="s">
        <v>22</v>
      </c>
      <c r="T1328" s="1" t="s">
        <v>22</v>
      </c>
      <c r="U1328" s="1" t="s">
        <v>22</v>
      </c>
    </row>
    <row r="1329" spans="1:21" x14ac:dyDescent="0.25">
      <c r="A1329" s="1" t="s">
        <v>657</v>
      </c>
      <c r="B1329" s="2" t="s">
        <v>667</v>
      </c>
      <c r="C1329" s="1" t="s">
        <v>668</v>
      </c>
      <c r="D1329" s="1" t="s">
        <v>669</v>
      </c>
      <c r="E1329" s="1" t="s">
        <v>37</v>
      </c>
      <c r="F1329" s="1">
        <v>45390</v>
      </c>
      <c r="G1329" s="14" t="s">
        <v>670</v>
      </c>
      <c r="H1329" t="s">
        <v>671</v>
      </c>
      <c r="I1329" s="2" t="s">
        <v>672</v>
      </c>
      <c r="J1329" s="2">
        <v>0.013888888888888888</v>
      </c>
      <c r="K1329" s="1">
        <v>0.020833333333333332</v>
      </c>
      <c r="L1329" s="1">
        <v>0.034722222222222224</v>
      </c>
      <c r="M1329" s="1" t="s">
        <v>22</v>
      </c>
      <c r="N1329" s="1" t="s">
        <v>41</v>
      </c>
      <c r="O1329" s="1" t="s">
        <v>32</v>
      </c>
      <c r="P1329" s="1" t="s">
        <v>42</v>
      </c>
      <c r="Q1329" s="1">
        <v>45390</v>
      </c>
      <c r="R1329" s="14">
        <v>5</v>
      </c>
      <c r="S1329" s="1" t="s">
        <v>22</v>
      </c>
      <c r="T1329" s="1" t="s">
        <v>22</v>
      </c>
      <c r="U1329" s="1" t="s">
        <v>22</v>
      </c>
    </row>
    <row r="1330" spans="1:21" x14ac:dyDescent="0.25">
      <c r="A1330" s="1" t="s">
        <v>657</v>
      </c>
      <c r="B1330" s="2" t="s">
        <v>625</v>
      </c>
      <c r="C1330" s="1" t="s">
        <v>567</v>
      </c>
      <c r="D1330" s="1" t="s">
        <v>673</v>
      </c>
      <c r="E1330" s="1" t="s">
        <v>37</v>
      </c>
      <c r="F1330" s="1">
        <v>45392</v>
      </c>
      <c r="G1330" s="14" t="s">
        <v>38</v>
      </c>
      <c r="H1330" t="s">
        <v>674</v>
      </c>
      <c r="I1330" s="2" t="s">
        <v>675</v>
      </c>
      <c r="J1330" s="2">
        <v>0.013888888888888888</v>
      </c>
      <c r="K1330" s="1">
        <v>0.027777777777777776</v>
      </c>
      <c r="L1330" s="1">
        <v>0.041666666666666664</v>
      </c>
      <c r="M1330" s="1" t="s">
        <v>22</v>
      </c>
      <c r="N1330" s="1" t="s">
        <v>31</v>
      </c>
      <c r="O1330" s="1" t="s">
        <v>41</v>
      </c>
      <c r="P1330" s="1" t="s">
        <v>488</v>
      </c>
      <c r="Q1330" s="1">
        <v>45392</v>
      </c>
      <c r="R1330" s="14">
        <v>5</v>
      </c>
      <c r="S1330" s="1" t="s">
        <v>22</v>
      </c>
      <c r="T1330" s="1" t="s">
        <v>22</v>
      </c>
      <c r="U1330" s="1" t="s">
        <v>22</v>
      </c>
    </row>
    <row r="1331" spans="1:21" x14ac:dyDescent="0.25">
      <c r="A1331" s="1" t="s">
        <v>657</v>
      </c>
      <c r="B1331" s="2" t="s">
        <v>247</v>
      </c>
      <c r="C1331" s="1" t="s">
        <v>25</v>
      </c>
      <c r="D1331" s="1" t="s">
        <v>676</v>
      </c>
      <c r="E1331" s="1" t="s">
        <v>37</v>
      </c>
      <c r="F1331" s="1">
        <v>45392</v>
      </c>
      <c r="G1331" s="14" t="s">
        <v>38</v>
      </c>
      <c r="H1331" t="s">
        <v>677</v>
      </c>
      <c r="I1331" s="2" t="s">
        <v>678</v>
      </c>
      <c r="J1331" s="2">
        <v>0.013888888888888888</v>
      </c>
      <c r="K1331" s="1">
        <v>0.03125</v>
      </c>
      <c r="L1331" s="1">
        <v>0.04513888888888889</v>
      </c>
      <c r="M1331" s="1" t="s">
        <v>22</v>
      </c>
      <c r="N1331" s="1" t="s">
        <v>31</v>
      </c>
      <c r="O1331" s="1" t="s">
        <v>41</v>
      </c>
      <c r="P1331" s="1" t="s">
        <v>488</v>
      </c>
      <c r="Q1331" s="1">
        <v>45392</v>
      </c>
      <c r="R1331" s="14">
        <v>5</v>
      </c>
      <c r="S1331" s="1" t="s">
        <v>22</v>
      </c>
      <c r="T1331" s="1" t="s">
        <v>22</v>
      </c>
      <c r="U1331" s="1" t="s">
        <v>22</v>
      </c>
    </row>
    <row r="1332" spans="1:21" x14ac:dyDescent="0.25">
      <c r="A1332" s="1" t="s">
        <v>657</v>
      </c>
      <c r="B1332" s="2" t="s">
        <v>641</v>
      </c>
      <c r="C1332" s="1" t="s">
        <v>261</v>
      </c>
      <c r="D1332" s="1" t="s">
        <v>679</v>
      </c>
      <c r="E1332" s="1" t="s">
        <v>27</v>
      </c>
      <c r="F1332" s="1">
        <v>45394</v>
      </c>
      <c r="G1332" s="14" t="s">
        <v>28</v>
      </c>
      <c r="H1332" t="s">
        <v>680</v>
      </c>
      <c r="I1332" s="2" t="s">
        <v>681</v>
      </c>
      <c r="J1332" s="2">
        <v>0.020833333333333332</v>
      </c>
      <c r="K1332" s="1">
        <v>0.041666666666666664</v>
      </c>
      <c r="L1332" s="1">
        <v>0.0625</v>
      </c>
      <c r="M1332" s="1" t="s">
        <v>22</v>
      </c>
      <c r="N1332" s="1" t="s">
        <v>53</v>
      </c>
      <c r="O1332" s="1" t="s">
        <v>32</v>
      </c>
      <c r="P1332" s="1" t="s">
        <v>42</v>
      </c>
      <c r="Q1332" s="1">
        <v>45394</v>
      </c>
      <c r="R1332" s="14">
        <v>5</v>
      </c>
      <c r="S1332" s="1" t="s">
        <v>22</v>
      </c>
      <c r="T1332" s="1" t="s">
        <v>22</v>
      </c>
      <c r="U1332" s="1" t="s">
        <v>22</v>
      </c>
    </row>
    <row r="1333" spans="1:21" x14ac:dyDescent="0.25">
      <c r="A1333" s="1" t="s">
        <v>657</v>
      </c>
      <c r="B1333" s="2" t="s">
        <v>286</v>
      </c>
      <c r="C1333" s="1" t="s">
        <v>287</v>
      </c>
      <c r="D1333" s="1" t="s">
        <v>682</v>
      </c>
      <c r="E1333" s="1" t="s">
        <v>37</v>
      </c>
      <c r="F1333" s="1">
        <v>45404</v>
      </c>
      <c r="G1333" s="14" t="s">
        <v>38</v>
      </c>
      <c r="H1333" t="s">
        <v>683</v>
      </c>
      <c r="I1333" s="2" t="s">
        <v>684</v>
      </c>
      <c r="J1333" s="2">
        <v>0.08333333333333333</v>
      </c>
      <c r="K1333" s="1">
        <v>0.1076388888888889</v>
      </c>
      <c r="L1333" s="1">
        <v>0.1909722222222222</v>
      </c>
      <c r="M1333" s="1" t="s">
        <v>22</v>
      </c>
      <c r="N1333" s="1" t="s">
        <v>31</v>
      </c>
      <c r="O1333" s="1" t="s">
        <v>41</v>
      </c>
      <c r="P1333" s="1" t="s">
        <v>47</v>
      </c>
      <c r="Q1333" s="1">
        <v>45404</v>
      </c>
      <c r="R1333" s="14">
        <v>5</v>
      </c>
      <c r="S1333" s="1" t="s">
        <v>22</v>
      </c>
      <c r="T1333" s="1" t="s">
        <v>22</v>
      </c>
      <c r="U1333" s="1" t="s">
        <v>22</v>
      </c>
    </row>
    <row r="1334" spans="1:21" x14ac:dyDescent="0.25">
      <c r="A1334" s="1" t="s">
        <v>657</v>
      </c>
      <c r="B1334" s="2" t="s">
        <v>641</v>
      </c>
      <c r="C1334" s="1" t="s">
        <v>261</v>
      </c>
      <c r="D1334" s="1" t="s">
        <v>685</v>
      </c>
      <c r="E1334" s="1" t="s">
        <v>27</v>
      </c>
      <c r="F1334" s="1">
        <v>45406</v>
      </c>
      <c r="G1334" s="14" t="s">
        <v>74</v>
      </c>
      <c r="H1334" t="s">
        <v>686</v>
      </c>
      <c r="I1334" s="2" t="s">
        <v>687</v>
      </c>
      <c r="J1334" s="2">
        <v>0.020833333333333332</v>
      </c>
      <c r="K1334" s="1">
        <v>0.041666666666666664</v>
      </c>
      <c r="L1334" s="1">
        <v>0.0625</v>
      </c>
      <c r="M1334" s="1" t="s">
        <v>22</v>
      </c>
      <c r="N1334" s="1" t="s">
        <v>32</v>
      </c>
      <c r="O1334" s="1" t="s">
        <v>41</v>
      </c>
      <c r="P1334" s="1" t="s">
        <v>42</v>
      </c>
      <c r="Q1334" s="1">
        <v>45406</v>
      </c>
      <c r="R1334" s="14">
        <v>5</v>
      </c>
      <c r="S1334" s="1" t="s">
        <v>22</v>
      </c>
      <c r="T1334" s="1" t="s">
        <v>22</v>
      </c>
      <c r="U1334" s="1" t="s">
        <v>22</v>
      </c>
    </row>
    <row r="1335" spans="1:21" x14ac:dyDescent="0.25">
      <c r="A1335" s="1" t="s">
        <v>688</v>
      </c>
      <c r="B1335" s="2" t="s">
        <v>529</v>
      </c>
      <c r="C1335" s="1" t="s">
        <v>530</v>
      </c>
      <c r="D1335" s="1" t="s">
        <v>689</v>
      </c>
      <c r="E1335" s="1" t="s">
        <v>37</v>
      </c>
      <c r="F1335" s="1">
        <v>45414</v>
      </c>
      <c r="G1335" s="14" t="s">
        <v>28</v>
      </c>
      <c r="H1335" t="s">
        <v>690</v>
      </c>
      <c r="I1335" s="2" t="s">
        <v>691</v>
      </c>
      <c r="J1335" s="2">
        <v>0.020833333333333332</v>
      </c>
      <c r="K1335" s="1">
        <v>0.041666666666666664</v>
      </c>
      <c r="L1335" s="1">
        <v>0.0625</v>
      </c>
      <c r="M1335" s="1" t="s">
        <v>22</v>
      </c>
      <c r="N1335" s="1" t="s">
        <v>53</v>
      </c>
      <c r="O1335" s="1" t="s">
        <v>32</v>
      </c>
      <c r="P1335" s="1" t="s">
        <v>47</v>
      </c>
      <c r="Q1335" s="1">
        <v>45414</v>
      </c>
      <c r="R1335" s="14">
        <v>5</v>
      </c>
      <c r="S1335" s="1" t="s">
        <v>22</v>
      </c>
      <c r="T1335" s="1" t="s">
        <v>22</v>
      </c>
      <c r="U1335" s="1" t="s">
        <v>22</v>
      </c>
    </row>
    <row r="1336" spans="1:21" x14ac:dyDescent="0.25">
      <c r="A1336" s="1" t="s">
        <v>688</v>
      </c>
      <c r="B1336" s="2" t="s">
        <v>48</v>
      </c>
      <c r="C1336" s="1" t="s">
        <v>25</v>
      </c>
      <c r="D1336" s="1" t="s">
        <v>692</v>
      </c>
      <c r="E1336" s="1" t="s">
        <v>27</v>
      </c>
      <c r="F1336" s="1">
        <v>45414</v>
      </c>
      <c r="G1336" s="14" t="s">
        <v>38</v>
      </c>
      <c r="H1336" t="s">
        <v>693</v>
      </c>
      <c r="I1336" s="2" t="s">
        <v>694</v>
      </c>
      <c r="J1336" s="2">
        <v>0.020833333333333332</v>
      </c>
      <c r="K1336" s="1">
        <v>0.03819444444444445</v>
      </c>
      <c r="L1336" s="1">
        <v>0.059027777777777776</v>
      </c>
      <c r="M1336" s="1" t="s">
        <v>22</v>
      </c>
      <c r="N1336" s="1" t="s">
        <v>53</v>
      </c>
      <c r="O1336" s="1" t="s">
        <v>32</v>
      </c>
      <c r="P1336" s="1" t="s">
        <v>47</v>
      </c>
      <c r="Q1336" s="1">
        <v>45415</v>
      </c>
      <c r="R1336" s="14">
        <v>5</v>
      </c>
      <c r="S1336" s="1" t="s">
        <v>22</v>
      </c>
      <c r="T1336" s="1" t="s">
        <v>22</v>
      </c>
      <c r="U1336" s="1" t="s">
        <v>22</v>
      </c>
    </row>
    <row r="1337" spans="1:21" x14ac:dyDescent="0.25">
      <c r="A1337" s="1" t="s">
        <v>688</v>
      </c>
      <c r="B1337" s="2" t="s">
        <v>641</v>
      </c>
      <c r="C1337" s="1" t="s">
        <v>261</v>
      </c>
      <c r="D1337" s="1" t="s">
        <v>695</v>
      </c>
      <c r="E1337" s="1" t="s">
        <v>37</v>
      </c>
      <c r="F1337" s="1">
        <v>45418</v>
      </c>
      <c r="G1337" s="14" t="s">
        <v>696</v>
      </c>
      <c r="H1337" t="s">
        <v>697</v>
      </c>
      <c r="I1337" s="2" t="s">
        <v>698</v>
      </c>
      <c r="J1337" s="2">
        <v>0.006944444444444444</v>
      </c>
      <c r="K1337" s="1">
        <v>0.017361111111111112</v>
      </c>
      <c r="L1337" s="1">
        <v>0.024305555555555556</v>
      </c>
      <c r="M1337" s="1" t="s">
        <v>22</v>
      </c>
      <c r="N1337" s="1" t="s">
        <v>31</v>
      </c>
      <c r="O1337" s="1" t="s">
        <v>32</v>
      </c>
      <c r="P1337" s="1" t="s">
        <v>42</v>
      </c>
      <c r="Q1337" s="1">
        <v>45418</v>
      </c>
      <c r="R1337" s="14">
        <v>5</v>
      </c>
      <c r="S1337" s="1" t="s">
        <v>22</v>
      </c>
      <c r="T1337" s="1" t="s">
        <v>22</v>
      </c>
      <c r="U1337" s="1" t="s">
        <v>22</v>
      </c>
    </row>
    <row r="1338" spans="1:21" x14ac:dyDescent="0.25">
      <c r="A1338" s="1" t="s">
        <v>688</v>
      </c>
      <c r="B1338" s="2" t="s">
        <v>334</v>
      </c>
      <c r="C1338" s="1" t="s">
        <v>335</v>
      </c>
      <c r="D1338" s="1" t="s">
        <v>699</v>
      </c>
      <c r="E1338" s="1" t="s">
        <v>37</v>
      </c>
      <c r="F1338" s="1">
        <v>45421</v>
      </c>
      <c r="G1338" s="14" t="s">
        <v>38</v>
      </c>
      <c r="H1338" t="s">
        <v>700</v>
      </c>
      <c r="I1338" s="2" t="s">
        <v>701</v>
      </c>
      <c r="J1338" s="2">
        <v>0.020833333333333332</v>
      </c>
      <c r="K1338" s="1">
        <v>0.05555555555555555</v>
      </c>
      <c r="L1338" s="1">
        <v>0.07638888888888888</v>
      </c>
      <c r="M1338" s="1" t="s">
        <v>22</v>
      </c>
      <c r="N1338" s="1" t="s">
        <v>31</v>
      </c>
      <c r="O1338" s="1" t="s">
        <v>41</v>
      </c>
      <c r="P1338" s="1" t="s">
        <v>42</v>
      </c>
      <c r="Q1338" s="1">
        <v>45421</v>
      </c>
      <c r="R1338" s="14">
        <v>5</v>
      </c>
      <c r="S1338" s="1" t="s">
        <v>22</v>
      </c>
      <c r="T1338" s="1" t="s">
        <v>22</v>
      </c>
      <c r="U1338" s="1" t="s">
        <v>22</v>
      </c>
    </row>
    <row r="1339" spans="1:21" x14ac:dyDescent="0.25">
      <c r="A1339" s="1" t="s">
        <v>688</v>
      </c>
      <c r="B1339" s="2" t="s">
        <v>223</v>
      </c>
      <c r="C1339" s="1" t="s">
        <v>186</v>
      </c>
      <c r="D1339" s="1" t="s">
        <v>702</v>
      </c>
      <c r="E1339" s="1" t="s">
        <v>27</v>
      </c>
      <c r="F1339" s="1">
        <v>45422</v>
      </c>
      <c r="G1339" s="14" t="s">
        <v>28</v>
      </c>
      <c r="H1339" t="s">
        <v>703</v>
      </c>
      <c r="I1339" s="2" t="s">
        <v>704</v>
      </c>
      <c r="J1339" s="2">
        <v>0.010416666666666666</v>
      </c>
      <c r="K1339" s="1">
        <v>0.04861111111111111</v>
      </c>
      <c r="L1339" s="1">
        <v>0.059027777777777776</v>
      </c>
      <c r="M1339" s="1" t="s">
        <v>22</v>
      </c>
      <c r="N1339" s="1" t="s">
        <v>31</v>
      </c>
      <c r="O1339" s="1" t="s">
        <v>41</v>
      </c>
      <c r="P1339" s="1" t="s">
        <v>488</v>
      </c>
      <c r="Q1339" s="1">
        <v>45422</v>
      </c>
      <c r="R1339" s="14">
        <v>5</v>
      </c>
      <c r="S1339" s="1" t="s">
        <v>22</v>
      </c>
      <c r="T1339" s="1" t="s">
        <v>22</v>
      </c>
      <c r="U1339" s="1" t="s">
        <v>22</v>
      </c>
    </row>
    <row r="1340" spans="1:21" x14ac:dyDescent="0.25">
      <c r="A1340" s="1" t="s">
        <v>688</v>
      </c>
      <c r="B1340" s="2" t="s">
        <v>281</v>
      </c>
      <c r="C1340" s="1" t="s">
        <v>282</v>
      </c>
      <c r="D1340" s="1" t="s">
        <v>705</v>
      </c>
      <c r="E1340" s="1" t="s">
        <v>27</v>
      </c>
      <c r="F1340" s="1">
        <v>45427</v>
      </c>
      <c r="G1340" s="14" t="s">
        <v>74</v>
      </c>
      <c r="H1340" t="s">
        <v>706</v>
      </c>
      <c r="I1340" s="2" t="s">
        <v>707</v>
      </c>
      <c r="J1340" s="2">
        <v>0.034722222222222224</v>
      </c>
      <c r="K1340" s="1">
        <v>0.07083333333333333</v>
      </c>
      <c r="L1340" s="1">
        <v>0.10555555555555556</v>
      </c>
      <c r="M1340" s="1" t="s">
        <v>22</v>
      </c>
      <c r="N1340" s="1" t="s">
        <v>32</v>
      </c>
      <c r="O1340" s="1" t="s">
        <v>41</v>
      </c>
      <c r="P1340" s="1" t="s">
        <v>708</v>
      </c>
      <c r="Q1340" s="1">
        <v>45427</v>
      </c>
      <c r="R1340" s="14">
        <v>5</v>
      </c>
      <c r="S1340" s="1" t="s">
        <v>22</v>
      </c>
      <c r="T1340" s="1" t="s">
        <v>22</v>
      </c>
      <c r="U1340" s="1" t="s">
        <v>22</v>
      </c>
    </row>
    <row r="1341" spans="1:21" x14ac:dyDescent="0.25">
      <c r="A1341" s="1" t="s">
        <v>688</v>
      </c>
      <c r="B1341" s="2" t="s">
        <v>48</v>
      </c>
      <c r="C1341" s="1" t="s">
        <v>25</v>
      </c>
      <c r="D1341" s="1" t="s">
        <v>709</v>
      </c>
      <c r="E1341" s="1" t="s">
        <v>37</v>
      </c>
      <c r="F1341" s="1">
        <v>45434</v>
      </c>
      <c r="G1341" s="14" t="s">
        <v>133</v>
      </c>
      <c r="H1341" t="s">
        <v>710</v>
      </c>
      <c r="I1341" s="2" t="s">
        <v>711</v>
      </c>
      <c r="J1341" s="2">
        <v>0.013888888888888888</v>
      </c>
      <c r="K1341" s="1">
        <v>0.024305555555555556</v>
      </c>
      <c r="L1341" s="1">
        <v>0.03819444444444445</v>
      </c>
      <c r="M1341" s="1" t="s">
        <v>22</v>
      </c>
      <c r="N1341" s="1" t="s">
        <v>31</v>
      </c>
      <c r="O1341" s="1" t="s">
        <v>483</v>
      </c>
      <c r="P1341" s="1" t="s">
        <v>47</v>
      </c>
      <c r="Q1341" s="1">
        <v>45434</v>
      </c>
      <c r="R1341" s="14">
        <v>5</v>
      </c>
      <c r="S1341" s="1" t="s">
        <v>22</v>
      </c>
      <c r="T1341" s="1" t="s">
        <v>22</v>
      </c>
      <c r="U1341" s="1" t="s">
        <v>22</v>
      </c>
    </row>
    <row r="1342" spans="1:21" x14ac:dyDescent="0.25">
      <c r="A1342" s="1" t="s">
        <v>688</v>
      </c>
      <c r="B1342" s="2" t="s">
        <v>35</v>
      </c>
      <c r="C1342" s="1" t="s">
        <v>25</v>
      </c>
      <c r="D1342" s="1" t="s">
        <v>712</v>
      </c>
      <c r="E1342" s="1" t="s">
        <v>713</v>
      </c>
      <c r="F1342" s="1">
        <v>45435</v>
      </c>
      <c r="G1342" s="14" t="s">
        <v>507</v>
      </c>
      <c r="H1342" t="s">
        <v>714</v>
      </c>
      <c r="I1342" s="2" t="s">
        <v>715</v>
      </c>
      <c r="J1342" s="2">
        <v>0</v>
      </c>
      <c r="K1342" s="1">
        <v>0.013888888888888888</v>
      </c>
      <c r="L1342" s="1">
        <v>0.013888888888888888</v>
      </c>
      <c r="M1342" s="1" t="s">
        <v>22</v>
      </c>
      <c r="N1342" s="1" t="s">
        <v>716</v>
      </c>
      <c r="O1342" s="1" t="s">
        <v>41</v>
      </c>
      <c r="P1342" s="1" t="s">
        <v>42</v>
      </c>
      <c r="Q1342" s="1">
        <v>45435</v>
      </c>
      <c r="R1342" s="14">
        <v>5</v>
      </c>
      <c r="S1342" s="1" t="s">
        <v>22</v>
      </c>
      <c r="T1342" s="1" t="s">
        <v>22</v>
      </c>
      <c r="U1342" s="1" t="s">
        <v>22</v>
      </c>
    </row>
    <row r="1343" spans="1:21" x14ac:dyDescent="0.25">
      <c r="A1343" s="1" t="s">
        <v>688</v>
      </c>
      <c r="B1343" s="2" t="s">
        <v>72</v>
      </c>
      <c r="C1343" s="1" t="s">
        <v>236</v>
      </c>
      <c r="D1343" s="1" t="s">
        <v>717</v>
      </c>
      <c r="E1343" s="1" t="s">
        <v>713</v>
      </c>
      <c r="F1343" s="1">
        <v>45437</v>
      </c>
      <c r="G1343" s="14" t="s">
        <v>507</v>
      </c>
      <c r="H1343" t="s">
        <v>718</v>
      </c>
      <c r="I1343" s="2" t="s">
        <v>719</v>
      </c>
      <c r="J1343" s="2">
        <v>0.020833333333333332</v>
      </c>
      <c r="K1343" s="1">
        <v>0.03819444444444445</v>
      </c>
      <c r="L1343" s="1">
        <v>0.059027777777777776</v>
      </c>
      <c r="M1343" s="1" t="s">
        <v>22</v>
      </c>
      <c r="N1343" s="1" t="s">
        <v>53</v>
      </c>
      <c r="O1343" s="1" t="s">
        <v>32</v>
      </c>
      <c r="P1343" s="1" t="s">
        <v>708</v>
      </c>
      <c r="Q1343" s="1">
        <v>45437</v>
      </c>
      <c r="R1343" s="14">
        <v>5</v>
      </c>
      <c r="S1343" s="1" t="s">
        <v>22</v>
      </c>
      <c r="T1343" s="1" t="s">
        <v>22</v>
      </c>
      <c r="U1343" s="1" t="s">
        <v>22</v>
      </c>
    </row>
    <row r="1344" spans="1:21" x14ac:dyDescent="0.25">
      <c r="A1344" s="1" t="s">
        <v>688</v>
      </c>
      <c r="B1344" s="2" t="s">
        <v>334</v>
      </c>
      <c r="C1344" s="1" t="s">
        <v>335</v>
      </c>
      <c r="D1344" s="1" t="s">
        <v>720</v>
      </c>
      <c r="E1344" s="1" t="s">
        <v>37</v>
      </c>
      <c r="F1344" s="1">
        <v>45443</v>
      </c>
      <c r="G1344" s="14" t="s">
        <v>28</v>
      </c>
      <c r="H1344" t="s">
        <v>721</v>
      </c>
      <c r="I1344" s="2" t="s">
        <v>721</v>
      </c>
      <c r="J1344" s="2">
        <v>0.049305555555555554</v>
      </c>
      <c r="K1344" s="1">
        <v>0.04861111111111111</v>
      </c>
      <c r="L1344" s="1">
        <v>0.09791666666666667</v>
      </c>
      <c r="M1344" s="1" t="s">
        <v>22</v>
      </c>
      <c r="N1344" s="1" t="s">
        <v>574</v>
      </c>
      <c r="O1344" s="1" t="s">
        <v>32</v>
      </c>
      <c r="P1344" s="1" t="s">
        <v>42</v>
      </c>
      <c r="Q1344" s="1">
        <v>45443</v>
      </c>
      <c r="R1344" s="14">
        <v>5</v>
      </c>
      <c r="S1344" s="1" t="s">
        <v>22</v>
      </c>
      <c r="T1344" s="1" t="s">
        <v>22</v>
      </c>
      <c r="U1344" s="1" t="s">
        <v>22</v>
      </c>
    </row>
    <row r="1345" spans="1:21" x14ac:dyDescent="0.25">
      <c r="A1345" s="1" t="s">
        <v>722</v>
      </c>
      <c r="B1345" s="2" t="s">
        <v>113</v>
      </c>
      <c r="C1345" s="1" t="s">
        <v>25</v>
      </c>
      <c r="D1345" s="1" t="s">
        <v>723</v>
      </c>
      <c r="E1345" s="1" t="s">
        <v>37</v>
      </c>
      <c r="F1345" s="1">
        <v>45451</v>
      </c>
      <c r="G1345" s="14" t="s">
        <v>507</v>
      </c>
      <c r="H1345" t="s">
        <v>724</v>
      </c>
      <c r="I1345" s="2" t="s">
        <v>725</v>
      </c>
      <c r="J1345" s="2">
        <v>0.03125</v>
      </c>
      <c r="K1345" s="1">
        <v>0.04513888888888889</v>
      </c>
      <c r="L1345" s="1">
        <v>0.0763888888888889</v>
      </c>
      <c r="M1345" s="1" t="s">
        <v>22</v>
      </c>
      <c r="N1345" s="1" t="s">
        <v>574</v>
      </c>
      <c r="O1345" s="1" t="s">
        <v>32</v>
      </c>
      <c r="P1345" s="1" t="s">
        <v>47</v>
      </c>
      <c r="Q1345" s="1">
        <v>45451</v>
      </c>
      <c r="R1345" s="14">
        <v>5</v>
      </c>
      <c r="S1345" s="1" t="s">
        <v>22</v>
      </c>
      <c r="T1345" s="1" t="s">
        <v>22</v>
      </c>
      <c r="U1345" s="1" t="s">
        <v>22</v>
      </c>
    </row>
    <row r="1346" spans="1:21" x14ac:dyDescent="0.25">
      <c r="A1346" s="1" t="s">
        <v>722</v>
      </c>
      <c r="B1346" s="2" t="s">
        <v>286</v>
      </c>
      <c r="C1346" s="1" t="s">
        <v>287</v>
      </c>
      <c r="D1346" s="1" t="s">
        <v>726</v>
      </c>
      <c r="E1346" s="1" t="s">
        <v>37</v>
      </c>
      <c r="F1346" s="1">
        <v>45454</v>
      </c>
      <c r="G1346" s="14" t="s">
        <v>74</v>
      </c>
      <c r="H1346" t="s">
        <v>727</v>
      </c>
      <c r="I1346" s="2" t="s">
        <v>728</v>
      </c>
      <c r="J1346" s="2">
        <v>0.020833333333333332</v>
      </c>
      <c r="K1346" s="1">
        <v>0.03125</v>
      </c>
      <c r="L1346" s="1">
        <v>0.05208333333333333</v>
      </c>
      <c r="M1346" s="1" t="s">
        <v>22</v>
      </c>
      <c r="N1346" s="1" t="s">
        <v>53</v>
      </c>
      <c r="O1346" s="1" t="s">
        <v>41</v>
      </c>
      <c r="P1346" s="1" t="s">
        <v>47</v>
      </c>
      <c r="Q1346" s="1">
        <v>45454</v>
      </c>
      <c r="R1346" s="14">
        <v>5</v>
      </c>
      <c r="S1346" s="1" t="s">
        <v>22</v>
      </c>
      <c r="T1346" s="1" t="s">
        <v>22</v>
      </c>
      <c r="U1346" s="1" t="s">
        <v>22</v>
      </c>
    </row>
    <row r="1347" spans="1:21" x14ac:dyDescent="0.25">
      <c r="A1347" s="1" t="s">
        <v>722</v>
      </c>
      <c r="B1347" s="2" t="s">
        <v>545</v>
      </c>
      <c r="C1347" s="1" t="s">
        <v>546</v>
      </c>
      <c r="D1347" s="1" t="s">
        <v>729</v>
      </c>
      <c r="E1347" s="1" t="s">
        <v>37</v>
      </c>
      <c r="F1347" s="1">
        <v>45454</v>
      </c>
      <c r="G1347" s="14" t="s">
        <v>353</v>
      </c>
      <c r="H1347" t="s">
        <v>730</v>
      </c>
      <c r="I1347" s="2" t="s">
        <v>731</v>
      </c>
      <c r="J1347" s="2">
        <v>0.020833333333333332</v>
      </c>
      <c r="K1347" s="1">
        <v>0.03125</v>
      </c>
      <c r="L1347" s="1">
        <v>0.05208333333333333</v>
      </c>
      <c r="M1347" s="1" t="s">
        <v>22</v>
      </c>
      <c r="N1347" s="1" t="s">
        <v>53</v>
      </c>
      <c r="O1347" s="1" t="s">
        <v>41</v>
      </c>
      <c r="P1347" s="1" t="s">
        <v>47</v>
      </c>
      <c r="Q1347" s="1">
        <v>45454</v>
      </c>
      <c r="R1347" s="14">
        <v>5</v>
      </c>
      <c r="S1347" s="1" t="s">
        <v>22</v>
      </c>
      <c r="T1347" s="1" t="s">
        <v>22</v>
      </c>
      <c r="U1347" s="1" t="s">
        <v>22</v>
      </c>
    </row>
    <row r="1348" spans="1:21" x14ac:dyDescent="0.25">
      <c r="A1348" s="1" t="s">
        <v>722</v>
      </c>
      <c r="B1348" s="2" t="s">
        <v>247</v>
      </c>
      <c r="C1348" s="1" t="s">
        <v>25</v>
      </c>
      <c r="D1348" s="1" t="s">
        <v>732</v>
      </c>
      <c r="E1348" s="1" t="s">
        <v>37</v>
      </c>
      <c r="F1348" s="1">
        <v>45455</v>
      </c>
      <c r="G1348" s="14" t="s">
        <v>28</v>
      </c>
      <c r="H1348" t="s">
        <v>733</v>
      </c>
      <c r="I1348" s="2" t="s">
        <v>734</v>
      </c>
      <c r="J1348" s="2">
        <v>0.027777777777777776</v>
      </c>
      <c r="K1348" s="1">
        <v>0.07083333333333333</v>
      </c>
      <c r="L1348" s="1">
        <v>0.09861111111111111</v>
      </c>
      <c r="M1348" s="1" t="s">
        <v>22</v>
      </c>
      <c r="N1348" s="1" t="s">
        <v>32</v>
      </c>
      <c r="O1348" s="1" t="s">
        <v>41</v>
      </c>
      <c r="P1348" s="1" t="s">
        <v>708</v>
      </c>
      <c r="Q1348" s="1">
        <v>45456</v>
      </c>
      <c r="R1348" s="14">
        <v>5</v>
      </c>
      <c r="S1348" s="1" t="s">
        <v>22</v>
      </c>
      <c r="T1348" s="1" t="s">
        <v>22</v>
      </c>
      <c r="U1348" s="1" t="s">
        <v>22</v>
      </c>
    </row>
    <row r="1349" spans="1:21" x14ac:dyDescent="0.25">
      <c r="A1349" s="1" t="s">
        <v>722</v>
      </c>
      <c r="B1349" s="2" t="s">
        <v>99</v>
      </c>
      <c r="C1349" s="1" t="s">
        <v>25</v>
      </c>
      <c r="D1349" s="1" t="s">
        <v>735</v>
      </c>
      <c r="E1349" s="1" t="s">
        <v>37</v>
      </c>
      <c r="F1349" s="1">
        <v>45456</v>
      </c>
      <c r="G1349" s="14" t="s">
        <v>28</v>
      </c>
      <c r="H1349" t="s">
        <v>736</v>
      </c>
      <c r="I1349" s="2" t="s">
        <v>737</v>
      </c>
      <c r="J1349" s="2">
        <v>0.010416666666666666</v>
      </c>
      <c r="K1349" s="1">
        <v>0.041666666666666664</v>
      </c>
      <c r="L1349" s="1">
        <v>0.05208333333333333</v>
      </c>
      <c r="M1349" s="1" t="s">
        <v>22</v>
      </c>
      <c r="N1349" s="1" t="s">
        <v>31</v>
      </c>
      <c r="O1349" s="1" t="s">
        <v>32</v>
      </c>
      <c r="P1349" s="1" t="s">
        <v>47</v>
      </c>
      <c r="Q1349" s="1">
        <v>45456</v>
      </c>
      <c r="R1349" s="14">
        <v>5</v>
      </c>
      <c r="S1349" s="1" t="s">
        <v>22</v>
      </c>
      <c r="T1349" s="1" t="s">
        <v>22</v>
      </c>
      <c r="U1349" s="1" t="s">
        <v>22</v>
      </c>
    </row>
    <row r="1350" spans="1:21" x14ac:dyDescent="0.25">
      <c r="A1350" s="1" t="s">
        <v>722</v>
      </c>
      <c r="B1350" s="2" t="s">
        <v>529</v>
      </c>
      <c r="C1350" s="1" t="s">
        <v>530</v>
      </c>
      <c r="D1350" s="1" t="s">
        <v>738</v>
      </c>
      <c r="E1350" s="1" t="s">
        <v>37</v>
      </c>
      <c r="F1350" s="1">
        <v>45457</v>
      </c>
      <c r="G1350" s="14" t="s">
        <v>28</v>
      </c>
      <c r="H1350" t="s">
        <v>739</v>
      </c>
      <c r="I1350" s="2" t="s">
        <v>740</v>
      </c>
      <c r="J1350" s="2">
        <v>0.027777777777777776</v>
      </c>
      <c r="K1350" s="1">
        <v>0.04583333333333333</v>
      </c>
      <c r="L1350" s="1">
        <v>0.0736111111111111</v>
      </c>
      <c r="M1350" s="1" t="s">
        <v>22</v>
      </c>
      <c r="N1350" s="1" t="s">
        <v>32</v>
      </c>
      <c r="O1350" s="1" t="s">
        <v>41</v>
      </c>
      <c r="P1350" s="1" t="s">
        <v>47</v>
      </c>
      <c r="Q1350" s="1">
        <v>45457</v>
      </c>
      <c r="R1350" s="14">
        <v>5</v>
      </c>
      <c r="S1350" s="1" t="s">
        <v>22</v>
      </c>
      <c r="T1350" s="1" t="s">
        <v>22</v>
      </c>
      <c r="U1350" s="1" t="s">
        <v>22</v>
      </c>
    </row>
    <row r="1351" spans="1:21" x14ac:dyDescent="0.25">
      <c r="A1351" s="1" t="s">
        <v>722</v>
      </c>
      <c r="B1351" s="2" t="s">
        <v>35</v>
      </c>
      <c r="C1351" s="1" t="s">
        <v>25</v>
      </c>
      <c r="D1351" s="1" t="s">
        <v>741</v>
      </c>
      <c r="E1351" s="1" t="s">
        <v>37</v>
      </c>
      <c r="F1351" s="1">
        <v>45460</v>
      </c>
      <c r="G1351" s="14" t="s">
        <v>28</v>
      </c>
      <c r="H1351" t="s">
        <v>742</v>
      </c>
      <c r="I1351" s="2" t="s">
        <v>743</v>
      </c>
      <c r="J1351" s="2">
        <v>0.0625</v>
      </c>
      <c r="K1351" s="1">
        <v>0.034722222222222224</v>
      </c>
      <c r="L1351" s="1">
        <v>0.09722222222222222</v>
      </c>
      <c r="M1351" s="1" t="s">
        <v>22</v>
      </c>
      <c r="N1351" s="1" t="s">
        <v>31</v>
      </c>
      <c r="O1351" s="1" t="s">
        <v>32</v>
      </c>
      <c r="P1351" s="1" t="s">
        <v>42</v>
      </c>
      <c r="Q1351" s="1">
        <v>45462</v>
      </c>
      <c r="R1351" s="14">
        <v>5</v>
      </c>
      <c r="S1351" s="1" t="s">
        <v>22</v>
      </c>
      <c r="T1351" s="1" t="s">
        <v>22</v>
      </c>
      <c r="U1351" s="1" t="s">
        <v>22</v>
      </c>
    </row>
    <row r="1352" spans="1:21" x14ac:dyDescent="0.25">
      <c r="A1352" s="1" t="s">
        <v>722</v>
      </c>
      <c r="B1352" s="2" t="s">
        <v>479</v>
      </c>
      <c r="C1352" s="1" t="s">
        <v>25</v>
      </c>
      <c r="D1352" s="1" t="s">
        <v>744</v>
      </c>
      <c r="E1352" s="1" t="s">
        <v>27</v>
      </c>
      <c r="F1352" s="1">
        <v>45461</v>
      </c>
      <c r="G1352" s="14" t="s">
        <v>507</v>
      </c>
      <c r="H1352" t="s">
        <v>745</v>
      </c>
      <c r="I1352" s="2" t="s">
        <v>746</v>
      </c>
      <c r="J1352" s="2">
        <v>0.013888888888888888</v>
      </c>
      <c r="K1352" s="1">
        <v>0.025694444444444443</v>
      </c>
      <c r="L1352" s="1">
        <v>0.03958333333333333</v>
      </c>
      <c r="M1352" s="1" t="s">
        <v>22</v>
      </c>
      <c r="N1352" s="1" t="s">
        <v>32</v>
      </c>
      <c r="O1352" s="1" t="s">
        <v>41</v>
      </c>
      <c r="P1352" s="1" t="s">
        <v>42</v>
      </c>
      <c r="Q1352" s="1">
        <v>45461</v>
      </c>
      <c r="R1352" s="14">
        <v>5</v>
      </c>
      <c r="S1352" s="1" t="s">
        <v>22</v>
      </c>
      <c r="T1352" s="1" t="s">
        <v>22</v>
      </c>
      <c r="U1352" s="1" t="s">
        <v>22</v>
      </c>
    </row>
    <row r="1353" spans="1:21" x14ac:dyDescent="0.25">
      <c r="A1353" s="1" t="s">
        <v>722</v>
      </c>
      <c r="B1353" s="2" t="s">
        <v>35</v>
      </c>
      <c r="C1353" s="1" t="s">
        <v>25</v>
      </c>
      <c r="D1353" s="1" t="s">
        <v>747</v>
      </c>
      <c r="E1353" s="1" t="s">
        <v>27</v>
      </c>
      <c r="F1353" s="1">
        <v>45471</v>
      </c>
      <c r="G1353" s="14" t="s">
        <v>507</v>
      </c>
      <c r="H1353" t="s">
        <v>748</v>
      </c>
      <c r="I1353" s="2" t="s">
        <v>749</v>
      </c>
      <c r="J1353" s="2">
        <v>0.010416666666666666</v>
      </c>
      <c r="K1353" s="1">
        <v>0.027777777777777776</v>
      </c>
      <c r="L1353" s="1">
        <v>0.03819444444444444</v>
      </c>
      <c r="M1353" s="1" t="s">
        <v>22</v>
      </c>
      <c r="N1353" s="1" t="s">
        <v>41</v>
      </c>
      <c r="O1353" s="1" t="s">
        <v>32</v>
      </c>
      <c r="P1353" s="1" t="s">
        <v>42</v>
      </c>
      <c r="Q1353" s="1">
        <v>45471</v>
      </c>
      <c r="R1353" s="14">
        <v>5</v>
      </c>
      <c r="S1353" s="1" t="s">
        <v>22</v>
      </c>
      <c r="T1353" s="1" t="s">
        <v>22</v>
      </c>
      <c r="U1353" s="1" t="s">
        <v>22</v>
      </c>
    </row>
    <row r="1354" spans="1:21" x14ac:dyDescent="0.25">
      <c r="A1354" s="1" t="s">
        <v>750</v>
      </c>
      <c r="B1354" s="2" t="s">
        <v>641</v>
      </c>
      <c r="C1354" s="1" t="s">
        <v>261</v>
      </c>
      <c r="D1354" s="1" t="s">
        <v>751</v>
      </c>
      <c r="E1354" s="1" t="s">
        <v>27</v>
      </c>
      <c r="F1354" s="1">
        <v>45476</v>
      </c>
      <c r="G1354" s="14" t="s">
        <v>133</v>
      </c>
      <c r="H1354" t="s">
        <v>752</v>
      </c>
      <c r="I1354" s="2" t="s">
        <v>753</v>
      </c>
      <c r="J1354" s="2">
        <v>0.013888888888888888</v>
      </c>
      <c r="K1354" s="1">
        <v>0.04861111111111111</v>
      </c>
      <c r="L1354" s="1">
        <v>0.0625</v>
      </c>
      <c r="M1354" s="1" t="s">
        <v>22</v>
      </c>
      <c r="N1354" s="1" t="s">
        <v>32</v>
      </c>
      <c r="O1354" s="1" t="s">
        <v>41</v>
      </c>
      <c r="P1354" s="1" t="s">
        <v>42</v>
      </c>
      <c r="Q1354" s="1">
        <v>45476</v>
      </c>
      <c r="R1354" s="14">
        <v>5</v>
      </c>
      <c r="S1354" s="1" t="s">
        <v>22</v>
      </c>
      <c r="T1354" s="1" t="s">
        <v>22</v>
      </c>
      <c r="U1354" s="1" t="s">
        <v>22</v>
      </c>
    </row>
    <row r="1355" spans="1:21" x14ac:dyDescent="0.25">
      <c r="A1355" s="1" t="s">
        <v>750</v>
      </c>
      <c r="B1355" s="2" t="s">
        <v>641</v>
      </c>
      <c r="C1355" s="1" t="s">
        <v>261</v>
      </c>
      <c r="D1355" s="1" t="s">
        <v>754</v>
      </c>
      <c r="E1355" s="1" t="s">
        <v>37</v>
      </c>
      <c r="F1355" s="1">
        <v>45483</v>
      </c>
      <c r="G1355" s="14" t="s">
        <v>96</v>
      </c>
      <c r="H1355" t="s">
        <v>755</v>
      </c>
      <c r="I1355" s="2" t="s">
        <v>755</v>
      </c>
      <c r="J1355" s="2">
        <v>0.0625</v>
      </c>
      <c r="K1355" s="1">
        <v>0.027777777777777776</v>
      </c>
      <c r="L1355" s="1">
        <v>0.09027777777777778</v>
      </c>
      <c r="M1355" s="1" t="s">
        <v>22</v>
      </c>
      <c r="N1355" s="1" t="s">
        <v>31</v>
      </c>
      <c r="O1355" s="1" t="s">
        <v>32</v>
      </c>
      <c r="P1355" s="1" t="s">
        <v>42</v>
      </c>
      <c r="Q1355" s="1">
        <v>45483</v>
      </c>
      <c r="R1355" s="14">
        <v>5</v>
      </c>
      <c r="S1355" s="1" t="s">
        <v>22</v>
      </c>
      <c r="T1355" s="1" t="s">
        <v>22</v>
      </c>
      <c r="U1355" s="1" t="s">
        <v>22</v>
      </c>
    </row>
    <row r="1356" spans="1:21" x14ac:dyDescent="0.25">
      <c r="A1356" s="1" t="s">
        <v>750</v>
      </c>
      <c r="B1356" s="2" t="s">
        <v>286</v>
      </c>
      <c r="C1356" s="1" t="s">
        <v>287</v>
      </c>
      <c r="D1356" s="1" t="s">
        <v>756</v>
      </c>
      <c r="E1356" s="1" t="s">
        <v>37</v>
      </c>
      <c r="F1356" s="1">
        <v>45483</v>
      </c>
      <c r="G1356" s="14" t="s">
        <v>38</v>
      </c>
      <c r="H1356" t="s">
        <v>757</v>
      </c>
      <c r="I1356" s="2" t="s">
        <v>757</v>
      </c>
      <c r="J1356" s="2">
        <v>0.0625</v>
      </c>
      <c r="K1356" s="1">
        <v>0.059027777777777776</v>
      </c>
      <c r="L1356" s="1">
        <v>0.12152777777777778</v>
      </c>
      <c r="M1356" s="1" t="s">
        <v>22</v>
      </c>
      <c r="N1356" s="1" t="s">
        <v>31</v>
      </c>
      <c r="O1356" s="1" t="s">
        <v>41</v>
      </c>
      <c r="P1356" s="1" t="s">
        <v>47</v>
      </c>
      <c r="Q1356" s="1">
        <v>45483</v>
      </c>
      <c r="R1356" s="14">
        <v>5</v>
      </c>
      <c r="S1356" s="1" t="s">
        <v>22</v>
      </c>
      <c r="T1356" s="1" t="s">
        <v>22</v>
      </c>
      <c r="U1356" s="1" t="s">
        <v>22</v>
      </c>
    </row>
    <row r="1357" spans="1:21" x14ac:dyDescent="0.25">
      <c r="A1357" s="1" t="s">
        <v>750</v>
      </c>
      <c r="B1357" s="2" t="s">
        <v>308</v>
      </c>
      <c r="C1357" s="1" t="s">
        <v>309</v>
      </c>
      <c r="D1357" s="1" t="s">
        <v>758</v>
      </c>
      <c r="E1357" s="1" t="s">
        <v>27</v>
      </c>
      <c r="F1357" s="1">
        <v>45485</v>
      </c>
      <c r="G1357" s="14" t="s">
        <v>38</v>
      </c>
      <c r="H1357" t="s">
        <v>759</v>
      </c>
      <c r="I1357" s="2" t="s">
        <v>759</v>
      </c>
      <c r="J1357" s="2">
        <v>0.024305555555555556</v>
      </c>
      <c r="K1357" s="1">
        <v>0.04513888888888889</v>
      </c>
      <c r="L1357" s="1">
        <v>0.06944444444444445</v>
      </c>
      <c r="M1357" s="1" t="s">
        <v>22</v>
      </c>
      <c r="N1357" s="1" t="s">
        <v>31</v>
      </c>
      <c r="O1357" s="1" t="s">
        <v>32</v>
      </c>
      <c r="P1357" s="1" t="s">
        <v>42</v>
      </c>
      <c r="Q1357" s="1">
        <v>45485</v>
      </c>
      <c r="R1357" s="14">
        <v>5</v>
      </c>
      <c r="S1357" s="1" t="s">
        <v>22</v>
      </c>
      <c r="T1357" s="1" t="s">
        <v>22</v>
      </c>
      <c r="U1357" s="1" t="s">
        <v>22</v>
      </c>
    </row>
    <row r="1358" spans="1:21" x14ac:dyDescent="0.25">
      <c r="A1358" s="1" t="s">
        <v>750</v>
      </c>
      <c r="B1358" s="2" t="s">
        <v>2813</v>
      </c>
      <c r="C1358" s="1" t="s">
        <v>25</v>
      </c>
      <c r="D1358" s="1" t="s">
        <v>760</v>
      </c>
      <c r="E1358" s="1" t="s">
        <v>27</v>
      </c>
      <c r="F1358" s="1">
        <v>45485</v>
      </c>
      <c r="G1358" s="14" t="s">
        <v>38</v>
      </c>
      <c r="H1358" t="s">
        <v>761</v>
      </c>
      <c r="I1358" s="2" t="s">
        <v>761</v>
      </c>
      <c r="J1358" s="2">
        <v>0.024305555555555556</v>
      </c>
      <c r="K1358" s="1">
        <v>0.027777777777777776</v>
      </c>
      <c r="L1358" s="1">
        <v>0.05208333333333333</v>
      </c>
      <c r="M1358" s="1" t="s">
        <v>22</v>
      </c>
      <c r="N1358" s="1" t="s">
        <v>31</v>
      </c>
      <c r="O1358" s="1" t="s">
        <v>32</v>
      </c>
      <c r="P1358" s="1" t="s">
        <v>112</v>
      </c>
      <c r="Q1358" s="1">
        <v>45485</v>
      </c>
      <c r="R1358" s="14">
        <v>5</v>
      </c>
      <c r="S1358" s="1" t="s">
        <v>22</v>
      </c>
      <c r="T1358" s="1" t="s">
        <v>22</v>
      </c>
      <c r="U1358" s="1" t="s">
        <v>22</v>
      </c>
    </row>
    <row r="1359" spans="1:21" x14ac:dyDescent="0.25">
      <c r="A1359" s="1" t="s">
        <v>750</v>
      </c>
      <c r="B1359" s="2" t="s">
        <v>247</v>
      </c>
      <c r="C1359" s="1" t="s">
        <v>25</v>
      </c>
      <c r="D1359" s="1" t="s">
        <v>762</v>
      </c>
      <c r="E1359" s="1" t="s">
        <v>27</v>
      </c>
      <c r="F1359" s="1">
        <v>45490</v>
      </c>
      <c r="G1359" s="14" t="s">
        <v>38</v>
      </c>
      <c r="H1359" t="s">
        <v>763</v>
      </c>
      <c r="I1359" s="2" t="s">
        <v>764</v>
      </c>
      <c r="J1359" s="2">
        <v>0.020833333333333332</v>
      </c>
      <c r="K1359" s="1">
        <v>0.027777777777777776</v>
      </c>
      <c r="L1359" s="1">
        <v>0.048611111111111105</v>
      </c>
      <c r="M1359" s="1" t="s">
        <v>22</v>
      </c>
      <c r="N1359" s="1" t="s">
        <v>31</v>
      </c>
      <c r="O1359" s="1" t="s">
        <v>32</v>
      </c>
      <c r="P1359" s="1" t="s">
        <v>47</v>
      </c>
      <c r="Q1359" s="1">
        <v>45490</v>
      </c>
      <c r="R1359" s="14">
        <v>5</v>
      </c>
      <c r="S1359" s="1" t="s">
        <v>22</v>
      </c>
      <c r="T1359" s="1" t="s">
        <v>22</v>
      </c>
      <c r="U1359" s="1" t="s">
        <v>22</v>
      </c>
    </row>
    <row r="1360" spans="1:21" x14ac:dyDescent="0.25">
      <c r="A1360" s="1" t="s">
        <v>750</v>
      </c>
      <c r="B1360" s="2" t="s">
        <v>113</v>
      </c>
      <c r="C1360" s="1" t="s">
        <v>25</v>
      </c>
      <c r="D1360" s="1" t="s">
        <v>765</v>
      </c>
      <c r="E1360" s="1" t="s">
        <v>27</v>
      </c>
      <c r="F1360" s="1">
        <v>45490</v>
      </c>
      <c r="G1360" s="14" t="s">
        <v>28</v>
      </c>
      <c r="H1360" t="s">
        <v>766</v>
      </c>
      <c r="I1360" s="2" t="s">
        <v>767</v>
      </c>
      <c r="J1360" s="2">
        <v>0.03125</v>
      </c>
      <c r="K1360" s="1">
        <v>0.041666666666666664</v>
      </c>
      <c r="L1360" s="1">
        <v>0.07291666666666666</v>
      </c>
      <c r="M1360" s="1" t="s">
        <v>22</v>
      </c>
      <c r="N1360" s="1" t="s">
        <v>31</v>
      </c>
      <c r="O1360" s="1" t="s">
        <v>32</v>
      </c>
      <c r="P1360" s="1" t="s">
        <v>47</v>
      </c>
      <c r="Q1360" s="1">
        <v>45490</v>
      </c>
      <c r="R1360" s="14">
        <v>5</v>
      </c>
      <c r="S1360" s="1" t="s">
        <v>22</v>
      </c>
      <c r="T1360" s="1" t="s">
        <v>22</v>
      </c>
      <c r="U1360" s="1" t="s">
        <v>22</v>
      </c>
    </row>
    <row r="1361" spans="1:21" x14ac:dyDescent="0.25">
      <c r="A1361" s="1" t="s">
        <v>750</v>
      </c>
      <c r="B1361" s="2" t="s">
        <v>2813</v>
      </c>
      <c r="C1361" s="1" t="s">
        <v>25</v>
      </c>
      <c r="D1361" s="1" t="s">
        <v>768</v>
      </c>
      <c r="E1361" s="1" t="s">
        <v>27</v>
      </c>
      <c r="F1361" s="1">
        <v>45485</v>
      </c>
      <c r="G1361" s="14" t="s">
        <v>38</v>
      </c>
      <c r="H1361" t="s">
        <v>769</v>
      </c>
      <c r="I1361" s="2" t="s">
        <v>770</v>
      </c>
      <c r="J1361" s="2">
        <v>0.024305555555555556</v>
      </c>
      <c r="K1361" s="1">
        <v>0.052083333333333336</v>
      </c>
      <c r="L1361" s="1">
        <v>0.0763888888888889</v>
      </c>
      <c r="M1361" s="1" t="s">
        <v>22</v>
      </c>
      <c r="N1361" s="1" t="s">
        <v>31</v>
      </c>
      <c r="O1361" s="1" t="s">
        <v>41</v>
      </c>
      <c r="P1361" s="1" t="s">
        <v>112</v>
      </c>
      <c r="Q1361" s="1">
        <v>45491</v>
      </c>
      <c r="R1361" s="14">
        <v>5</v>
      </c>
      <c r="S1361" s="1" t="s">
        <v>22</v>
      </c>
      <c r="T1361" s="1" t="s">
        <v>22</v>
      </c>
      <c r="U1361" s="1" t="s">
        <v>22</v>
      </c>
    </row>
    <row r="1362" spans="1:21" x14ac:dyDescent="0.25">
      <c r="A1362" s="1" t="s">
        <v>750</v>
      </c>
      <c r="B1362" s="2" t="s">
        <v>258</v>
      </c>
      <c r="C1362" s="1" t="s">
        <v>25</v>
      </c>
      <c r="D1362" s="1" t="s">
        <v>771</v>
      </c>
      <c r="E1362" s="1" t="s">
        <v>27</v>
      </c>
      <c r="F1362" s="1">
        <v>45497</v>
      </c>
      <c r="G1362" s="14" t="s">
        <v>507</v>
      </c>
      <c r="H1362" t="s">
        <v>772</v>
      </c>
      <c r="I1362" s="2" t="s">
        <v>773</v>
      </c>
      <c r="J1362" s="2">
        <v>0.020833333333333332</v>
      </c>
      <c r="K1362" s="1">
        <v>0.04513888888888889</v>
      </c>
      <c r="L1362" s="1">
        <v>0.06597222222222222</v>
      </c>
      <c r="M1362" s="1" t="s">
        <v>22</v>
      </c>
      <c r="N1362" s="1" t="s">
        <v>32</v>
      </c>
      <c r="O1362" s="1" t="s">
        <v>41</v>
      </c>
      <c r="P1362" s="1" t="s">
        <v>42</v>
      </c>
      <c r="Q1362" s="1">
        <v>45497</v>
      </c>
      <c r="R1362" s="14">
        <v>5</v>
      </c>
      <c r="S1362" s="1" t="s">
        <v>22</v>
      </c>
      <c r="T1362" s="1" t="s">
        <v>22</v>
      </c>
      <c r="U1362" s="1" t="s">
        <v>22</v>
      </c>
    </row>
    <row r="1363" spans="1:21" x14ac:dyDescent="0.25">
      <c r="A1363" s="1" t="s">
        <v>750</v>
      </c>
      <c r="B1363" s="2" t="s">
        <v>286</v>
      </c>
      <c r="C1363" s="1" t="s">
        <v>287</v>
      </c>
      <c r="D1363" s="1" t="s">
        <v>777</v>
      </c>
      <c r="E1363" s="1" t="s">
        <v>37</v>
      </c>
      <c r="F1363" s="1">
        <v>45497</v>
      </c>
      <c r="G1363" s="14" t="s">
        <v>670</v>
      </c>
      <c r="H1363" t="s">
        <v>778</v>
      </c>
      <c r="I1363" s="2" t="s">
        <v>779</v>
      </c>
      <c r="J1363" s="2">
        <v>0.041666666666666664</v>
      </c>
      <c r="K1363" s="1">
        <v>0.020833333333333332</v>
      </c>
      <c r="L1363" s="1">
        <v>0.0625</v>
      </c>
      <c r="M1363" s="1" t="s">
        <v>22</v>
      </c>
      <c r="N1363" s="1" t="s">
        <v>31</v>
      </c>
      <c r="O1363" s="1" t="s">
        <v>32</v>
      </c>
      <c r="P1363" s="1" t="s">
        <v>47</v>
      </c>
      <c r="Q1363" s="1">
        <v>45497</v>
      </c>
      <c r="R1363" s="14">
        <v>5</v>
      </c>
      <c r="S1363" s="1" t="s">
        <v>22</v>
      </c>
      <c r="T1363" s="1" t="s">
        <v>22</v>
      </c>
      <c r="U1363" s="1" t="s">
        <v>22</v>
      </c>
    </row>
    <row r="1364" spans="1:21" x14ac:dyDescent="0.25">
      <c r="A1364" s="1" t="s">
        <v>750</v>
      </c>
      <c r="B1364" s="2" t="s">
        <v>545</v>
      </c>
      <c r="C1364" s="1" t="s">
        <v>546</v>
      </c>
      <c r="D1364" s="1" t="s">
        <v>780</v>
      </c>
      <c r="E1364" s="1" t="s">
        <v>27</v>
      </c>
      <c r="F1364" s="1">
        <v>45503</v>
      </c>
      <c r="G1364" s="14" t="s">
        <v>28</v>
      </c>
      <c r="H1364" t="s">
        <v>781</v>
      </c>
      <c r="I1364" s="2" t="s">
        <v>782</v>
      </c>
      <c r="J1364" s="2">
        <v>0.020833333333333332</v>
      </c>
      <c r="K1364" s="1">
        <v>0.027777777777777776</v>
      </c>
      <c r="L1364" s="1">
        <v>0.048611111111111105</v>
      </c>
      <c r="M1364" s="1" t="s">
        <v>22</v>
      </c>
      <c r="N1364" s="1" t="s">
        <v>53</v>
      </c>
      <c r="O1364" s="1" t="s">
        <v>32</v>
      </c>
      <c r="P1364" s="1" t="s">
        <v>47</v>
      </c>
      <c r="Q1364" s="1">
        <v>45503</v>
      </c>
      <c r="R1364" s="14">
        <v>5</v>
      </c>
      <c r="S1364" s="1" t="s">
        <v>22</v>
      </c>
      <c r="T1364" s="1" t="s">
        <v>22</v>
      </c>
      <c r="U1364" s="1" t="s">
        <v>22</v>
      </c>
    </row>
    <row r="1365" spans="1:21" x14ac:dyDescent="0.25">
      <c r="A1365" s="1" t="s">
        <v>783</v>
      </c>
      <c r="B1365" s="2" t="s">
        <v>118</v>
      </c>
      <c r="C1365" s="1" t="s">
        <v>25</v>
      </c>
      <c r="D1365" s="1" t="s">
        <v>784</v>
      </c>
      <c r="E1365" s="1" t="s">
        <v>27</v>
      </c>
      <c r="F1365" s="1">
        <v>45505</v>
      </c>
      <c r="G1365" s="14" t="s">
        <v>38</v>
      </c>
      <c r="H1365" t="s">
        <v>785</v>
      </c>
      <c r="I1365" s="2" t="s">
        <v>786</v>
      </c>
      <c r="J1365" s="2">
        <v>0.034722222222222224</v>
      </c>
      <c r="K1365" s="1">
        <v>0.059027777777777776</v>
      </c>
      <c r="L1365" s="1">
        <v>0.09375</v>
      </c>
      <c r="M1365" s="1" t="s">
        <v>22</v>
      </c>
      <c r="N1365" s="1" t="s">
        <v>31</v>
      </c>
      <c r="O1365" s="1" t="s">
        <v>41</v>
      </c>
      <c r="P1365" s="1" t="s">
        <v>42</v>
      </c>
      <c r="Q1365" s="1">
        <v>45505</v>
      </c>
      <c r="R1365" s="14">
        <v>5</v>
      </c>
      <c r="S1365" s="1" t="s">
        <v>22</v>
      </c>
      <c r="T1365" s="1" t="s">
        <v>22</v>
      </c>
      <c r="U1365" s="1" t="s">
        <v>22</v>
      </c>
    </row>
    <row r="1366" spans="1:21" x14ac:dyDescent="0.25">
      <c r="A1366" s="1" t="s">
        <v>783</v>
      </c>
      <c r="B1366" s="2" t="s">
        <v>667</v>
      </c>
      <c r="C1366" s="1" t="s">
        <v>668</v>
      </c>
      <c r="D1366" s="1" t="s">
        <v>787</v>
      </c>
      <c r="E1366" s="1" t="s">
        <v>27</v>
      </c>
      <c r="F1366" s="1">
        <v>45507</v>
      </c>
      <c r="G1366" s="14" t="s">
        <v>507</v>
      </c>
      <c r="H1366" t="s">
        <v>788</v>
      </c>
      <c r="I1366" s="2" t="s">
        <v>789</v>
      </c>
      <c r="J1366" s="2">
        <v>0.034722222222222224</v>
      </c>
      <c r="K1366" s="1">
        <v>0.03125</v>
      </c>
      <c r="L1366" s="1">
        <v>0.06597222222222222</v>
      </c>
      <c r="M1366" s="1" t="s">
        <v>22</v>
      </c>
      <c r="N1366" s="1" t="s">
        <v>31</v>
      </c>
      <c r="O1366" s="1" t="s">
        <v>41</v>
      </c>
      <c r="P1366" s="1" t="s">
        <v>42</v>
      </c>
      <c r="Q1366" s="1">
        <v>45507</v>
      </c>
      <c r="R1366" s="14">
        <v>5</v>
      </c>
      <c r="S1366" s="1" t="s">
        <v>22</v>
      </c>
      <c r="T1366" s="1" t="s">
        <v>22</v>
      </c>
      <c r="U1366" s="1" t="s">
        <v>22</v>
      </c>
    </row>
    <row r="1367" spans="1:21" x14ac:dyDescent="0.25">
      <c r="A1367" s="1" t="s">
        <v>783</v>
      </c>
      <c r="B1367" s="2" t="s">
        <v>667</v>
      </c>
      <c r="C1367" s="1" t="s">
        <v>668</v>
      </c>
      <c r="D1367" s="1" t="s">
        <v>790</v>
      </c>
      <c r="E1367" s="1" t="s">
        <v>37</v>
      </c>
      <c r="F1367" s="1">
        <v>45507</v>
      </c>
      <c r="G1367" s="14" t="s">
        <v>74</v>
      </c>
      <c r="H1367" t="s">
        <v>791</v>
      </c>
      <c r="I1367" s="2" t="s">
        <v>792</v>
      </c>
      <c r="J1367" s="2">
        <v>0.034722222222222224</v>
      </c>
      <c r="K1367" s="1">
        <v>0.027777777777777776</v>
      </c>
      <c r="L1367" s="1">
        <v>0.0625</v>
      </c>
      <c r="M1367" s="1" t="s">
        <v>22</v>
      </c>
      <c r="N1367" s="1" t="s">
        <v>31</v>
      </c>
      <c r="O1367" s="1" t="s">
        <v>41</v>
      </c>
      <c r="P1367" s="1" t="s">
        <v>42</v>
      </c>
      <c r="Q1367" s="1">
        <v>45507</v>
      </c>
      <c r="R1367" s="14">
        <v>5</v>
      </c>
      <c r="S1367" s="1" t="s">
        <v>22</v>
      </c>
      <c r="T1367" s="1" t="s">
        <v>22</v>
      </c>
      <c r="U1367" s="1" t="s">
        <v>22</v>
      </c>
    </row>
    <row r="1368" spans="1:21" x14ac:dyDescent="0.25">
      <c r="A1368" s="1" t="s">
        <v>783</v>
      </c>
      <c r="B1368" s="2" t="s">
        <v>2813</v>
      </c>
      <c r="C1368" s="1" t="s">
        <v>25</v>
      </c>
      <c r="D1368" s="1" t="s">
        <v>793</v>
      </c>
      <c r="E1368" s="1" t="s">
        <v>37</v>
      </c>
      <c r="F1368" s="1">
        <v>45510</v>
      </c>
      <c r="G1368" s="14" t="s">
        <v>28</v>
      </c>
      <c r="H1368" t="s">
        <v>794</v>
      </c>
      <c r="I1368" s="2" t="s">
        <v>795</v>
      </c>
      <c r="J1368" s="2">
        <v>0.03125</v>
      </c>
      <c r="K1368" s="1">
        <v>0.06597222222222222</v>
      </c>
      <c r="L1368" s="1">
        <v>0.09722222222222222</v>
      </c>
      <c r="M1368" s="1" t="s">
        <v>22</v>
      </c>
      <c r="N1368" s="1" t="s">
        <v>41</v>
      </c>
      <c r="O1368" s="1" t="s">
        <v>32</v>
      </c>
      <c r="P1368" s="1" t="s">
        <v>244</v>
      </c>
      <c r="Q1368" s="1">
        <v>45510</v>
      </c>
      <c r="R1368" s="14">
        <v>5</v>
      </c>
      <c r="S1368" s="1" t="s">
        <v>22</v>
      </c>
      <c r="T1368" s="1" t="s">
        <v>22</v>
      </c>
      <c r="U1368" s="1" t="s">
        <v>22</v>
      </c>
    </row>
    <row r="1369" spans="1:21" x14ac:dyDescent="0.25">
      <c r="A1369" s="1" t="s">
        <v>783</v>
      </c>
      <c r="B1369" s="2" t="s">
        <v>796</v>
      </c>
      <c r="C1369" s="1" t="s">
        <v>285</v>
      </c>
      <c r="D1369" s="1" t="s">
        <v>797</v>
      </c>
      <c r="E1369" s="1" t="s">
        <v>37</v>
      </c>
      <c r="F1369" s="1">
        <v>45511</v>
      </c>
      <c r="G1369" s="14" t="s">
        <v>798</v>
      </c>
      <c r="H1369" t="s">
        <v>799</v>
      </c>
      <c r="I1369" s="2" t="s">
        <v>800</v>
      </c>
      <c r="J1369" s="2">
        <v>0.020833333333333332</v>
      </c>
      <c r="K1369" s="1">
        <v>0.027777777777777776</v>
      </c>
      <c r="L1369" s="1">
        <v>0.048611111111111105</v>
      </c>
      <c r="M1369" s="1" t="s">
        <v>22</v>
      </c>
      <c r="N1369" s="1" t="s">
        <v>31</v>
      </c>
      <c r="O1369" s="1" t="s">
        <v>32</v>
      </c>
      <c r="P1369" s="1" t="s">
        <v>47</v>
      </c>
      <c r="Q1369" s="1">
        <v>45511</v>
      </c>
      <c r="R1369" s="14">
        <v>5</v>
      </c>
      <c r="S1369" s="1" t="s">
        <v>22</v>
      </c>
      <c r="T1369" s="1" t="s">
        <v>22</v>
      </c>
      <c r="U1369" s="1" t="s">
        <v>22</v>
      </c>
    </row>
    <row r="1370" spans="1:21" x14ac:dyDescent="0.25">
      <c r="A1370" s="1" t="s">
        <v>783</v>
      </c>
      <c r="B1370" s="2" t="s">
        <v>113</v>
      </c>
      <c r="C1370" s="1" t="s">
        <v>25</v>
      </c>
      <c r="D1370" s="1" t="s">
        <v>801</v>
      </c>
      <c r="E1370" s="1" t="s">
        <v>37</v>
      </c>
      <c r="F1370" s="1">
        <v>45511</v>
      </c>
      <c r="G1370" s="14" t="s">
        <v>133</v>
      </c>
      <c r="H1370" t="s">
        <v>802</v>
      </c>
      <c r="I1370" s="2" t="s">
        <v>803</v>
      </c>
      <c r="J1370" s="2">
        <v>0.013888888888888888</v>
      </c>
      <c r="K1370" s="1" t="s">
        <v>22</v>
      </c>
      <c r="L1370" s="1">
        <v>0.013888888888888888</v>
      </c>
      <c r="M1370" s="1" t="s">
        <v>22</v>
      </c>
      <c r="N1370" s="1" t="s">
        <v>32</v>
      </c>
      <c r="O1370" s="1" t="s">
        <v>41</v>
      </c>
      <c r="P1370" s="1" t="s">
        <v>47</v>
      </c>
      <c r="Q1370" s="1">
        <v>45511</v>
      </c>
      <c r="R1370" s="14">
        <v>5</v>
      </c>
      <c r="S1370" s="1" t="s">
        <v>22</v>
      </c>
      <c r="T1370" s="1" t="s">
        <v>22</v>
      </c>
      <c r="U1370" s="1" t="s">
        <v>22</v>
      </c>
    </row>
    <row r="1371" spans="1:21" x14ac:dyDescent="0.25">
      <c r="A1371" s="1" t="s">
        <v>783</v>
      </c>
      <c r="B1371" s="2" t="s">
        <v>804</v>
      </c>
      <c r="C1371" s="1" t="s">
        <v>25</v>
      </c>
      <c r="D1371" s="1" t="s">
        <v>805</v>
      </c>
      <c r="E1371" s="1" t="s">
        <v>27</v>
      </c>
      <c r="F1371" s="1">
        <v>45512</v>
      </c>
      <c r="G1371" s="14" t="s">
        <v>133</v>
      </c>
      <c r="H1371" t="s">
        <v>806</v>
      </c>
      <c r="I1371" s="2" t="s">
        <v>807</v>
      </c>
      <c r="J1371" s="2">
        <v>0.010416666666666666</v>
      </c>
      <c r="K1371" s="1">
        <v>0.04861111111111111</v>
      </c>
      <c r="L1371" s="1">
        <v>0.059027777777777776</v>
      </c>
      <c r="M1371" s="1" t="s">
        <v>22</v>
      </c>
      <c r="N1371" s="1" t="s">
        <v>41</v>
      </c>
      <c r="O1371" s="1" t="s">
        <v>32</v>
      </c>
      <c r="P1371" s="1" t="s">
        <v>47</v>
      </c>
      <c r="Q1371" s="1">
        <v>45512</v>
      </c>
      <c r="R1371" s="14">
        <v>5</v>
      </c>
      <c r="S1371" s="1" t="s">
        <v>22</v>
      </c>
      <c r="T1371" s="1" t="s">
        <v>22</v>
      </c>
      <c r="U1371" s="1" t="s">
        <v>22</v>
      </c>
    </row>
    <row r="1372" spans="1:21" x14ac:dyDescent="0.25">
      <c r="A1372" s="1" t="s">
        <v>783</v>
      </c>
      <c r="B1372" s="2" t="s">
        <v>286</v>
      </c>
      <c r="C1372" s="1" t="s">
        <v>287</v>
      </c>
      <c r="D1372" s="1" t="s">
        <v>808</v>
      </c>
      <c r="E1372" s="1" t="s">
        <v>27</v>
      </c>
      <c r="F1372" s="1">
        <v>45518</v>
      </c>
      <c r="G1372" s="14" t="s">
        <v>38</v>
      </c>
      <c r="H1372" t="s">
        <v>809</v>
      </c>
      <c r="I1372" s="2" t="s">
        <v>810</v>
      </c>
      <c r="J1372" s="2">
        <v>0.034722222222222224</v>
      </c>
      <c r="K1372" s="1">
        <v>0.024305555555555556</v>
      </c>
      <c r="L1372" s="1">
        <v>0.059027777777777776</v>
      </c>
      <c r="M1372" s="1" t="s">
        <v>22</v>
      </c>
      <c r="N1372" s="1" t="s">
        <v>31</v>
      </c>
      <c r="O1372" s="1" t="s">
        <v>41</v>
      </c>
      <c r="P1372" s="1" t="s">
        <v>47</v>
      </c>
      <c r="Q1372" s="1">
        <v>45518</v>
      </c>
      <c r="R1372" s="14">
        <v>5</v>
      </c>
      <c r="S1372" s="1" t="s">
        <v>22</v>
      </c>
      <c r="T1372" s="1" t="s">
        <v>22</v>
      </c>
      <c r="U1372" s="1" t="s">
        <v>22</v>
      </c>
    </row>
    <row r="1373" spans="1:21" x14ac:dyDescent="0.25">
      <c r="A1373" s="1" t="s">
        <v>783</v>
      </c>
      <c r="B1373" s="2" t="s">
        <v>286</v>
      </c>
      <c r="C1373" s="1" t="s">
        <v>974</v>
      </c>
      <c r="D1373" s="1" t="s">
        <v>811</v>
      </c>
      <c r="E1373" s="1" t="s">
        <v>27</v>
      </c>
      <c r="F1373" s="1">
        <v>45520</v>
      </c>
      <c r="G1373" s="14" t="s">
        <v>38</v>
      </c>
      <c r="H1373" t="s">
        <v>812</v>
      </c>
      <c r="I1373" s="2" t="s">
        <v>813</v>
      </c>
      <c r="J1373" s="2">
        <v>0.041666666666666664</v>
      </c>
      <c r="K1373" s="1">
        <v>0.034722222222222224</v>
      </c>
      <c r="L1373" s="1">
        <v>0.0763888888888889</v>
      </c>
      <c r="M1373" s="1" t="s">
        <v>22</v>
      </c>
      <c r="N1373" s="1" t="s">
        <v>31</v>
      </c>
      <c r="O1373" s="1" t="s">
        <v>32</v>
      </c>
      <c r="P1373" s="1" t="s">
        <v>47</v>
      </c>
      <c r="Q1373" s="1">
        <v>45520</v>
      </c>
      <c r="R1373" s="14">
        <v>5</v>
      </c>
      <c r="S1373" s="1" t="s">
        <v>22</v>
      </c>
      <c r="T1373" s="1" t="s">
        <v>22</v>
      </c>
      <c r="U1373" s="1" t="s">
        <v>22</v>
      </c>
    </row>
    <row r="1374" spans="1:21" x14ac:dyDescent="0.25">
      <c r="A1374" s="1" t="s">
        <v>783</v>
      </c>
      <c r="B1374" s="2" t="s">
        <v>163</v>
      </c>
      <c r="C1374" s="1" t="s">
        <v>25</v>
      </c>
      <c r="D1374" s="1" t="s">
        <v>814</v>
      </c>
      <c r="E1374" s="1" t="s">
        <v>37</v>
      </c>
      <c r="F1374" s="1">
        <v>45524</v>
      </c>
      <c r="G1374" s="14" t="s">
        <v>28</v>
      </c>
      <c r="H1374" t="s">
        <v>815</v>
      </c>
      <c r="I1374" s="2" t="s">
        <v>816</v>
      </c>
      <c r="J1374" s="2">
        <v>0.013888888888888888</v>
      </c>
      <c r="K1374" s="1">
        <v>0.041666666666666664</v>
      </c>
      <c r="L1374" s="1">
        <v>0.05555555555555555</v>
      </c>
      <c r="M1374" s="1">
        <v>0</v>
      </c>
      <c r="N1374" s="1" t="s">
        <v>31</v>
      </c>
      <c r="O1374" s="1" t="s">
        <v>32</v>
      </c>
      <c r="P1374" s="1" t="s">
        <v>47</v>
      </c>
      <c r="Q1374" s="1">
        <v>45524</v>
      </c>
      <c r="R1374" s="14">
        <v>5</v>
      </c>
      <c r="S1374" s="1" t="s">
        <v>22</v>
      </c>
      <c r="T1374" s="1" t="s">
        <v>22</v>
      </c>
      <c r="U1374" s="1" t="s">
        <v>22</v>
      </c>
    </row>
    <row r="1375" spans="1:21" x14ac:dyDescent="0.25">
      <c r="A1375" s="1" t="s">
        <v>783</v>
      </c>
      <c r="B1375" s="2" t="s">
        <v>479</v>
      </c>
      <c r="C1375" s="1" t="s">
        <v>25</v>
      </c>
      <c r="D1375" s="1" t="s">
        <v>817</v>
      </c>
      <c r="E1375" s="1" t="s">
        <v>27</v>
      </c>
      <c r="F1375" s="1">
        <v>45525</v>
      </c>
      <c r="G1375" s="14" t="s">
        <v>38</v>
      </c>
      <c r="H1375" t="s">
        <v>818</v>
      </c>
      <c r="I1375" s="2" t="s">
        <v>819</v>
      </c>
      <c r="J1375" s="2">
        <v>0.020833333333333332</v>
      </c>
      <c r="K1375" s="1">
        <v>0.04861111111111111</v>
      </c>
      <c r="L1375" s="1">
        <v>0.06944444444444445</v>
      </c>
      <c r="M1375" s="1">
        <v>0</v>
      </c>
      <c r="N1375" s="1" t="s">
        <v>31</v>
      </c>
      <c r="O1375" s="1" t="s">
        <v>32</v>
      </c>
      <c r="P1375" s="1" t="s">
        <v>42</v>
      </c>
      <c r="Q1375" s="1">
        <v>45525</v>
      </c>
      <c r="R1375" s="14">
        <v>5</v>
      </c>
      <c r="S1375" s="1" t="s">
        <v>22</v>
      </c>
      <c r="T1375" s="1" t="s">
        <v>22</v>
      </c>
      <c r="U1375" s="1" t="s">
        <v>22</v>
      </c>
    </row>
    <row r="1376" spans="1:21" x14ac:dyDescent="0.25">
      <c r="A1376" s="1" t="s">
        <v>783</v>
      </c>
      <c r="B1376" s="2" t="s">
        <v>258</v>
      </c>
      <c r="C1376" s="1" t="s">
        <v>25</v>
      </c>
      <c r="D1376" s="1" t="s">
        <v>771</v>
      </c>
      <c r="E1376" s="1" t="s">
        <v>27</v>
      </c>
      <c r="F1376" s="1">
        <v>45534</v>
      </c>
      <c r="G1376" s="14" t="s">
        <v>820</v>
      </c>
      <c r="H1376" t="s">
        <v>821</v>
      </c>
      <c r="I1376" s="2" t="s">
        <v>822</v>
      </c>
      <c r="J1376" s="2">
        <v>0.03125</v>
      </c>
      <c r="K1376" s="1">
        <v>0.034722222222222224</v>
      </c>
      <c r="L1376" s="1">
        <v>0.06597222222222222</v>
      </c>
      <c r="M1376" s="1">
        <v>0</v>
      </c>
      <c r="N1376" s="1" t="s">
        <v>41</v>
      </c>
      <c r="O1376" s="1" t="s">
        <v>32</v>
      </c>
      <c r="P1376" s="1" t="s">
        <v>42</v>
      </c>
      <c r="Q1376" s="1">
        <v>45534</v>
      </c>
      <c r="R1376" s="14">
        <v>5</v>
      </c>
      <c r="S1376" s="1" t="s">
        <v>22</v>
      </c>
      <c r="T1376" s="1" t="s">
        <v>22</v>
      </c>
      <c r="U1376" s="1" t="s">
        <v>22</v>
      </c>
    </row>
    <row r="1377" spans="1:21" x14ac:dyDescent="0.25">
      <c r="A1377" s="1" t="s">
        <v>823</v>
      </c>
      <c r="B1377" s="2" t="s">
        <v>99</v>
      </c>
      <c r="C1377" s="1" t="s">
        <v>25</v>
      </c>
      <c r="D1377" s="1" t="s">
        <v>824</v>
      </c>
      <c r="E1377" s="1" t="s">
        <v>27</v>
      </c>
      <c r="F1377" s="1">
        <v>45540</v>
      </c>
      <c r="G1377" s="14" t="s">
        <v>28</v>
      </c>
      <c r="H1377" t="s">
        <v>825</v>
      </c>
      <c r="I1377" s="2" t="s">
        <v>826</v>
      </c>
      <c r="J1377" s="2">
        <v>0.020833333333333332</v>
      </c>
      <c r="K1377" s="1">
        <v>0.0625</v>
      </c>
      <c r="L1377" s="1">
        <v>0.08333333333333333</v>
      </c>
      <c r="M1377" s="1">
        <v>0</v>
      </c>
      <c r="N1377" s="1" t="s">
        <v>31</v>
      </c>
      <c r="O1377" s="1" t="s">
        <v>41</v>
      </c>
      <c r="P1377" s="1" t="s">
        <v>47</v>
      </c>
      <c r="Q1377" s="1">
        <v>45541</v>
      </c>
      <c r="R1377" s="14">
        <v>5</v>
      </c>
      <c r="S1377" s="1" t="s">
        <v>22</v>
      </c>
      <c r="T1377" s="1" t="s">
        <v>22</v>
      </c>
      <c r="U1377" s="1" t="s">
        <v>22</v>
      </c>
    </row>
    <row r="1378" spans="1:21" x14ac:dyDescent="0.25">
      <c r="A1378" s="1" t="s">
        <v>823</v>
      </c>
      <c r="B1378" s="2" t="s">
        <v>641</v>
      </c>
      <c r="C1378" s="1" t="s">
        <v>261</v>
      </c>
      <c r="D1378" s="1" t="s">
        <v>827</v>
      </c>
      <c r="E1378" s="1" t="s">
        <v>27</v>
      </c>
      <c r="F1378" s="1">
        <v>45545</v>
      </c>
      <c r="G1378" s="14" t="s">
        <v>38</v>
      </c>
      <c r="H1378" t="s">
        <v>828</v>
      </c>
      <c r="I1378" s="2" t="s">
        <v>829</v>
      </c>
      <c r="J1378" s="2">
        <v>0.020833333333333332</v>
      </c>
      <c r="K1378" s="1">
        <v>0.04513888888888889</v>
      </c>
      <c r="L1378" s="1">
        <v>0.06597222222222222</v>
      </c>
      <c r="M1378" s="1">
        <v>0</v>
      </c>
      <c r="N1378" s="1" t="s">
        <v>32</v>
      </c>
      <c r="O1378" s="1" t="s">
        <v>41</v>
      </c>
      <c r="P1378" s="1" t="s">
        <v>42</v>
      </c>
      <c r="Q1378" s="1">
        <v>45545</v>
      </c>
      <c r="R1378" s="14">
        <v>5</v>
      </c>
      <c r="S1378" s="1" t="s">
        <v>22</v>
      </c>
      <c r="T1378" s="1" t="s">
        <v>22</v>
      </c>
      <c r="U1378" s="1" t="s">
        <v>22</v>
      </c>
    </row>
    <row r="1379" spans="1:21" x14ac:dyDescent="0.25">
      <c r="A1379" s="1" t="s">
        <v>823</v>
      </c>
      <c r="B1379" s="2" t="s">
        <v>199</v>
      </c>
      <c r="C1379" s="1" t="s">
        <v>541</v>
      </c>
      <c r="D1379" s="1" t="s">
        <v>830</v>
      </c>
      <c r="E1379" s="1" t="s">
        <v>37</v>
      </c>
      <c r="F1379" s="1">
        <v>45546</v>
      </c>
      <c r="G1379" s="14" t="s">
        <v>133</v>
      </c>
      <c r="H1379" t="s">
        <v>831</v>
      </c>
      <c r="I1379" s="2" t="s">
        <v>832</v>
      </c>
      <c r="J1379" s="2">
        <v>0.013888888888888888</v>
      </c>
      <c r="K1379" s="1">
        <v>0.052083333333333336</v>
      </c>
      <c r="L1379" s="1">
        <v>0.06597222222222222</v>
      </c>
      <c r="M1379" s="1">
        <v>0</v>
      </c>
      <c r="N1379" s="1" t="s">
        <v>32</v>
      </c>
      <c r="O1379" s="1" t="s">
        <v>41</v>
      </c>
      <c r="P1379" s="1" t="s">
        <v>42</v>
      </c>
      <c r="Q1379" s="1">
        <v>45546</v>
      </c>
      <c r="R1379" s="14">
        <v>5</v>
      </c>
      <c r="S1379" s="1" t="s">
        <v>22</v>
      </c>
      <c r="T1379" s="1" t="s">
        <v>22</v>
      </c>
      <c r="U1379" s="1" t="s">
        <v>22</v>
      </c>
    </row>
    <row r="1380" spans="1:21" x14ac:dyDescent="0.25">
      <c r="A1380" s="1" t="s">
        <v>823</v>
      </c>
      <c r="B1380" s="2" t="s">
        <v>99</v>
      </c>
      <c r="C1380" s="1" t="s">
        <v>25</v>
      </c>
      <c r="D1380" s="1" t="s">
        <v>833</v>
      </c>
      <c r="E1380" s="1" t="s">
        <v>27</v>
      </c>
      <c r="F1380" s="1">
        <v>45553</v>
      </c>
      <c r="G1380" s="14" t="s">
        <v>28</v>
      </c>
      <c r="H1380" t="s">
        <v>834</v>
      </c>
      <c r="I1380" s="2" t="s">
        <v>835</v>
      </c>
      <c r="J1380" s="2">
        <v>0.020833333333333332</v>
      </c>
      <c r="K1380" s="1">
        <v>0.04513888888888889</v>
      </c>
      <c r="L1380" s="1">
        <v>0.06597222222222222</v>
      </c>
      <c r="M1380" s="1">
        <v>0</v>
      </c>
      <c r="N1380" s="1" t="s">
        <v>31</v>
      </c>
      <c r="O1380" s="1" t="s">
        <v>41</v>
      </c>
      <c r="P1380" s="1" t="s">
        <v>47</v>
      </c>
      <c r="Q1380" s="1">
        <v>45553</v>
      </c>
      <c r="R1380" s="14">
        <v>5</v>
      </c>
      <c r="S1380" s="1" t="s">
        <v>22</v>
      </c>
      <c r="T1380" s="1" t="s">
        <v>22</v>
      </c>
      <c r="U1380" s="1" t="s">
        <v>22</v>
      </c>
    </row>
    <row r="1381" spans="1:21" x14ac:dyDescent="0.25">
      <c r="A1381" s="1" t="s">
        <v>823</v>
      </c>
      <c r="B1381" s="2" t="s">
        <v>163</v>
      </c>
      <c r="C1381" s="1" t="s">
        <v>25</v>
      </c>
      <c r="D1381" s="1" t="s">
        <v>836</v>
      </c>
      <c r="E1381" s="1" t="s">
        <v>27</v>
      </c>
      <c r="F1381" s="1">
        <v>45555</v>
      </c>
      <c r="G1381" s="14" t="s">
        <v>28</v>
      </c>
      <c r="H1381" t="s">
        <v>837</v>
      </c>
      <c r="I1381" s="2" t="s">
        <v>838</v>
      </c>
      <c r="J1381" s="2">
        <v>0.020833333333333332</v>
      </c>
      <c r="K1381" s="1">
        <v>0.041666666666666664</v>
      </c>
      <c r="L1381" s="1">
        <v>0.0625</v>
      </c>
      <c r="M1381" s="1">
        <v>0</v>
      </c>
      <c r="N1381" s="1" t="s">
        <v>53</v>
      </c>
      <c r="O1381" s="1" t="s">
        <v>32</v>
      </c>
      <c r="P1381" s="1" t="s">
        <v>47</v>
      </c>
      <c r="Q1381" s="1">
        <v>45555</v>
      </c>
      <c r="R1381" s="14">
        <v>5</v>
      </c>
      <c r="S1381" s="1" t="s">
        <v>22</v>
      </c>
      <c r="T1381" s="1" t="s">
        <v>22</v>
      </c>
      <c r="U1381" s="1" t="s">
        <v>22</v>
      </c>
    </row>
    <row r="1382" spans="1:21" x14ac:dyDescent="0.25">
      <c r="A1382" s="1" t="s">
        <v>823</v>
      </c>
      <c r="B1382" s="2" t="s">
        <v>334</v>
      </c>
      <c r="C1382" s="1" t="s">
        <v>25</v>
      </c>
      <c r="D1382" s="1" t="s">
        <v>839</v>
      </c>
      <c r="E1382" s="1" t="s">
        <v>37</v>
      </c>
      <c r="F1382" s="1">
        <v>45559</v>
      </c>
      <c r="G1382" s="14" t="s">
        <v>507</v>
      </c>
      <c r="H1382" t="s">
        <v>840</v>
      </c>
      <c r="I1382" s="2" t="s">
        <v>841</v>
      </c>
      <c r="J1382" s="2">
        <v>0.020833333333333332</v>
      </c>
      <c r="K1382" s="1">
        <v>0.034722222222222224</v>
      </c>
      <c r="L1382" s="1">
        <v>0.05555555555555555</v>
      </c>
      <c r="M1382" s="1">
        <v>0</v>
      </c>
      <c r="N1382" s="1" t="s">
        <v>574</v>
      </c>
      <c r="O1382" s="1" t="s">
        <v>32</v>
      </c>
      <c r="P1382" s="1" t="s">
        <v>42</v>
      </c>
      <c r="Q1382" s="1">
        <v>45555</v>
      </c>
      <c r="R1382" s="14">
        <v>5</v>
      </c>
      <c r="S1382" s="1" t="s">
        <v>22</v>
      </c>
      <c r="T1382" s="1" t="s">
        <v>22</v>
      </c>
      <c r="U1382" s="1" t="s">
        <v>22</v>
      </c>
    </row>
    <row r="1383" spans="1:21" x14ac:dyDescent="0.25">
      <c r="A1383" s="1" t="s">
        <v>823</v>
      </c>
      <c r="B1383" s="2" t="s">
        <v>281</v>
      </c>
      <c r="C1383" s="1" t="s">
        <v>186</v>
      </c>
      <c r="D1383" s="1" t="s">
        <v>842</v>
      </c>
      <c r="E1383" s="1" t="s">
        <v>27</v>
      </c>
      <c r="F1383" s="1">
        <v>45561</v>
      </c>
      <c r="G1383" s="14" t="s">
        <v>74</v>
      </c>
      <c r="H1383" t="s">
        <v>843</v>
      </c>
      <c r="I1383" s="2" t="s">
        <v>844</v>
      </c>
      <c r="J1383" s="2">
        <v>0.034722222222222224</v>
      </c>
      <c r="K1383" s="1">
        <v>0.059027777777777776</v>
      </c>
      <c r="L1383" s="1">
        <v>0.09375</v>
      </c>
      <c r="M1383" s="1">
        <v>0</v>
      </c>
      <c r="N1383" s="1" t="s">
        <v>32</v>
      </c>
      <c r="O1383" s="1" t="s">
        <v>41</v>
      </c>
      <c r="P1383" s="1" t="s">
        <v>244</v>
      </c>
      <c r="Q1383" s="1">
        <v>45561</v>
      </c>
      <c r="R1383" s="14">
        <v>5</v>
      </c>
      <c r="S1383" s="1" t="s">
        <v>22</v>
      </c>
      <c r="T1383" s="1" t="s">
        <v>22</v>
      </c>
      <c r="U1383" s="1" t="s">
        <v>22</v>
      </c>
    </row>
    <row r="1384" spans="1:21" x14ac:dyDescent="0.25">
      <c r="A1384" s="1" t="s">
        <v>823</v>
      </c>
      <c r="B1384" s="2" t="s">
        <v>286</v>
      </c>
      <c r="C1384" s="1" t="s">
        <v>974</v>
      </c>
      <c r="D1384" s="1" t="s">
        <v>845</v>
      </c>
      <c r="E1384" s="1" t="s">
        <v>37</v>
      </c>
      <c r="F1384" s="1">
        <v>45561</v>
      </c>
      <c r="G1384" s="14" t="s">
        <v>74</v>
      </c>
      <c r="H1384" t="s">
        <v>846</v>
      </c>
      <c r="I1384" s="2" t="s">
        <v>847</v>
      </c>
      <c r="J1384" s="2">
        <v>0.020833333333333332</v>
      </c>
      <c r="K1384" s="1">
        <v>0.041666666666666664</v>
      </c>
      <c r="L1384" s="1">
        <v>0.0625</v>
      </c>
      <c r="M1384" s="1">
        <v>0</v>
      </c>
      <c r="N1384" s="1" t="s">
        <v>574</v>
      </c>
      <c r="O1384" s="1" t="s">
        <v>41</v>
      </c>
      <c r="P1384" s="1" t="s">
        <v>47</v>
      </c>
      <c r="Q1384" s="1">
        <v>45561</v>
      </c>
      <c r="R1384" s="14">
        <v>5</v>
      </c>
      <c r="S1384" s="1" t="s">
        <v>22</v>
      </c>
      <c r="T1384" s="1" t="s">
        <v>22</v>
      </c>
      <c r="U1384" s="1" t="s">
        <v>22</v>
      </c>
    </row>
    <row r="1385" spans="1:21" x14ac:dyDescent="0.25">
      <c r="A1385" s="1" t="s">
        <v>823</v>
      </c>
      <c r="B1385" s="2" t="s">
        <v>545</v>
      </c>
      <c r="C1385" s="1" t="s">
        <v>963</v>
      </c>
      <c r="D1385" s="1" t="s">
        <v>848</v>
      </c>
      <c r="E1385" s="1" t="s">
        <v>37</v>
      </c>
      <c r="F1385" s="1">
        <v>45562</v>
      </c>
      <c r="G1385" s="14" t="s">
        <v>74</v>
      </c>
      <c r="H1385" t="s">
        <v>849</v>
      </c>
      <c r="I1385" s="2" t="s">
        <v>849</v>
      </c>
      <c r="J1385" s="2">
        <v>0.020833333333333332</v>
      </c>
      <c r="K1385" s="1">
        <v>0.03125</v>
      </c>
      <c r="L1385" s="1">
        <v>0.05208333333333333</v>
      </c>
      <c r="M1385" s="1">
        <v>0</v>
      </c>
      <c r="N1385" s="1" t="s">
        <v>31</v>
      </c>
      <c r="O1385" s="1" t="s">
        <v>41</v>
      </c>
      <c r="P1385" s="1" t="s">
        <v>47</v>
      </c>
      <c r="Q1385" s="1">
        <v>45562</v>
      </c>
      <c r="R1385" s="14">
        <v>5</v>
      </c>
      <c r="S1385" s="1" t="s">
        <v>22</v>
      </c>
      <c r="T1385" s="1" t="s">
        <v>22</v>
      </c>
      <c r="U1385" s="1" t="s">
        <v>22</v>
      </c>
    </row>
    <row r="1386" spans="1:21" x14ac:dyDescent="0.25">
      <c r="A1386" s="1" t="s">
        <v>823</v>
      </c>
      <c r="B1386" s="2" t="s">
        <v>545</v>
      </c>
      <c r="C1386" s="1" t="s">
        <v>963</v>
      </c>
      <c r="D1386" s="1" t="s">
        <v>850</v>
      </c>
      <c r="E1386" s="1" t="s">
        <v>37</v>
      </c>
      <c r="F1386" s="1">
        <v>45565</v>
      </c>
      <c r="G1386" s="14" t="s">
        <v>353</v>
      </c>
      <c r="H1386" t="s">
        <v>851</v>
      </c>
      <c r="I1386" s="2" t="s">
        <v>852</v>
      </c>
      <c r="J1386" s="2">
        <v>0.006944444444444444</v>
      </c>
      <c r="K1386" s="1">
        <v>0.013888888888888888</v>
      </c>
      <c r="L1386" s="1">
        <v>0.020833333333333332</v>
      </c>
      <c r="M1386" s="1">
        <v>0</v>
      </c>
      <c r="N1386" s="1" t="s">
        <v>41</v>
      </c>
      <c r="O1386" s="1" t="s">
        <v>32</v>
      </c>
      <c r="P1386" s="1" t="s">
        <v>47</v>
      </c>
      <c r="Q1386" s="1">
        <v>45565</v>
      </c>
      <c r="R1386" s="14">
        <v>5</v>
      </c>
      <c r="S1386" s="1" t="s">
        <v>22</v>
      </c>
      <c r="T1386" s="1" t="s">
        <v>22</v>
      </c>
      <c r="U1386" s="1" t="s">
        <v>22</v>
      </c>
    </row>
    <row r="1387" spans="1:21" x14ac:dyDescent="0.25">
      <c r="A1387" s="1" t="s">
        <v>853</v>
      </c>
      <c r="B1387" s="2" t="s">
        <v>199</v>
      </c>
      <c r="C1387" s="1" t="s">
        <v>541</v>
      </c>
      <c r="D1387" s="1" t="s">
        <v>854</v>
      </c>
      <c r="E1387" s="1" t="s">
        <v>37</v>
      </c>
      <c r="F1387" s="1">
        <v>45569</v>
      </c>
      <c r="G1387" s="14" t="s">
        <v>74</v>
      </c>
      <c r="H1387" t="s">
        <v>855</v>
      </c>
      <c r="I1387" s="2" t="s">
        <v>856</v>
      </c>
      <c r="J1387" s="2">
        <v>0.020833333333333332</v>
      </c>
      <c r="K1387" s="1">
        <v>0.027777777777777776</v>
      </c>
      <c r="L1387" s="1">
        <v>0.048611111111111105</v>
      </c>
      <c r="M1387" s="1">
        <v>0</v>
      </c>
      <c r="N1387" s="1" t="s">
        <v>31</v>
      </c>
      <c r="O1387" s="1" t="s">
        <v>41</v>
      </c>
      <c r="P1387" s="1" t="s">
        <v>42</v>
      </c>
      <c r="Q1387" s="1">
        <v>45569</v>
      </c>
      <c r="R1387" s="14">
        <v>5</v>
      </c>
      <c r="S1387" s="1" t="s">
        <v>22</v>
      </c>
      <c r="T1387" s="1" t="s">
        <v>22</v>
      </c>
      <c r="U1387" s="1" t="s">
        <v>22</v>
      </c>
    </row>
    <row r="1388" spans="1:21" x14ac:dyDescent="0.25">
      <c r="A1388" s="1" t="s">
        <v>853</v>
      </c>
      <c r="B1388" s="2" t="s">
        <v>48</v>
      </c>
      <c r="C1388" s="1" t="s">
        <v>25</v>
      </c>
      <c r="D1388" s="1" t="s">
        <v>857</v>
      </c>
      <c r="E1388" s="1" t="s">
        <v>713</v>
      </c>
      <c r="F1388" s="1">
        <v>45570</v>
      </c>
      <c r="G1388" s="14" t="s">
        <v>74</v>
      </c>
      <c r="H1388" t="s">
        <v>858</v>
      </c>
      <c r="I1388" s="2" t="s">
        <v>859</v>
      </c>
      <c r="J1388" s="2">
        <v>0.0625</v>
      </c>
      <c r="K1388" s="1">
        <v>0.027777777777777776</v>
      </c>
      <c r="L1388" s="1">
        <v>0.09027777777777778</v>
      </c>
      <c r="M1388" s="1">
        <v>0</v>
      </c>
      <c r="N1388" s="1" t="s">
        <v>31</v>
      </c>
      <c r="O1388" s="1" t="s">
        <v>32</v>
      </c>
      <c r="P1388" s="1" t="s">
        <v>47</v>
      </c>
      <c r="Q1388" s="1">
        <v>45570</v>
      </c>
      <c r="R1388" s="14">
        <v>5</v>
      </c>
      <c r="S1388" s="1" t="s">
        <v>22</v>
      </c>
      <c r="T1388" s="1" t="s">
        <v>22</v>
      </c>
      <c r="U1388" s="1" t="s">
        <v>22</v>
      </c>
    </row>
    <row r="1389" spans="1:21" x14ac:dyDescent="0.25">
      <c r="A1389" s="1" t="s">
        <v>853</v>
      </c>
      <c r="B1389" s="2" t="s">
        <v>641</v>
      </c>
      <c r="C1389" s="1" t="s">
        <v>261</v>
      </c>
      <c r="D1389" s="1" t="s">
        <v>860</v>
      </c>
      <c r="E1389" s="1" t="s">
        <v>37</v>
      </c>
      <c r="F1389" s="1">
        <v>45572</v>
      </c>
      <c r="G1389" s="14" t="s">
        <v>38</v>
      </c>
      <c r="H1389" t="s">
        <v>861</v>
      </c>
      <c r="I1389" s="2" t="s">
        <v>862</v>
      </c>
      <c r="J1389" s="2">
        <v>0.020833333333333332</v>
      </c>
      <c r="K1389" s="1">
        <v>0.03125</v>
      </c>
      <c r="L1389" s="1">
        <v>0.05208333333333333</v>
      </c>
      <c r="M1389" s="1">
        <v>0</v>
      </c>
      <c r="N1389" s="1" t="s">
        <v>32</v>
      </c>
      <c r="O1389" s="1" t="s">
        <v>41</v>
      </c>
      <c r="P1389" s="1" t="s">
        <v>42</v>
      </c>
      <c r="Q1389" s="1">
        <v>45572</v>
      </c>
      <c r="R1389" s="14">
        <v>5</v>
      </c>
      <c r="S1389" s="1" t="s">
        <v>22</v>
      </c>
      <c r="T1389" s="1" t="s">
        <v>22</v>
      </c>
      <c r="U1389" s="1" t="s">
        <v>22</v>
      </c>
    </row>
    <row r="1390" spans="1:21" x14ac:dyDescent="0.25">
      <c r="A1390" s="1" t="s">
        <v>853</v>
      </c>
      <c r="B1390" s="2" t="s">
        <v>258</v>
      </c>
      <c r="C1390" s="1" t="s">
        <v>25</v>
      </c>
      <c r="D1390" s="1" t="s">
        <v>863</v>
      </c>
      <c r="E1390" s="1" t="s">
        <v>27</v>
      </c>
      <c r="F1390" s="1">
        <v>45573</v>
      </c>
      <c r="G1390" s="14" t="s">
        <v>864</v>
      </c>
      <c r="H1390" t="s">
        <v>865</v>
      </c>
      <c r="I1390" s="2" t="s">
        <v>866</v>
      </c>
      <c r="J1390" s="2">
        <v>0.03125</v>
      </c>
      <c r="K1390" s="1">
        <v>0.034722222222222224</v>
      </c>
      <c r="L1390" s="1">
        <v>0.06597222222222222</v>
      </c>
      <c r="M1390" s="1">
        <v>0</v>
      </c>
      <c r="N1390" s="1" t="s">
        <v>41</v>
      </c>
      <c r="O1390" s="1" t="s">
        <v>32</v>
      </c>
      <c r="P1390" s="1" t="s">
        <v>42</v>
      </c>
      <c r="Q1390" s="1">
        <v>45573</v>
      </c>
      <c r="R1390" s="14">
        <v>5</v>
      </c>
      <c r="S1390" s="1" t="s">
        <v>22</v>
      </c>
      <c r="T1390" s="1" t="s">
        <v>22</v>
      </c>
      <c r="U1390" s="1" t="s">
        <v>22</v>
      </c>
    </row>
    <row r="1391" spans="1:21" x14ac:dyDescent="0.25">
      <c r="A1391" s="1" t="s">
        <v>853</v>
      </c>
      <c r="B1391" s="2" t="s">
        <v>479</v>
      </c>
      <c r="C1391" s="1" t="s">
        <v>25</v>
      </c>
      <c r="D1391" s="1" t="s">
        <v>817</v>
      </c>
      <c r="E1391" s="1" t="s">
        <v>27</v>
      </c>
      <c r="F1391" s="1">
        <v>45574</v>
      </c>
      <c r="G1391" s="14" t="s">
        <v>38</v>
      </c>
      <c r="H1391" t="s">
        <v>867</v>
      </c>
      <c r="I1391" s="2" t="s">
        <v>868</v>
      </c>
      <c r="J1391" s="2">
        <v>0.027777777777777776</v>
      </c>
      <c r="K1391" s="1">
        <v>0.041666666666666664</v>
      </c>
      <c r="L1391" s="1">
        <v>0.06944444444444445</v>
      </c>
      <c r="M1391" s="1">
        <v>0</v>
      </c>
      <c r="N1391" s="1" t="s">
        <v>41</v>
      </c>
      <c r="O1391" s="1" t="s">
        <v>32</v>
      </c>
      <c r="P1391" s="1" t="s">
        <v>42</v>
      </c>
      <c r="Q1391" s="1">
        <v>45574</v>
      </c>
      <c r="R1391" s="14">
        <v>5</v>
      </c>
      <c r="S1391" s="1" t="s">
        <v>22</v>
      </c>
      <c r="T1391" s="1" t="s">
        <v>22</v>
      </c>
      <c r="U1391" s="1" t="s">
        <v>22</v>
      </c>
    </row>
    <row r="1392" spans="1:21" x14ac:dyDescent="0.25">
      <c r="A1392" s="1" t="s">
        <v>853</v>
      </c>
      <c r="B1392" s="2" t="s">
        <v>146</v>
      </c>
      <c r="C1392" s="1" t="s">
        <v>186</v>
      </c>
      <c r="D1392" s="1" t="s">
        <v>869</v>
      </c>
      <c r="E1392" s="1" t="s">
        <v>27</v>
      </c>
      <c r="F1392" s="1">
        <v>45575</v>
      </c>
      <c r="G1392" s="14" t="s">
        <v>820</v>
      </c>
      <c r="H1392" t="s">
        <v>870</v>
      </c>
      <c r="I1392" s="2" t="s">
        <v>871</v>
      </c>
      <c r="J1392" s="2">
        <v>0.020833333333333332</v>
      </c>
      <c r="K1392" s="1">
        <v>0.03125</v>
      </c>
      <c r="L1392" s="1">
        <v>0.05208333333333333</v>
      </c>
      <c r="M1392" s="1">
        <v>0</v>
      </c>
      <c r="N1392" s="1" t="s">
        <v>32</v>
      </c>
      <c r="O1392" s="1" t="s">
        <v>41</v>
      </c>
      <c r="P1392" s="1" t="s">
        <v>112</v>
      </c>
      <c r="Q1392" s="1">
        <v>45575</v>
      </c>
      <c r="R1392" s="14">
        <v>5</v>
      </c>
      <c r="S1392" s="1" t="s">
        <v>22</v>
      </c>
      <c r="T1392" s="1" t="s">
        <v>22</v>
      </c>
      <c r="U1392" s="1" t="s">
        <v>22</v>
      </c>
    </row>
    <row r="1393" spans="1:21" x14ac:dyDescent="0.25">
      <c r="A1393" s="1" t="s">
        <v>853</v>
      </c>
      <c r="B1393" s="2" t="s">
        <v>258</v>
      </c>
      <c r="C1393" s="1" t="s">
        <v>25</v>
      </c>
      <c r="D1393" s="1" t="s">
        <v>873</v>
      </c>
      <c r="E1393" s="1" t="s">
        <v>27</v>
      </c>
      <c r="F1393" s="1">
        <v>45575</v>
      </c>
      <c r="G1393" s="14" t="s">
        <v>28</v>
      </c>
      <c r="H1393" t="s">
        <v>874</v>
      </c>
      <c r="I1393" s="2" t="s">
        <v>875</v>
      </c>
      <c r="J1393" s="2">
        <v>0.034722222222222224</v>
      </c>
      <c r="K1393" s="1">
        <v>0.07291666666666667</v>
      </c>
      <c r="L1393" s="1">
        <v>0.1076388888888889</v>
      </c>
      <c r="M1393" s="1">
        <v>0</v>
      </c>
      <c r="N1393" s="1" t="s">
        <v>32</v>
      </c>
      <c r="O1393" s="1" t="s">
        <v>41</v>
      </c>
      <c r="P1393" s="1" t="s">
        <v>42</v>
      </c>
      <c r="Q1393" s="1">
        <v>45575</v>
      </c>
      <c r="R1393" s="14">
        <v>5</v>
      </c>
      <c r="S1393" s="1" t="s">
        <v>22</v>
      </c>
      <c r="T1393" s="1" t="s">
        <v>22</v>
      </c>
      <c r="U1393" s="1" t="s">
        <v>22</v>
      </c>
    </row>
    <row r="1394" spans="1:21" x14ac:dyDescent="0.25">
      <c r="A1394" s="1" t="s">
        <v>853</v>
      </c>
      <c r="B1394" s="2" t="s">
        <v>199</v>
      </c>
      <c r="C1394" s="1" t="s">
        <v>541</v>
      </c>
      <c r="D1394" s="1" t="s">
        <v>877</v>
      </c>
      <c r="E1394" s="1" t="s">
        <v>37</v>
      </c>
      <c r="F1394" s="1">
        <v>45580</v>
      </c>
      <c r="G1394" s="14" t="s">
        <v>74</v>
      </c>
      <c r="H1394" t="s">
        <v>878</v>
      </c>
      <c r="I1394" s="2" t="s">
        <v>879</v>
      </c>
      <c r="J1394" s="2">
        <v>0.034722222222222224</v>
      </c>
      <c r="K1394" s="1">
        <v>0.04861111111111111</v>
      </c>
      <c r="L1394" s="1">
        <v>0.08333333333333334</v>
      </c>
      <c r="M1394" s="1">
        <v>0</v>
      </c>
      <c r="N1394" s="1" t="s">
        <v>31</v>
      </c>
      <c r="O1394" s="1" t="s">
        <v>32</v>
      </c>
      <c r="P1394" s="1" t="s">
        <v>42</v>
      </c>
      <c r="Q1394" s="1">
        <v>45580</v>
      </c>
      <c r="R1394" s="14">
        <v>2</v>
      </c>
      <c r="S1394" s="1" t="s">
        <v>22</v>
      </c>
      <c r="T1394" s="1" t="s">
        <v>22</v>
      </c>
      <c r="U1394" s="1" t="s">
        <v>22</v>
      </c>
    </row>
    <row r="1395" spans="1:21" x14ac:dyDescent="0.25">
      <c r="A1395" s="1" t="s">
        <v>853</v>
      </c>
      <c r="B1395" s="2" t="s">
        <v>796</v>
      </c>
      <c r="C1395" s="1" t="s">
        <v>285</v>
      </c>
      <c r="D1395" s="1" t="s">
        <v>880</v>
      </c>
      <c r="E1395" s="1" t="s">
        <v>37</v>
      </c>
      <c r="F1395" s="1">
        <v>45581</v>
      </c>
      <c r="G1395" s="14" t="s">
        <v>74</v>
      </c>
      <c r="H1395" t="s">
        <v>881</v>
      </c>
      <c r="I1395" s="2" t="s">
        <v>882</v>
      </c>
      <c r="J1395" s="2">
        <v>0.034722222222222224</v>
      </c>
      <c r="K1395" s="1">
        <v>0.04513888888888889</v>
      </c>
      <c r="L1395" s="1">
        <v>0.0798611111111111</v>
      </c>
      <c r="M1395" s="1">
        <v>0</v>
      </c>
      <c r="N1395" s="1" t="s">
        <v>31</v>
      </c>
      <c r="O1395" s="1" t="s">
        <v>32</v>
      </c>
      <c r="P1395" s="1" t="s">
        <v>47</v>
      </c>
      <c r="Q1395" s="1">
        <v>45581</v>
      </c>
      <c r="R1395" s="14">
        <v>5</v>
      </c>
      <c r="S1395" s="1" t="s">
        <v>22</v>
      </c>
      <c r="T1395" s="1" t="s">
        <v>22</v>
      </c>
      <c r="U1395" s="1" t="s">
        <v>22</v>
      </c>
    </row>
    <row r="1396" spans="1:21" x14ac:dyDescent="0.25">
      <c r="A1396" s="1" t="s">
        <v>853</v>
      </c>
      <c r="B1396" s="2" t="s">
        <v>35</v>
      </c>
      <c r="C1396" s="1" t="s">
        <v>25</v>
      </c>
      <c r="D1396" s="1" t="s">
        <v>883</v>
      </c>
      <c r="E1396" s="1" t="s">
        <v>27</v>
      </c>
      <c r="F1396" s="1">
        <v>45583</v>
      </c>
      <c r="G1396" s="14" t="s">
        <v>38</v>
      </c>
      <c r="H1396" t="s">
        <v>884</v>
      </c>
      <c r="I1396" s="2" t="s">
        <v>885</v>
      </c>
      <c r="J1396" s="2">
        <v>0.041666666666666664</v>
      </c>
      <c r="K1396" s="1">
        <v>0.05555555555555555</v>
      </c>
      <c r="L1396" s="1">
        <v>0.09722222222222221</v>
      </c>
      <c r="M1396" s="1">
        <v>0</v>
      </c>
      <c r="N1396" s="1" t="s">
        <v>31</v>
      </c>
      <c r="O1396" s="1" t="s">
        <v>32</v>
      </c>
      <c r="P1396" s="1" t="s">
        <v>42</v>
      </c>
      <c r="Q1396" s="1">
        <v>45583</v>
      </c>
      <c r="R1396" s="14">
        <v>2</v>
      </c>
      <c r="S1396" s="1" t="s">
        <v>22</v>
      </c>
      <c r="T1396" s="1" t="s">
        <v>22</v>
      </c>
      <c r="U1396" s="1" t="s">
        <v>22</v>
      </c>
    </row>
    <row r="1397" spans="1:21" x14ac:dyDescent="0.25">
      <c r="A1397" s="1" t="s">
        <v>853</v>
      </c>
      <c r="B1397" s="2" t="s">
        <v>545</v>
      </c>
      <c r="C1397" s="1" t="s">
        <v>963</v>
      </c>
      <c r="D1397" s="1" t="s">
        <v>850</v>
      </c>
      <c r="E1397" s="1" t="s">
        <v>37</v>
      </c>
      <c r="F1397" s="1">
        <v>45589</v>
      </c>
      <c r="G1397" s="14" t="s">
        <v>74</v>
      </c>
      <c r="H1397" t="s">
        <v>886</v>
      </c>
      <c r="I1397" s="2" t="s">
        <v>887</v>
      </c>
      <c r="J1397" s="2">
        <v>0.020833333333333332</v>
      </c>
      <c r="K1397" s="1">
        <v>0.059027777777777776</v>
      </c>
      <c r="L1397" s="1">
        <v>0.0798611111111111</v>
      </c>
      <c r="M1397" s="1">
        <v>0</v>
      </c>
      <c r="N1397" s="1" t="s">
        <v>31</v>
      </c>
      <c r="O1397" s="1" t="s">
        <v>41</v>
      </c>
      <c r="P1397" s="1" t="s">
        <v>47</v>
      </c>
      <c r="Q1397" s="1">
        <v>45589</v>
      </c>
      <c r="R1397" s="14">
        <v>5</v>
      </c>
      <c r="S1397" s="1" t="s">
        <v>22</v>
      </c>
      <c r="T1397" s="1" t="s">
        <v>22</v>
      </c>
      <c r="U1397" s="1" t="s">
        <v>22</v>
      </c>
    </row>
    <row r="1398" spans="1:21" x14ac:dyDescent="0.25">
      <c r="A1398" s="1" t="s">
        <v>853</v>
      </c>
      <c r="B1398" s="2" t="s">
        <v>185</v>
      </c>
      <c r="C1398" s="1" t="s">
        <v>186</v>
      </c>
      <c r="D1398" s="1" t="s">
        <v>888</v>
      </c>
      <c r="E1398" s="1" t="s">
        <v>27</v>
      </c>
      <c r="F1398" s="1">
        <v>45590</v>
      </c>
      <c r="G1398" s="14" t="s">
        <v>28</v>
      </c>
      <c r="H1398" t="s">
        <v>889</v>
      </c>
      <c r="I1398" s="2" t="s">
        <v>890</v>
      </c>
      <c r="J1398" s="2">
        <v>0.027777777777777776</v>
      </c>
      <c r="K1398" s="1">
        <v>0.06597222222222222</v>
      </c>
      <c r="L1398" s="1">
        <v>0.09375</v>
      </c>
      <c r="M1398" s="1">
        <v>0</v>
      </c>
      <c r="N1398" s="1" t="s">
        <v>32</v>
      </c>
      <c r="O1398" s="1" t="s">
        <v>41</v>
      </c>
      <c r="P1398" s="1" t="s">
        <v>47</v>
      </c>
      <c r="Q1398" s="1">
        <v>45591</v>
      </c>
      <c r="R1398" s="14">
        <v>5</v>
      </c>
      <c r="S1398" s="1" t="s">
        <v>22</v>
      </c>
      <c r="T1398" s="1" t="s">
        <v>22</v>
      </c>
      <c r="U1398" s="1" t="s">
        <v>22</v>
      </c>
    </row>
    <row r="1399" spans="1:21" x14ac:dyDescent="0.25">
      <c r="A1399" s="1" t="s">
        <v>891</v>
      </c>
      <c r="B1399" s="2" t="s">
        <v>510</v>
      </c>
      <c r="C1399" s="1" t="s">
        <v>25</v>
      </c>
      <c r="D1399" s="1" t="s">
        <v>892</v>
      </c>
      <c r="E1399" s="1" t="s">
        <v>27</v>
      </c>
      <c r="F1399" s="1">
        <v>45600</v>
      </c>
      <c r="G1399" s="14" t="s">
        <v>38</v>
      </c>
      <c r="H1399" t="s">
        <v>893</v>
      </c>
      <c r="I1399" s="2" t="s">
        <v>894</v>
      </c>
      <c r="J1399" s="2">
        <v>0.020833333333333332</v>
      </c>
      <c r="K1399" s="1">
        <v>0.034722222222222224</v>
      </c>
      <c r="L1399" s="1">
        <v>0.05555555555555555</v>
      </c>
      <c r="M1399" s="1">
        <v>0</v>
      </c>
      <c r="N1399" s="1" t="s">
        <v>32</v>
      </c>
      <c r="O1399" s="1" t="s">
        <v>41</v>
      </c>
      <c r="P1399" s="1" t="s">
        <v>47</v>
      </c>
      <c r="Q1399" s="1">
        <v>45600</v>
      </c>
      <c r="R1399" s="14">
        <v>5</v>
      </c>
      <c r="S1399" s="1" t="s">
        <v>22</v>
      </c>
      <c r="T1399" s="1" t="s">
        <v>22</v>
      </c>
      <c r="U1399" s="1" t="s">
        <v>22</v>
      </c>
    </row>
    <row r="1400" spans="1:21" x14ac:dyDescent="0.25">
      <c r="A1400" s="1" t="s">
        <v>891</v>
      </c>
      <c r="B1400" s="2" t="s">
        <v>60</v>
      </c>
      <c r="C1400" s="1" t="s">
        <v>61</v>
      </c>
      <c r="D1400" s="1" t="s">
        <v>895</v>
      </c>
      <c r="E1400" s="1" t="s">
        <v>37</v>
      </c>
      <c r="F1400" s="1">
        <v>45601</v>
      </c>
      <c r="G1400" s="14" t="s">
        <v>28</v>
      </c>
      <c r="H1400" t="s">
        <v>896</v>
      </c>
      <c r="I1400" s="2" t="s">
        <v>897</v>
      </c>
      <c r="J1400" s="2">
        <v>0.03125</v>
      </c>
      <c r="K1400" s="1">
        <v>0.041666666666666664</v>
      </c>
      <c r="L1400" s="1">
        <v>0.07291666666666666</v>
      </c>
      <c r="M1400" s="1">
        <v>0</v>
      </c>
      <c r="N1400" s="1" t="s">
        <v>31</v>
      </c>
      <c r="O1400" s="1" t="s">
        <v>32</v>
      </c>
      <c r="P1400" s="1" t="s">
        <v>47</v>
      </c>
      <c r="Q1400" s="1">
        <v>45601</v>
      </c>
      <c r="R1400" s="14">
        <v>5</v>
      </c>
      <c r="S1400" s="1" t="s">
        <v>22</v>
      </c>
      <c r="T1400" s="1" t="s">
        <v>22</v>
      </c>
      <c r="U1400" s="1" t="s">
        <v>22</v>
      </c>
    </row>
    <row r="1401" spans="1:21" x14ac:dyDescent="0.25">
      <c r="A1401" s="1" t="s">
        <v>891</v>
      </c>
      <c r="B1401" s="2" t="s">
        <v>118</v>
      </c>
      <c r="C1401" s="1" t="s">
        <v>25</v>
      </c>
      <c r="D1401" s="1" t="s">
        <v>898</v>
      </c>
      <c r="E1401" s="1" t="s">
        <v>27</v>
      </c>
      <c r="F1401" s="1">
        <v>45601</v>
      </c>
      <c r="G1401" s="14" t="s">
        <v>38</v>
      </c>
      <c r="H1401" t="s">
        <v>899</v>
      </c>
      <c r="I1401" s="2" t="s">
        <v>900</v>
      </c>
      <c r="J1401" s="2">
        <v>0.020833333333333332</v>
      </c>
      <c r="K1401" s="1">
        <v>0.034722222222222224</v>
      </c>
      <c r="L1401" s="1">
        <v>0.05555555555555555</v>
      </c>
      <c r="M1401" s="1">
        <v>0</v>
      </c>
      <c r="N1401" s="1" t="s">
        <v>53</v>
      </c>
      <c r="O1401" s="1" t="s">
        <v>32</v>
      </c>
      <c r="P1401" s="1" t="s">
        <v>47</v>
      </c>
      <c r="Q1401" s="1">
        <v>45601</v>
      </c>
      <c r="R1401" s="14">
        <v>5</v>
      </c>
      <c r="S1401" s="1" t="s">
        <v>22</v>
      </c>
      <c r="T1401" s="1" t="s">
        <v>22</v>
      </c>
      <c r="U1401" s="1" t="s">
        <v>22</v>
      </c>
    </row>
    <row r="1402" spans="1:21" x14ac:dyDescent="0.25">
      <c r="A1402" s="1" t="s">
        <v>891</v>
      </c>
      <c r="B1402" s="2" t="s">
        <v>35</v>
      </c>
      <c r="C1402" s="1" t="s">
        <v>25</v>
      </c>
      <c r="D1402" s="1" t="s">
        <v>901</v>
      </c>
      <c r="E1402" s="1" t="s">
        <v>27</v>
      </c>
      <c r="F1402" s="1">
        <v>45603</v>
      </c>
      <c r="G1402" s="14" t="s">
        <v>38</v>
      </c>
      <c r="H1402" t="s">
        <v>902</v>
      </c>
      <c r="I1402" s="2" t="s">
        <v>903</v>
      </c>
      <c r="J1402" s="2">
        <v>0.041666666666666664</v>
      </c>
      <c r="K1402" s="1">
        <v>0.020833333333333332</v>
      </c>
      <c r="L1402" s="1">
        <v>0.0625</v>
      </c>
      <c r="M1402" s="1">
        <v>0</v>
      </c>
      <c r="N1402" s="1" t="s">
        <v>53</v>
      </c>
      <c r="O1402" s="1" t="s">
        <v>32</v>
      </c>
      <c r="P1402" s="1" t="s">
        <v>42</v>
      </c>
      <c r="Q1402" s="1">
        <v>45603</v>
      </c>
      <c r="R1402" s="14">
        <v>5</v>
      </c>
      <c r="S1402" s="1" t="s">
        <v>22</v>
      </c>
      <c r="T1402" s="1" t="s">
        <v>22</v>
      </c>
      <c r="U1402" s="1" t="s">
        <v>22</v>
      </c>
    </row>
    <row r="1403" spans="1:21" x14ac:dyDescent="0.25">
      <c r="A1403" s="1" t="s">
        <v>891</v>
      </c>
      <c r="B1403" s="2" t="s">
        <v>83</v>
      </c>
      <c r="C1403" s="1" t="s">
        <v>78</v>
      </c>
      <c r="D1403" s="1" t="s">
        <v>904</v>
      </c>
      <c r="E1403" s="1" t="s">
        <v>37</v>
      </c>
      <c r="F1403" s="1">
        <v>45611</v>
      </c>
      <c r="G1403" s="14" t="s">
        <v>74</v>
      </c>
      <c r="H1403" t="s">
        <v>905</v>
      </c>
      <c r="I1403" s="2" t="s">
        <v>906</v>
      </c>
      <c r="J1403" s="2">
        <v>0.020833333333333332</v>
      </c>
      <c r="K1403" s="1">
        <v>0.06944444444444445</v>
      </c>
      <c r="L1403" s="1">
        <v>0.09027777777777778</v>
      </c>
      <c r="M1403" s="1">
        <v>0</v>
      </c>
      <c r="N1403" s="1" t="s">
        <v>53</v>
      </c>
      <c r="O1403" s="1" t="s">
        <v>32</v>
      </c>
      <c r="P1403" s="1" t="s">
        <v>112</v>
      </c>
      <c r="Q1403" s="1">
        <v>45614</v>
      </c>
      <c r="R1403" s="14">
        <v>5</v>
      </c>
      <c r="S1403" s="1" t="s">
        <v>22</v>
      </c>
      <c r="T1403" s="1" t="s">
        <v>22</v>
      </c>
      <c r="U1403" s="1" t="s">
        <v>22</v>
      </c>
    </row>
    <row r="1404" spans="1:21" x14ac:dyDescent="0.25">
      <c r="A1404" s="1" t="s">
        <v>891</v>
      </c>
      <c r="B1404" s="2" t="s">
        <v>288</v>
      </c>
      <c r="C1404" s="1" t="s">
        <v>289</v>
      </c>
      <c r="D1404" s="1" t="s">
        <v>907</v>
      </c>
      <c r="E1404" s="1" t="s">
        <v>27</v>
      </c>
      <c r="F1404" s="1">
        <v>45617</v>
      </c>
      <c r="G1404" s="14" t="s">
        <v>820</v>
      </c>
      <c r="H1404" t="s">
        <v>908</v>
      </c>
      <c r="I1404" s="2" t="s">
        <v>909</v>
      </c>
      <c r="J1404" s="2">
        <v>0.020833333333333332</v>
      </c>
      <c r="K1404" s="1">
        <v>0.027777777777777776</v>
      </c>
      <c r="L1404" s="1">
        <v>0.048611111111111105</v>
      </c>
      <c r="M1404" s="1">
        <v>0</v>
      </c>
      <c r="N1404" s="1" t="s">
        <v>53</v>
      </c>
      <c r="O1404" s="1" t="s">
        <v>32</v>
      </c>
      <c r="P1404" s="1" t="s">
        <v>112</v>
      </c>
      <c r="Q1404" s="1">
        <v>45617</v>
      </c>
      <c r="R1404" s="14">
        <v>5</v>
      </c>
      <c r="S1404" s="1" t="s">
        <v>22</v>
      </c>
      <c r="T1404" s="1" t="s">
        <v>22</v>
      </c>
      <c r="U1404" s="1" t="s">
        <v>22</v>
      </c>
    </row>
    <row r="1405" spans="1:21" x14ac:dyDescent="0.25">
      <c r="A1405" s="1" t="s">
        <v>891</v>
      </c>
      <c r="B1405" s="2" t="s">
        <v>308</v>
      </c>
      <c r="C1405" s="1" t="s">
        <v>309</v>
      </c>
      <c r="D1405" s="1" t="s">
        <v>910</v>
      </c>
      <c r="E1405" s="1" t="s">
        <v>37</v>
      </c>
      <c r="F1405" s="1">
        <v>45623</v>
      </c>
      <c r="G1405" s="14" t="s">
        <v>670</v>
      </c>
      <c r="H1405" t="s">
        <v>911</v>
      </c>
      <c r="I1405" s="2" t="s">
        <v>912</v>
      </c>
      <c r="J1405" s="2">
        <v>0.013888888888888888</v>
      </c>
      <c r="K1405" s="1">
        <v>0.020833333333333332</v>
      </c>
      <c r="L1405" s="1">
        <v>0.034722222222222224</v>
      </c>
      <c r="M1405" s="1">
        <v>0</v>
      </c>
      <c r="N1405" s="1" t="s">
        <v>31</v>
      </c>
      <c r="O1405" s="1" t="s">
        <v>32</v>
      </c>
      <c r="P1405" s="1" t="s">
        <v>42</v>
      </c>
      <c r="Q1405" s="1">
        <v>45623</v>
      </c>
      <c r="R1405" s="14">
        <v>5</v>
      </c>
      <c r="S1405" s="1" t="s">
        <v>22</v>
      </c>
      <c r="T1405" s="1" t="s">
        <v>22</v>
      </c>
      <c r="U1405" s="1" t="s">
        <v>22</v>
      </c>
    </row>
    <row r="1406" spans="1:21" x14ac:dyDescent="0.25">
      <c r="A1406" s="1" t="s">
        <v>891</v>
      </c>
      <c r="B1406" s="2" t="s">
        <v>83</v>
      </c>
      <c r="C1406" s="1" t="s">
        <v>78</v>
      </c>
      <c r="D1406" s="1" t="s">
        <v>913</v>
      </c>
      <c r="E1406" s="1" t="s">
        <v>37</v>
      </c>
      <c r="F1406" s="1">
        <v>45624</v>
      </c>
      <c r="G1406" s="14" t="s">
        <v>74</v>
      </c>
      <c r="H1406" t="s">
        <v>914</v>
      </c>
      <c r="I1406" s="2" t="s">
        <v>915</v>
      </c>
      <c r="J1406" s="2">
        <v>0.020833333333333332</v>
      </c>
      <c r="K1406" s="1">
        <v>0.027777777777777776</v>
      </c>
      <c r="L1406" s="1">
        <v>0.048611111111111105</v>
      </c>
      <c r="M1406" s="1">
        <v>0</v>
      </c>
      <c r="N1406" s="1" t="s">
        <v>53</v>
      </c>
      <c r="O1406" s="1" t="s">
        <v>32</v>
      </c>
      <c r="P1406" s="1" t="s">
        <v>112</v>
      </c>
      <c r="Q1406" s="1">
        <v>45625</v>
      </c>
      <c r="R1406" s="14">
        <v>5</v>
      </c>
      <c r="S1406" s="1" t="s">
        <v>22</v>
      </c>
      <c r="T1406" s="1" t="s">
        <v>22</v>
      </c>
      <c r="U1406" s="1" t="s">
        <v>22</v>
      </c>
    </row>
    <row r="1407" spans="1:21" x14ac:dyDescent="0.25">
      <c r="A1407" s="1" t="s">
        <v>916</v>
      </c>
      <c r="B1407" s="2" t="s">
        <v>258</v>
      </c>
      <c r="C1407" s="1" t="s">
        <v>25</v>
      </c>
      <c r="D1407" s="1" t="s">
        <v>917</v>
      </c>
      <c r="E1407" s="1" t="s">
        <v>37</v>
      </c>
      <c r="F1407" s="1">
        <v>45630</v>
      </c>
      <c r="G1407" s="14" t="s">
        <v>670</v>
      </c>
      <c r="H1407" t="s">
        <v>918</v>
      </c>
      <c r="I1407" s="2" t="s">
        <v>919</v>
      </c>
      <c r="J1407" s="2">
        <v>0.05555555555555555</v>
      </c>
      <c r="K1407" s="1" t="s">
        <v>22</v>
      </c>
      <c r="L1407" s="1">
        <v>0.05555555555555555</v>
      </c>
      <c r="M1407" s="1">
        <v>0</v>
      </c>
      <c r="N1407" s="1" t="s">
        <v>22</v>
      </c>
      <c r="O1407" s="1" t="s">
        <v>31</v>
      </c>
      <c r="P1407" s="1" t="s">
        <v>42</v>
      </c>
      <c r="Q1407" s="1">
        <v>45630</v>
      </c>
      <c r="R1407" s="14">
        <v>5</v>
      </c>
      <c r="S1407" s="1" t="s">
        <v>22</v>
      </c>
      <c r="T1407" s="1" t="s">
        <v>22</v>
      </c>
      <c r="U1407" s="1" t="s">
        <v>22</v>
      </c>
    </row>
    <row r="1408" spans="1:21" x14ac:dyDescent="0.25">
      <c r="A1408" s="1" t="s">
        <v>916</v>
      </c>
      <c r="B1408" s="2" t="s">
        <v>35</v>
      </c>
      <c r="C1408" s="1" t="s">
        <v>25</v>
      </c>
      <c r="D1408" s="1" t="s">
        <v>920</v>
      </c>
      <c r="E1408" s="1" t="s">
        <v>27</v>
      </c>
      <c r="F1408" s="1">
        <v>45632</v>
      </c>
      <c r="G1408" s="14" t="s">
        <v>74</v>
      </c>
      <c r="H1408" t="s">
        <v>921</v>
      </c>
      <c r="I1408" s="2" t="s">
        <v>922</v>
      </c>
      <c r="J1408" s="2">
        <v>0.08333333333333333</v>
      </c>
      <c r="K1408" s="1">
        <v>0.05555555555555555</v>
      </c>
      <c r="L1408" s="1">
        <v>0.1388888888888889</v>
      </c>
      <c r="M1408" s="1">
        <v>0</v>
      </c>
      <c r="N1408" s="1" t="s">
        <v>31</v>
      </c>
      <c r="O1408" s="1" t="s">
        <v>32</v>
      </c>
      <c r="P1408" s="1" t="s">
        <v>42</v>
      </c>
      <c r="Q1408" s="1">
        <v>45635</v>
      </c>
      <c r="R1408" s="14">
        <v>5</v>
      </c>
      <c r="S1408" s="1" t="s">
        <v>22</v>
      </c>
      <c r="T1408" s="1" t="s">
        <v>22</v>
      </c>
      <c r="U1408" s="1" t="s">
        <v>22</v>
      </c>
    </row>
    <row r="1409" spans="1:21" x14ac:dyDescent="0.25">
      <c r="A1409" s="1" t="s">
        <v>916</v>
      </c>
      <c r="B1409" s="2" t="s">
        <v>77</v>
      </c>
      <c r="C1409" s="1" t="s">
        <v>78</v>
      </c>
      <c r="D1409" s="1" t="s">
        <v>923</v>
      </c>
      <c r="E1409" s="1" t="s">
        <v>37</v>
      </c>
      <c r="F1409" s="1">
        <v>45632</v>
      </c>
      <c r="G1409" s="14" t="s">
        <v>924</v>
      </c>
      <c r="H1409" t="s">
        <v>925</v>
      </c>
      <c r="I1409" s="2" t="s">
        <v>926</v>
      </c>
      <c r="J1409" s="2">
        <v>0.020833333333333332</v>
      </c>
      <c r="K1409" s="1">
        <v>0.034722222222222224</v>
      </c>
      <c r="L1409" s="1">
        <v>0.05555555555555555</v>
      </c>
      <c r="M1409" s="1">
        <v>0</v>
      </c>
      <c r="N1409" s="1" t="s">
        <v>347</v>
      </c>
      <c r="O1409" s="1" t="s">
        <v>32</v>
      </c>
      <c r="P1409" s="1" t="s">
        <v>112</v>
      </c>
      <c r="Q1409" s="1">
        <v>45632</v>
      </c>
      <c r="R1409" s="14">
        <v>5</v>
      </c>
      <c r="S1409" s="1" t="s">
        <v>22</v>
      </c>
      <c r="T1409" s="1" t="s">
        <v>22</v>
      </c>
      <c r="U1409" s="1" t="s">
        <v>22</v>
      </c>
    </row>
    <row r="1410" spans="1:21" x14ac:dyDescent="0.25">
      <c r="A1410" s="1" t="s">
        <v>916</v>
      </c>
      <c r="B1410" s="2" t="s">
        <v>545</v>
      </c>
      <c r="C1410" s="1" t="s">
        <v>963</v>
      </c>
      <c r="D1410" s="1" t="s">
        <v>927</v>
      </c>
      <c r="E1410" s="1" t="s">
        <v>37</v>
      </c>
      <c r="F1410" s="1">
        <v>45632</v>
      </c>
      <c r="G1410" s="14" t="s">
        <v>74</v>
      </c>
      <c r="H1410" t="s">
        <v>928</v>
      </c>
      <c r="I1410" s="2" t="s">
        <v>929</v>
      </c>
      <c r="J1410" s="2">
        <v>0.041666666666666664</v>
      </c>
      <c r="K1410" s="1">
        <v>0.06944444444444445</v>
      </c>
      <c r="L1410" s="1">
        <v>0.1111111111111111</v>
      </c>
      <c r="M1410" s="1">
        <v>0</v>
      </c>
      <c r="N1410" s="1" t="s">
        <v>31</v>
      </c>
      <c r="O1410" s="1" t="s">
        <v>32</v>
      </c>
      <c r="P1410" s="1" t="s">
        <v>47</v>
      </c>
      <c r="Q1410" s="1">
        <v>45635</v>
      </c>
      <c r="R1410" s="14">
        <v>5</v>
      </c>
      <c r="S1410" s="1" t="s">
        <v>22</v>
      </c>
      <c r="T1410" s="1" t="s">
        <v>22</v>
      </c>
      <c r="U1410" s="1" t="s">
        <v>22</v>
      </c>
    </row>
    <row r="1411" spans="1:21" x14ac:dyDescent="0.25">
      <c r="A1411" s="1" t="s">
        <v>916</v>
      </c>
      <c r="B1411" s="2" t="s">
        <v>35</v>
      </c>
      <c r="C1411" s="1" t="s">
        <v>25</v>
      </c>
      <c r="D1411" s="1" t="s">
        <v>930</v>
      </c>
      <c r="E1411" s="1" t="s">
        <v>27</v>
      </c>
      <c r="F1411" s="1">
        <v>45643</v>
      </c>
      <c r="G1411" s="14" t="s">
        <v>28</v>
      </c>
      <c r="H1411" t="s">
        <v>931</v>
      </c>
      <c r="I1411" s="2" t="s">
        <v>932</v>
      </c>
      <c r="J1411" s="2">
        <v>0.034722222222222224</v>
      </c>
      <c r="K1411" s="1" t="s">
        <v>22</v>
      </c>
      <c r="L1411" s="1">
        <v>0.034722222222222224</v>
      </c>
      <c r="M1411" s="1">
        <v>0</v>
      </c>
      <c r="N1411" s="1" t="s">
        <v>32</v>
      </c>
      <c r="O1411" s="1" t="s">
        <v>22</v>
      </c>
      <c r="P1411" s="1" t="s">
        <v>42</v>
      </c>
      <c r="Q1411" s="1">
        <v>45643</v>
      </c>
      <c r="R1411" s="14">
        <v>5</v>
      </c>
      <c r="S1411" s="1" t="s">
        <v>22</v>
      </c>
      <c r="T1411" s="1" t="s">
        <v>22</v>
      </c>
      <c r="U1411" s="1" t="s">
        <v>22</v>
      </c>
    </row>
    <row r="1412" spans="1:21" x14ac:dyDescent="0.25">
      <c r="A1412" s="1" t="s">
        <v>916</v>
      </c>
      <c r="B1412" s="2" t="s">
        <v>113</v>
      </c>
      <c r="C1412" s="1" t="s">
        <v>25</v>
      </c>
      <c r="D1412" s="1" t="s">
        <v>933</v>
      </c>
      <c r="E1412" s="1" t="s">
        <v>37</v>
      </c>
      <c r="F1412" s="1">
        <v>45644</v>
      </c>
      <c r="G1412" s="14" t="s">
        <v>28</v>
      </c>
      <c r="H1412" t="s">
        <v>934</v>
      </c>
      <c r="I1412" s="2" t="s">
        <v>935</v>
      </c>
      <c r="J1412" s="2">
        <v>0.034722222222222224</v>
      </c>
      <c r="K1412" s="1">
        <v>0.041666666666666664</v>
      </c>
      <c r="L1412" s="1">
        <v>0.0763888888888889</v>
      </c>
      <c r="M1412" s="1">
        <v>0</v>
      </c>
      <c r="N1412" s="1" t="s">
        <v>31</v>
      </c>
      <c r="O1412" s="1" t="s">
        <v>32</v>
      </c>
      <c r="P1412" s="1" t="s">
        <v>47</v>
      </c>
      <c r="Q1412" s="1">
        <v>45644</v>
      </c>
      <c r="R1412" s="14">
        <v>5</v>
      </c>
      <c r="S1412" s="1" t="s">
        <v>22</v>
      </c>
      <c r="T1412" s="1" t="s">
        <v>22</v>
      </c>
      <c r="U1412" s="1" t="s">
        <v>22</v>
      </c>
    </row>
    <row r="1413" spans="1:21" x14ac:dyDescent="0.25">
      <c r="A1413" s="1" t="s">
        <v>916</v>
      </c>
      <c r="B1413" s="2" t="s">
        <v>936</v>
      </c>
      <c r="C1413" s="1" t="s">
        <v>25</v>
      </c>
      <c r="D1413" s="1" t="s">
        <v>937</v>
      </c>
      <c r="E1413" s="1" t="s">
        <v>27</v>
      </c>
      <c r="F1413" s="1">
        <v>45644</v>
      </c>
      <c r="G1413" s="14" t="s">
        <v>38</v>
      </c>
      <c r="H1413" t="s">
        <v>938</v>
      </c>
      <c r="I1413" s="2" t="s">
        <v>939</v>
      </c>
      <c r="J1413" s="2">
        <v>0.034722222222222224</v>
      </c>
      <c r="K1413" s="1">
        <v>0.041666666666666664</v>
      </c>
      <c r="L1413" s="1">
        <v>0.0763888888888889</v>
      </c>
      <c r="M1413" s="1">
        <v>0</v>
      </c>
      <c r="N1413" s="1" t="s">
        <v>31</v>
      </c>
      <c r="O1413" s="1" t="s">
        <v>32</v>
      </c>
      <c r="P1413" s="1" t="s">
        <v>112</v>
      </c>
      <c r="Q1413" s="1">
        <v>45644</v>
      </c>
      <c r="R1413" s="14">
        <v>5</v>
      </c>
      <c r="S1413" s="1" t="s">
        <v>22</v>
      </c>
      <c r="T1413" s="1" t="s">
        <v>22</v>
      </c>
      <c r="U1413" s="1" t="s">
        <v>22</v>
      </c>
    </row>
    <row r="1414" spans="1:21" x14ac:dyDescent="0.25">
      <c r="A1414" s="1" t="s">
        <v>916</v>
      </c>
      <c r="B1414" s="2" t="s">
        <v>936</v>
      </c>
      <c r="C1414" s="1" t="s">
        <v>25</v>
      </c>
      <c r="D1414" s="1" t="s">
        <v>940</v>
      </c>
      <c r="E1414" s="1" t="s">
        <v>27</v>
      </c>
      <c r="F1414" s="1">
        <v>45645</v>
      </c>
      <c r="G1414" s="14" t="s">
        <v>38</v>
      </c>
      <c r="H1414" t="s">
        <v>941</v>
      </c>
      <c r="I1414" s="2" t="s">
        <v>942</v>
      </c>
      <c r="J1414" s="2">
        <v>0.041666666666666664</v>
      </c>
      <c r="K1414" s="1">
        <v>0.0625</v>
      </c>
      <c r="L1414" s="1">
        <v>0.10416666666666666</v>
      </c>
      <c r="M1414" s="1">
        <v>0</v>
      </c>
      <c r="N1414" s="1" t="s">
        <v>31</v>
      </c>
      <c r="O1414" s="1" t="s">
        <v>32</v>
      </c>
      <c r="P1414" s="1" t="s">
        <v>112</v>
      </c>
      <c r="Q1414" s="1">
        <v>45644</v>
      </c>
      <c r="R1414" s="14">
        <v>1</v>
      </c>
      <c r="S1414" s="1" t="s">
        <v>22</v>
      </c>
      <c r="T1414" s="1" t="s">
        <v>22</v>
      </c>
      <c r="U1414" s="1" t="s">
        <v>22</v>
      </c>
    </row>
    <row r="1415" spans="1:21" x14ac:dyDescent="0.25">
      <c r="A1415" s="1" t="s">
        <v>916</v>
      </c>
      <c r="B1415" s="2" t="s">
        <v>113</v>
      </c>
      <c r="C1415" s="1" t="s">
        <v>25</v>
      </c>
      <c r="D1415" s="1" t="s">
        <v>943</v>
      </c>
      <c r="E1415" s="1" t="s">
        <v>37</v>
      </c>
      <c r="F1415" s="1">
        <v>45649</v>
      </c>
      <c r="G1415" s="14" t="s">
        <v>38</v>
      </c>
      <c r="H1415" t="s">
        <v>944</v>
      </c>
      <c r="I1415" s="2" t="s">
        <v>945</v>
      </c>
      <c r="J1415" s="2">
        <v>0.0625</v>
      </c>
      <c r="K1415" s="1">
        <v>0.0625</v>
      </c>
      <c r="L1415" s="1">
        <v>0.125</v>
      </c>
      <c r="M1415" s="1">
        <v>0</v>
      </c>
      <c r="N1415" s="1" t="s">
        <v>31</v>
      </c>
      <c r="O1415" s="1" t="s">
        <v>32</v>
      </c>
      <c r="P1415" s="1" t="s">
        <v>117</v>
      </c>
      <c r="Q1415" s="1">
        <v>45649</v>
      </c>
      <c r="R1415" s="14">
        <v>5</v>
      </c>
      <c r="S1415" s="1" t="s">
        <v>22</v>
      </c>
      <c r="T1415" s="1" t="s">
        <v>22</v>
      </c>
      <c r="U1415" s="1" t="s">
        <v>22</v>
      </c>
    </row>
    <row r="1416" spans="1:21" x14ac:dyDescent="0.25">
      <c r="A1416" s="1" t="s">
        <v>916</v>
      </c>
      <c r="B1416" s="2" t="s">
        <v>199</v>
      </c>
      <c r="C1416" s="1" t="s">
        <v>541</v>
      </c>
      <c r="D1416" s="1" t="s">
        <v>946</v>
      </c>
      <c r="E1416" s="1" t="s">
        <v>37</v>
      </c>
      <c r="F1416" s="1">
        <v>45650</v>
      </c>
      <c r="G1416" s="14" t="s">
        <v>28</v>
      </c>
      <c r="H1416" t="s">
        <v>947</v>
      </c>
      <c r="I1416" s="2" t="s">
        <v>948</v>
      </c>
      <c r="J1416" s="2">
        <v>0.013888888888888888</v>
      </c>
      <c r="K1416" s="1">
        <v>0.041666666666666664</v>
      </c>
      <c r="L1416" s="1">
        <v>0.05555555555555555</v>
      </c>
      <c r="M1416" s="1">
        <v>0</v>
      </c>
      <c r="N1416" s="1" t="s">
        <v>31</v>
      </c>
      <c r="O1416" s="1" t="s">
        <v>32</v>
      </c>
      <c r="P1416" s="1" t="s">
        <v>42</v>
      </c>
      <c r="Q1416" s="1">
        <v>45650</v>
      </c>
      <c r="R1416" s="14">
        <v>5</v>
      </c>
      <c r="S1416" s="1" t="s">
        <v>22</v>
      </c>
      <c r="T1416" s="1" t="s">
        <v>22</v>
      </c>
      <c r="U1416" s="1" t="s">
        <v>22</v>
      </c>
    </row>
    <row r="1417" spans="1:21" x14ac:dyDescent="0.25">
      <c r="A1417" s="1" t="s">
        <v>34</v>
      </c>
      <c r="B1417" s="2" t="s">
        <v>35</v>
      </c>
      <c r="C1417" s="1" t="s">
        <v>25</v>
      </c>
      <c r="D1417" s="1" t="s">
        <v>36</v>
      </c>
      <c r="E1417" s="1" t="s">
        <v>37</v>
      </c>
      <c r="F1417" s="1">
        <v>45660</v>
      </c>
      <c r="G1417" s="14" t="s">
        <v>38</v>
      </c>
      <c r="H1417" t="s">
        <v>39</v>
      </c>
      <c r="I1417" s="2" t="s">
        <v>40</v>
      </c>
      <c r="J1417" s="2">
        <v>0.041666666666666664</v>
      </c>
      <c r="K1417" s="1">
        <v>0.06944444444444445</v>
      </c>
      <c r="L1417" s="1">
        <v>0.1111111111111111</v>
      </c>
      <c r="M1417" s="1" t="s">
        <v>22</v>
      </c>
      <c r="N1417" s="1" t="s">
        <v>31</v>
      </c>
      <c r="O1417" s="1" t="s">
        <v>41</v>
      </c>
      <c r="P1417" s="1" t="s">
        <v>42</v>
      </c>
      <c r="Q1417" s="1">
        <v>45660</v>
      </c>
      <c r="R1417" s="14">
        <v>5</v>
      </c>
      <c r="S1417" s="1" t="s">
        <v>22</v>
      </c>
      <c r="T1417" s="1" t="s">
        <v>22</v>
      </c>
      <c r="U1417" s="1" t="s">
        <v>22</v>
      </c>
    </row>
    <row r="1418" spans="1:21" x14ac:dyDescent="0.25">
      <c r="A1418" s="1" t="s">
        <v>34</v>
      </c>
      <c r="B1418" s="2" t="s">
        <v>43</v>
      </c>
      <c r="C1418" s="1" t="s">
        <v>44</v>
      </c>
      <c r="D1418" s="1" t="s">
        <v>45</v>
      </c>
      <c r="E1418" s="1" t="s">
        <v>37</v>
      </c>
      <c r="F1418" s="1">
        <v>45663</v>
      </c>
      <c r="G1418" s="14" t="s">
        <v>28</v>
      </c>
      <c r="H1418" t="s">
        <v>46</v>
      </c>
      <c r="I1418" s="2" t="s">
        <v>46</v>
      </c>
      <c r="J1418" s="2">
        <v>0.041666666666666664</v>
      </c>
      <c r="K1418" s="1">
        <v>0.041666666666666664</v>
      </c>
      <c r="L1418" s="1">
        <v>0.08333333333333333</v>
      </c>
      <c r="M1418" s="1" t="s">
        <v>22</v>
      </c>
      <c r="N1418" s="1" t="s">
        <v>31</v>
      </c>
      <c r="O1418" s="1" t="s">
        <v>32</v>
      </c>
      <c r="P1418" s="1" t="s">
        <v>47</v>
      </c>
      <c r="Q1418" s="1">
        <v>45663</v>
      </c>
      <c r="R1418" s="14">
        <v>5</v>
      </c>
      <c r="S1418" s="1" t="s">
        <v>22</v>
      </c>
      <c r="T1418" s="1" t="s">
        <v>22</v>
      </c>
      <c r="U1418" s="1" t="s">
        <v>22</v>
      </c>
    </row>
    <row r="1419" spans="1:21" x14ac:dyDescent="0.25">
      <c r="A1419" s="1" t="s">
        <v>34</v>
      </c>
      <c r="B1419" s="2" t="s">
        <v>48</v>
      </c>
      <c r="C1419" s="1" t="s">
        <v>25</v>
      </c>
      <c r="D1419" s="1" t="s">
        <v>49</v>
      </c>
      <c r="E1419" s="1" t="s">
        <v>37</v>
      </c>
      <c r="F1419" s="1">
        <v>45664</v>
      </c>
      <c r="G1419" s="14" t="s">
        <v>50</v>
      </c>
      <c r="H1419" t="s">
        <v>51</v>
      </c>
      <c r="I1419" s="2" t="s">
        <v>52</v>
      </c>
      <c r="J1419" s="2">
        <v>0.020833333333333332</v>
      </c>
      <c r="K1419" s="1">
        <v>0.041666666666666664</v>
      </c>
      <c r="L1419" s="1">
        <v>0.0625</v>
      </c>
      <c r="M1419" s="1" t="s">
        <v>22</v>
      </c>
      <c r="N1419" s="1" t="s">
        <v>53</v>
      </c>
      <c r="O1419" s="1" t="s">
        <v>54</v>
      </c>
      <c r="P1419" s="1" t="s">
        <v>47</v>
      </c>
      <c r="Q1419" s="1">
        <v>45664</v>
      </c>
      <c r="R1419" s="14">
        <v>5</v>
      </c>
      <c r="S1419" s="1" t="s">
        <v>22</v>
      </c>
      <c r="T1419" s="1" t="s">
        <v>22</v>
      </c>
      <c r="U1419" s="1" t="s">
        <v>22</v>
      </c>
    </row>
    <row r="1420" spans="1:21" x14ac:dyDescent="0.25">
      <c r="A1420" s="1" t="s">
        <v>34</v>
      </c>
      <c r="B1420" s="2" t="s">
        <v>43</v>
      </c>
      <c r="C1420" s="1" t="s">
        <v>44</v>
      </c>
      <c r="D1420" s="1" t="s">
        <v>55</v>
      </c>
      <c r="E1420" s="1" t="s">
        <v>37</v>
      </c>
      <c r="F1420" s="1">
        <v>45667</v>
      </c>
      <c r="G1420" s="14" t="s">
        <v>28</v>
      </c>
      <c r="H1420" t="s">
        <v>56</v>
      </c>
      <c r="I1420" s="2" t="s">
        <v>56</v>
      </c>
      <c r="J1420" s="2">
        <v>0.041666666666666664</v>
      </c>
      <c r="K1420" s="1">
        <v>0</v>
      </c>
      <c r="L1420" s="1">
        <v>0.041666666666666664</v>
      </c>
      <c r="M1420" s="1" t="s">
        <v>22</v>
      </c>
      <c r="N1420" s="1" t="s">
        <v>31</v>
      </c>
      <c r="O1420" s="1" t="s">
        <v>32</v>
      </c>
      <c r="P1420" s="1" t="s">
        <v>47</v>
      </c>
      <c r="Q1420" s="1">
        <v>45667</v>
      </c>
      <c r="R1420" s="14">
        <v>5</v>
      </c>
      <c r="S1420" s="1" t="s">
        <v>22</v>
      </c>
      <c r="T1420" s="1" t="s">
        <v>22</v>
      </c>
      <c r="U1420" s="1" t="s">
        <v>22</v>
      </c>
    </row>
    <row r="1421" spans="1:21" x14ac:dyDescent="0.25">
      <c r="A1421" s="1" t="s">
        <v>34</v>
      </c>
      <c r="B1421" s="2" t="s">
        <v>43</v>
      </c>
      <c r="C1421" s="1" t="s">
        <v>44</v>
      </c>
      <c r="D1421" s="1" t="s">
        <v>57</v>
      </c>
      <c r="E1421" s="1" t="s">
        <v>27</v>
      </c>
      <c r="F1421" s="1">
        <v>45672</v>
      </c>
      <c r="G1421" s="14" t="s">
        <v>924</v>
      </c>
      <c r="H1421" t="s">
        <v>58</v>
      </c>
      <c r="I1421" s="2" t="s">
        <v>59</v>
      </c>
      <c r="J1421" s="2">
        <v>0.020833333333333332</v>
      </c>
      <c r="K1421" s="1">
        <v>0.027777777777777776</v>
      </c>
      <c r="L1421" s="1">
        <v>0.048611111111111105</v>
      </c>
      <c r="M1421" s="1" t="s">
        <v>22</v>
      </c>
      <c r="N1421" s="1" t="s">
        <v>53</v>
      </c>
      <c r="O1421" s="1" t="s">
        <v>32</v>
      </c>
      <c r="P1421" s="1" t="s">
        <v>47</v>
      </c>
      <c r="Q1421" s="1">
        <v>45672</v>
      </c>
      <c r="R1421" s="14">
        <v>5</v>
      </c>
      <c r="S1421" s="1" t="s">
        <v>22</v>
      </c>
      <c r="T1421" s="1" t="s">
        <v>22</v>
      </c>
      <c r="U1421" s="1" t="s">
        <v>22</v>
      </c>
    </row>
    <row r="1422" spans="1:21" x14ac:dyDescent="0.25">
      <c r="A1422" s="1" t="s">
        <v>34</v>
      </c>
      <c r="B1422" s="2" t="s">
        <v>60</v>
      </c>
      <c r="C1422" s="1" t="s">
        <v>61</v>
      </c>
      <c r="D1422" s="1" t="s">
        <v>62</v>
      </c>
      <c r="E1422" s="1" t="s">
        <v>37</v>
      </c>
      <c r="F1422" s="1">
        <v>45672</v>
      </c>
      <c r="G1422" s="14" t="s">
        <v>924</v>
      </c>
      <c r="H1422" t="s">
        <v>63</v>
      </c>
      <c r="I1422" s="2" t="s">
        <v>64</v>
      </c>
      <c r="J1422" s="2">
        <v>0.020833333333333332</v>
      </c>
      <c r="K1422" s="1">
        <v>0.027777777777777776</v>
      </c>
      <c r="L1422" s="1">
        <v>0.048611111111111105</v>
      </c>
      <c r="M1422" s="1" t="s">
        <v>22</v>
      </c>
      <c r="N1422" s="1" t="s">
        <v>53</v>
      </c>
      <c r="O1422" s="1" t="s">
        <v>32</v>
      </c>
      <c r="P1422" s="1" t="s">
        <v>47</v>
      </c>
      <c r="Q1422" s="1">
        <v>45672</v>
      </c>
      <c r="R1422" s="14">
        <v>5</v>
      </c>
      <c r="S1422" s="1" t="s">
        <v>22</v>
      </c>
      <c r="T1422" s="1" t="s">
        <v>22</v>
      </c>
      <c r="U1422" s="1" t="s">
        <v>22</v>
      </c>
    </row>
    <row r="1423" spans="1:21" x14ac:dyDescent="0.25">
      <c r="A1423" s="1" t="s">
        <v>34</v>
      </c>
      <c r="B1423" s="2" t="s">
        <v>65</v>
      </c>
      <c r="C1423" s="1" t="s">
        <v>25</v>
      </c>
      <c r="D1423" s="1" t="s">
        <v>66</v>
      </c>
      <c r="E1423" s="1" t="s">
        <v>27</v>
      </c>
      <c r="F1423" s="1">
        <v>45672</v>
      </c>
      <c r="G1423" s="14" t="s">
        <v>3570</v>
      </c>
      <c r="H1423" t="s">
        <v>67</v>
      </c>
      <c r="I1423" s="2" t="s">
        <v>68</v>
      </c>
      <c r="J1423" s="2">
        <v>0.020833333333333332</v>
      </c>
      <c r="K1423" s="1">
        <v>0.027777777777777776</v>
      </c>
      <c r="L1423" s="1">
        <v>0.048611111111111105</v>
      </c>
      <c r="M1423" s="1" t="s">
        <v>22</v>
      </c>
      <c r="N1423" s="1" t="s">
        <v>53</v>
      </c>
      <c r="O1423" s="1" t="s">
        <v>32</v>
      </c>
      <c r="P1423" s="1" t="s">
        <v>47</v>
      </c>
      <c r="Q1423" s="1">
        <v>45672</v>
      </c>
      <c r="R1423" s="14">
        <v>5</v>
      </c>
      <c r="S1423" s="1" t="s">
        <v>22</v>
      </c>
      <c r="T1423" s="1" t="s">
        <v>22</v>
      </c>
      <c r="U1423" s="1" t="s">
        <v>22</v>
      </c>
    </row>
    <row r="1424" spans="1:21" x14ac:dyDescent="0.25">
      <c r="A1424" s="1" t="s">
        <v>34</v>
      </c>
      <c r="B1424" s="2" t="s">
        <v>65</v>
      </c>
      <c r="C1424" s="1" t="s">
        <v>25</v>
      </c>
      <c r="D1424" s="1" t="s">
        <v>69</v>
      </c>
      <c r="E1424" s="1" t="s">
        <v>37</v>
      </c>
      <c r="F1424" s="1">
        <v>45674</v>
      </c>
      <c r="G1424" s="14" t="s">
        <v>3570</v>
      </c>
      <c r="H1424" t="s">
        <v>70</v>
      </c>
      <c r="I1424" s="2" t="s">
        <v>71</v>
      </c>
      <c r="J1424" s="2">
        <v>0.013888888888888888</v>
      </c>
      <c r="K1424" s="1">
        <v>0.024305555555555556</v>
      </c>
      <c r="L1424" s="1">
        <v>0.03819444444444445</v>
      </c>
      <c r="M1424" s="1" t="s">
        <v>22</v>
      </c>
      <c r="N1424" s="1" t="s">
        <v>31</v>
      </c>
      <c r="O1424" s="1" t="s">
        <v>41</v>
      </c>
      <c r="P1424" s="1" t="s">
        <v>47</v>
      </c>
      <c r="Q1424" s="1">
        <v>45674</v>
      </c>
      <c r="R1424" s="14">
        <v>5</v>
      </c>
      <c r="S1424" s="1" t="s">
        <v>22</v>
      </c>
      <c r="T1424" s="1" t="s">
        <v>22</v>
      </c>
      <c r="U1424" s="1" t="s">
        <v>22</v>
      </c>
    </row>
    <row r="1425" spans="1:21" x14ac:dyDescent="0.25">
      <c r="A1425" s="1" t="s">
        <v>34</v>
      </c>
      <c r="B1425" s="2" t="s">
        <v>72</v>
      </c>
      <c r="C1425" s="1" t="s">
        <v>44</v>
      </c>
      <c r="D1425" s="1" t="s">
        <v>73</v>
      </c>
      <c r="E1425" s="1" t="s">
        <v>27</v>
      </c>
      <c r="F1425" s="1">
        <v>45679</v>
      </c>
      <c r="G1425" s="14" t="s">
        <v>74</v>
      </c>
      <c r="H1425" t="s">
        <v>75</v>
      </c>
      <c r="I1425" s="2" t="s">
        <v>76</v>
      </c>
      <c r="J1425" s="2">
        <v>0.020833333333333332</v>
      </c>
      <c r="K1425" s="1">
        <v>0.027777777777777776</v>
      </c>
      <c r="L1425" s="1">
        <v>0.048611111111111105</v>
      </c>
      <c r="M1425" s="1" t="s">
        <v>22</v>
      </c>
      <c r="N1425" s="1" t="s">
        <v>31</v>
      </c>
      <c r="O1425" s="1" t="s">
        <v>32</v>
      </c>
      <c r="P1425" s="1" t="s">
        <v>47</v>
      </c>
      <c r="Q1425" s="1">
        <v>45679</v>
      </c>
      <c r="R1425" s="14">
        <v>5</v>
      </c>
      <c r="S1425" s="1" t="s">
        <v>22</v>
      </c>
      <c r="T1425" s="1" t="s">
        <v>22</v>
      </c>
      <c r="U1425" s="1" t="s">
        <v>22</v>
      </c>
    </row>
    <row r="1426" spans="1:21" x14ac:dyDescent="0.25">
      <c r="A1426" s="1" t="s">
        <v>34</v>
      </c>
      <c r="B1426" s="2" t="s">
        <v>77</v>
      </c>
      <c r="C1426" s="1" t="s">
        <v>78</v>
      </c>
      <c r="D1426" s="1" t="s">
        <v>79</v>
      </c>
      <c r="E1426" s="1" t="s">
        <v>27</v>
      </c>
      <c r="F1426" s="1">
        <v>45679</v>
      </c>
      <c r="G1426" s="14" t="s">
        <v>80</v>
      </c>
      <c r="H1426" t="s">
        <v>81</v>
      </c>
      <c r="I1426" s="2" t="s">
        <v>82</v>
      </c>
      <c r="J1426" s="2">
        <v>0.020833333333333332</v>
      </c>
      <c r="K1426" s="1">
        <v>0.027777777777777776</v>
      </c>
      <c r="L1426" s="1">
        <v>0.048611111111111105</v>
      </c>
      <c r="M1426" s="1" t="s">
        <v>22</v>
      </c>
      <c r="N1426" s="1" t="s">
        <v>31</v>
      </c>
      <c r="O1426" s="1" t="s">
        <v>32</v>
      </c>
      <c r="P1426" s="1" t="s">
        <v>42</v>
      </c>
      <c r="Q1426" s="1">
        <v>45679</v>
      </c>
      <c r="R1426" s="14">
        <v>5</v>
      </c>
      <c r="S1426" s="1" t="s">
        <v>22</v>
      </c>
      <c r="T1426" s="1" t="s">
        <v>22</v>
      </c>
      <c r="U1426" s="1" t="s">
        <v>22</v>
      </c>
    </row>
    <row r="1427" spans="1:21" x14ac:dyDescent="0.25">
      <c r="A1427" s="1" t="s">
        <v>34</v>
      </c>
      <c r="B1427" s="2" t="s">
        <v>83</v>
      </c>
      <c r="C1427" s="1" t="s">
        <v>78</v>
      </c>
      <c r="D1427" s="1" t="s">
        <v>84</v>
      </c>
      <c r="E1427" s="1" t="s">
        <v>27</v>
      </c>
      <c r="F1427" s="1">
        <v>45681</v>
      </c>
      <c r="G1427" s="14" t="s">
        <v>3570</v>
      </c>
      <c r="H1427" t="s">
        <v>85</v>
      </c>
      <c r="I1427" s="2" t="s">
        <v>86</v>
      </c>
      <c r="J1427" s="2">
        <v>0.020833333333333332</v>
      </c>
      <c r="K1427" s="1">
        <v>0.020833333333333332</v>
      </c>
      <c r="L1427" s="1">
        <v>0.041666666666666664</v>
      </c>
      <c r="M1427" s="1" t="s">
        <v>22</v>
      </c>
      <c r="N1427" s="1" t="s">
        <v>53</v>
      </c>
      <c r="O1427" s="1" t="s">
        <v>32</v>
      </c>
      <c r="P1427" s="1" t="s">
        <v>42</v>
      </c>
      <c r="Q1427" s="1">
        <v>45681</v>
      </c>
      <c r="R1427" s="14">
        <v>5</v>
      </c>
      <c r="S1427" s="1" t="s">
        <v>22</v>
      </c>
      <c r="T1427" s="1" t="s">
        <v>22</v>
      </c>
      <c r="U1427" s="1" t="s">
        <v>22</v>
      </c>
    </row>
    <row r="1428" spans="1:21" x14ac:dyDescent="0.25">
      <c r="A1428" s="1" t="s">
        <v>34</v>
      </c>
      <c r="B1428" s="2" t="s">
        <v>65</v>
      </c>
      <c r="C1428" s="1" t="s">
        <v>25</v>
      </c>
      <c r="D1428" s="1" t="s">
        <v>87</v>
      </c>
      <c r="E1428" s="1" t="s">
        <v>27</v>
      </c>
      <c r="F1428" s="1">
        <v>45685</v>
      </c>
      <c r="G1428" s="14" t="s">
        <v>88</v>
      </c>
      <c r="H1428" t="s">
        <v>89</v>
      </c>
      <c r="I1428" s="2" t="s">
        <v>90</v>
      </c>
      <c r="J1428" s="2">
        <v>0.020833333333333332</v>
      </c>
      <c r="K1428" s="1">
        <v>0.04861111111111111</v>
      </c>
      <c r="L1428" s="1">
        <v>0.06944444444444445</v>
      </c>
      <c r="M1428" s="1" t="s">
        <v>22</v>
      </c>
      <c r="N1428" s="1" t="s">
        <v>32</v>
      </c>
      <c r="O1428" s="1" t="s">
        <v>41</v>
      </c>
      <c r="P1428" s="1" t="s">
        <v>47</v>
      </c>
      <c r="Q1428" s="1">
        <v>45685</v>
      </c>
      <c r="R1428" s="14">
        <v>5</v>
      </c>
      <c r="S1428" s="1" t="s">
        <v>22</v>
      </c>
      <c r="T1428" s="1" t="s">
        <v>22</v>
      </c>
      <c r="U1428" s="1" t="s">
        <v>22</v>
      </c>
    </row>
    <row r="1429" spans="1:21" x14ac:dyDescent="0.25">
      <c r="A1429" s="1" t="s">
        <v>34</v>
      </c>
      <c r="B1429" s="2" t="s">
        <v>91</v>
      </c>
      <c r="C1429" s="1" t="s">
        <v>25</v>
      </c>
      <c r="D1429" s="1" t="s">
        <v>92</v>
      </c>
      <c r="E1429" s="1" t="s">
        <v>37</v>
      </c>
      <c r="F1429" s="1">
        <v>45685</v>
      </c>
      <c r="G1429" s="14" t="s">
        <v>28</v>
      </c>
      <c r="H1429" t="s">
        <v>93</v>
      </c>
      <c r="I1429" s="2" t="s">
        <v>94</v>
      </c>
      <c r="J1429" s="2">
        <v>0.020833333333333332</v>
      </c>
      <c r="K1429" s="1">
        <v>0.03819444444444445</v>
      </c>
      <c r="L1429" s="1">
        <v>0.059027777777777776</v>
      </c>
      <c r="M1429" s="1" t="s">
        <v>22</v>
      </c>
      <c r="N1429" s="1" t="s">
        <v>31</v>
      </c>
      <c r="O1429" s="1" t="s">
        <v>32</v>
      </c>
      <c r="P1429" s="1" t="s">
        <v>47</v>
      </c>
      <c r="Q1429" s="1">
        <v>45685</v>
      </c>
      <c r="R1429" s="14">
        <v>5</v>
      </c>
      <c r="S1429" s="1" t="s">
        <v>22</v>
      </c>
      <c r="T1429" s="1" t="s">
        <v>22</v>
      </c>
      <c r="U1429" s="1" t="s">
        <v>22</v>
      </c>
    </row>
    <row r="1430" spans="1:21" x14ac:dyDescent="0.25">
      <c r="A1430" s="1" t="s">
        <v>34</v>
      </c>
      <c r="B1430" s="2" t="s">
        <v>60</v>
      </c>
      <c r="C1430" s="1" t="s">
        <v>61</v>
      </c>
      <c r="D1430" s="1" t="s">
        <v>95</v>
      </c>
      <c r="E1430" s="1" t="s">
        <v>37</v>
      </c>
      <c r="F1430" s="1">
        <v>45685</v>
      </c>
      <c r="G1430" s="14" t="s">
        <v>96</v>
      </c>
      <c r="H1430" t="s">
        <v>97</v>
      </c>
      <c r="I1430" s="2" t="s">
        <v>98</v>
      </c>
      <c r="J1430" s="2">
        <v>0.020833333333333332</v>
      </c>
      <c r="K1430" s="1">
        <v>0.034722222222222224</v>
      </c>
      <c r="L1430" s="1">
        <v>0.05555555555555555</v>
      </c>
      <c r="M1430" s="1" t="s">
        <v>22</v>
      </c>
      <c r="N1430" s="1" t="s">
        <v>31</v>
      </c>
      <c r="O1430" s="1" t="s">
        <v>32</v>
      </c>
      <c r="P1430" s="1" t="s">
        <v>47</v>
      </c>
      <c r="Q1430" s="1">
        <v>45685</v>
      </c>
      <c r="R1430" s="14">
        <v>5</v>
      </c>
      <c r="S1430" s="1" t="s">
        <v>22</v>
      </c>
      <c r="T1430" s="1" t="s">
        <v>22</v>
      </c>
      <c r="U1430" s="1" t="s">
        <v>22</v>
      </c>
    </row>
    <row r="1431" spans="1:21" x14ac:dyDescent="0.25">
      <c r="A1431" s="1" t="s">
        <v>34</v>
      </c>
      <c r="B1431" s="2" t="s">
        <v>99</v>
      </c>
      <c r="C1431" s="1" t="s">
        <v>25</v>
      </c>
      <c r="D1431" s="1" t="s">
        <v>100</v>
      </c>
      <c r="E1431" s="1" t="s">
        <v>27</v>
      </c>
      <c r="F1431" s="1">
        <v>45685</v>
      </c>
      <c r="G1431" s="14" t="s">
        <v>88</v>
      </c>
      <c r="H1431" t="s">
        <v>101</v>
      </c>
      <c r="I1431" s="2" t="s">
        <v>102</v>
      </c>
      <c r="J1431" s="2">
        <v>0.020833333333333332</v>
      </c>
      <c r="K1431" s="1">
        <v>0.020833333333333332</v>
      </c>
      <c r="L1431" s="1">
        <v>0.041666666666666664</v>
      </c>
      <c r="M1431" s="1" t="s">
        <v>22</v>
      </c>
      <c r="N1431" s="1" t="s">
        <v>31</v>
      </c>
      <c r="O1431" s="1" t="s">
        <v>32</v>
      </c>
      <c r="P1431" s="1" t="s">
        <v>47</v>
      </c>
      <c r="Q1431" s="1">
        <v>45685</v>
      </c>
      <c r="R1431" s="14">
        <v>5</v>
      </c>
      <c r="S1431" s="1" t="s">
        <v>22</v>
      </c>
      <c r="T1431" s="1" t="s">
        <v>22</v>
      </c>
      <c r="U1431" s="1" t="s">
        <v>22</v>
      </c>
    </row>
    <row r="1432" spans="1:21" x14ac:dyDescent="0.25">
      <c r="A1432" s="1" t="s">
        <v>34</v>
      </c>
      <c r="B1432" s="2" t="s">
        <v>24</v>
      </c>
      <c r="C1432" s="1" t="s">
        <v>25</v>
      </c>
      <c r="D1432" s="1" t="s">
        <v>103</v>
      </c>
      <c r="E1432" s="1" t="s">
        <v>27</v>
      </c>
      <c r="F1432" s="1">
        <v>45685</v>
      </c>
      <c r="G1432" s="14" t="s">
        <v>88</v>
      </c>
      <c r="H1432" t="s">
        <v>104</v>
      </c>
      <c r="I1432" s="2" t="s">
        <v>104</v>
      </c>
      <c r="J1432" s="2">
        <v>0.020833333333333332</v>
      </c>
      <c r="K1432" s="1">
        <v>0.041666666666666664</v>
      </c>
      <c r="L1432" s="1">
        <v>0.0625</v>
      </c>
      <c r="M1432" s="1" t="s">
        <v>22</v>
      </c>
      <c r="N1432" s="1" t="s">
        <v>31</v>
      </c>
      <c r="O1432" s="1" t="s">
        <v>41</v>
      </c>
      <c r="P1432" s="1" t="s">
        <v>47</v>
      </c>
      <c r="Q1432" s="1">
        <v>45685</v>
      </c>
      <c r="R1432" s="14">
        <v>5</v>
      </c>
      <c r="S1432" s="1" t="s">
        <v>22</v>
      </c>
      <c r="T1432" s="1" t="s">
        <v>22</v>
      </c>
      <c r="U1432" s="1" t="s">
        <v>22</v>
      </c>
    </row>
    <row r="1433" spans="1:21" x14ac:dyDescent="0.25">
      <c r="A1433" s="1" t="s">
        <v>105</v>
      </c>
      <c r="B1433" s="2" t="s">
        <v>83</v>
      </c>
      <c r="C1433" s="1" t="s">
        <v>78</v>
      </c>
      <c r="D1433" s="1" t="s">
        <v>106</v>
      </c>
      <c r="E1433" s="1" t="s">
        <v>27</v>
      </c>
      <c r="F1433" s="1">
        <v>45694</v>
      </c>
      <c r="G1433" s="14" t="s">
        <v>88</v>
      </c>
      <c r="H1433" t="s">
        <v>107</v>
      </c>
      <c r="I1433" s="2" t="s">
        <v>107</v>
      </c>
      <c r="J1433" s="2">
        <v>0.013888888888888888</v>
      </c>
      <c r="K1433" s="1">
        <v>0.020833333333333332</v>
      </c>
      <c r="L1433" s="1">
        <v>0.034722222222222224</v>
      </c>
      <c r="M1433" s="1" t="s">
        <v>22</v>
      </c>
      <c r="N1433" s="1" t="s">
        <v>31</v>
      </c>
      <c r="O1433" s="1" t="s">
        <v>32</v>
      </c>
      <c r="P1433" s="1" t="s">
        <v>42</v>
      </c>
      <c r="Q1433" s="1">
        <v>45694</v>
      </c>
      <c r="R1433" s="14">
        <v>5</v>
      </c>
      <c r="S1433" s="1" t="s">
        <v>22</v>
      </c>
      <c r="T1433" s="1" t="s">
        <v>22</v>
      </c>
      <c r="U1433" s="1" t="s">
        <v>22</v>
      </c>
    </row>
    <row r="1434" spans="1:21" x14ac:dyDescent="0.25">
      <c r="A1434" s="1" t="s">
        <v>105</v>
      </c>
      <c r="B1434" s="2" t="s">
        <v>108</v>
      </c>
      <c r="C1434" s="1" t="s">
        <v>78</v>
      </c>
      <c r="D1434" s="1" t="s">
        <v>109</v>
      </c>
      <c r="E1434" s="1" t="s">
        <v>27</v>
      </c>
      <c r="F1434" s="1">
        <v>45694</v>
      </c>
      <c r="G1434" s="14" t="s">
        <v>88</v>
      </c>
      <c r="H1434" t="s">
        <v>110</v>
      </c>
      <c r="I1434" s="2" t="s">
        <v>111</v>
      </c>
      <c r="J1434" s="2">
        <v>0.020833333333333332</v>
      </c>
      <c r="K1434" s="1">
        <v>0.034722222222222224</v>
      </c>
      <c r="L1434" s="1">
        <v>0.05555555555555555</v>
      </c>
      <c r="M1434" s="1" t="s">
        <v>22</v>
      </c>
      <c r="N1434" s="1" t="s">
        <v>53</v>
      </c>
      <c r="O1434" s="1" t="s">
        <v>32</v>
      </c>
      <c r="P1434" s="1" t="s">
        <v>112</v>
      </c>
      <c r="Q1434" s="1">
        <v>45694</v>
      </c>
      <c r="R1434" s="14">
        <v>5</v>
      </c>
      <c r="S1434" s="1" t="s">
        <v>22</v>
      </c>
      <c r="T1434" s="1" t="s">
        <v>22</v>
      </c>
      <c r="U1434" s="1" t="s">
        <v>22</v>
      </c>
    </row>
    <row r="1435" spans="1:21" x14ac:dyDescent="0.25">
      <c r="A1435" s="1" t="s">
        <v>105</v>
      </c>
      <c r="B1435" s="2" t="s">
        <v>113</v>
      </c>
      <c r="C1435" s="1" t="s">
        <v>25</v>
      </c>
      <c r="D1435" s="1" t="s">
        <v>114</v>
      </c>
      <c r="E1435" s="1" t="s">
        <v>37</v>
      </c>
      <c r="F1435" s="1">
        <v>45700</v>
      </c>
      <c r="G1435" s="14" t="s">
        <v>28</v>
      </c>
      <c r="H1435" t="s">
        <v>115</v>
      </c>
      <c r="I1435" s="2" t="s">
        <v>116</v>
      </c>
      <c r="J1435" s="2">
        <v>0.03125</v>
      </c>
      <c r="K1435" s="1">
        <v>0.06597222222222222</v>
      </c>
      <c r="L1435" s="1">
        <v>0.09722222222222222</v>
      </c>
      <c r="M1435" s="1" t="s">
        <v>22</v>
      </c>
      <c r="N1435" s="1" t="s">
        <v>31</v>
      </c>
      <c r="O1435" s="1" t="s">
        <v>41</v>
      </c>
      <c r="P1435" s="1" t="s">
        <v>117</v>
      </c>
      <c r="Q1435" s="1">
        <v>45700</v>
      </c>
      <c r="R1435" s="14">
        <v>5</v>
      </c>
      <c r="S1435" s="1" t="s">
        <v>22</v>
      </c>
      <c r="T1435" s="1" t="s">
        <v>22</v>
      </c>
      <c r="U1435" s="1" t="s">
        <v>22</v>
      </c>
    </row>
    <row r="1436" spans="1:21" x14ac:dyDescent="0.25">
      <c r="A1436" s="1" t="s">
        <v>105</v>
      </c>
      <c r="B1436" s="2" t="s">
        <v>118</v>
      </c>
      <c r="C1436" s="1" t="s">
        <v>25</v>
      </c>
      <c r="D1436" s="1" t="s">
        <v>119</v>
      </c>
      <c r="E1436" s="1" t="s">
        <v>27</v>
      </c>
      <c r="F1436" s="1">
        <v>45701</v>
      </c>
      <c r="G1436" s="14" t="s">
        <v>88</v>
      </c>
      <c r="H1436" t="s">
        <v>120</v>
      </c>
      <c r="I1436" s="2" t="s">
        <v>121</v>
      </c>
      <c r="J1436" s="2">
        <v>0.041666666666666664</v>
      </c>
      <c r="K1436" s="1">
        <v>0.041666666666666664</v>
      </c>
      <c r="L1436" s="1">
        <v>0.08333333333333333</v>
      </c>
      <c r="M1436" s="1" t="s">
        <v>22</v>
      </c>
      <c r="N1436" s="1" t="s">
        <v>31</v>
      </c>
      <c r="O1436" s="1" t="s">
        <v>41</v>
      </c>
      <c r="P1436" s="1" t="s">
        <v>47</v>
      </c>
      <c r="Q1436" s="1">
        <v>45701</v>
      </c>
      <c r="R1436" s="14">
        <v>5</v>
      </c>
      <c r="S1436" s="1" t="s">
        <v>22</v>
      </c>
      <c r="T1436" s="1" t="s">
        <v>22</v>
      </c>
      <c r="U1436" s="1" t="s">
        <v>22</v>
      </c>
    </row>
    <row r="1437" spans="1:21" x14ac:dyDescent="0.25">
      <c r="A1437" s="1" t="s">
        <v>105</v>
      </c>
      <c r="B1437" s="2" t="s">
        <v>122</v>
      </c>
      <c r="C1437" s="1" t="s">
        <v>123</v>
      </c>
      <c r="D1437" s="1" t="s">
        <v>124</v>
      </c>
      <c r="E1437" s="1" t="s">
        <v>27</v>
      </c>
      <c r="F1437" s="1">
        <v>45705</v>
      </c>
      <c r="G1437" s="14" t="s">
        <v>88</v>
      </c>
      <c r="H1437" t="s">
        <v>125</v>
      </c>
      <c r="I1437" s="2" t="s">
        <v>126</v>
      </c>
      <c r="J1437" s="2">
        <v>0.006944444444444444</v>
      </c>
      <c r="K1437" s="1">
        <v>0.034722222222222224</v>
      </c>
      <c r="L1437" s="1">
        <v>0.04166666666666667</v>
      </c>
      <c r="M1437" s="1" t="s">
        <v>22</v>
      </c>
      <c r="N1437" s="1" t="s">
        <v>31</v>
      </c>
      <c r="O1437" s="1" t="s">
        <v>32</v>
      </c>
      <c r="P1437" s="1" t="s">
        <v>47</v>
      </c>
      <c r="Q1437" s="1">
        <v>45705</v>
      </c>
      <c r="R1437" s="14">
        <v>5</v>
      </c>
      <c r="S1437" s="1" t="s">
        <v>22</v>
      </c>
      <c r="T1437" s="1" t="s">
        <v>22</v>
      </c>
      <c r="U1437" s="1" t="s">
        <v>22</v>
      </c>
    </row>
    <row r="1438" spans="1:21" x14ac:dyDescent="0.25">
      <c r="A1438" s="1" t="s">
        <v>105</v>
      </c>
      <c r="B1438" s="2" t="s">
        <v>108</v>
      </c>
      <c r="C1438" s="1" t="s">
        <v>78</v>
      </c>
      <c r="D1438" s="1" t="s">
        <v>109</v>
      </c>
      <c r="E1438" s="1" t="s">
        <v>27</v>
      </c>
      <c r="F1438" s="1">
        <v>45694</v>
      </c>
      <c r="G1438" s="14" t="s">
        <v>88</v>
      </c>
      <c r="H1438" t="s">
        <v>127</v>
      </c>
      <c r="I1438" s="2" t="s">
        <v>128</v>
      </c>
      <c r="J1438" s="2">
        <v>0.006944444444444444</v>
      </c>
      <c r="K1438" s="1">
        <v>0.0625</v>
      </c>
      <c r="L1438" s="1">
        <v>0.06944444444444445</v>
      </c>
      <c r="M1438" s="1" t="s">
        <v>22</v>
      </c>
      <c r="N1438" s="1" t="s">
        <v>31</v>
      </c>
      <c r="O1438" s="1" t="s">
        <v>41</v>
      </c>
      <c r="P1438" s="1" t="s">
        <v>112</v>
      </c>
      <c r="Q1438" s="1">
        <v>45705</v>
      </c>
      <c r="R1438" s="14">
        <v>5</v>
      </c>
      <c r="S1438" s="1" t="s">
        <v>22</v>
      </c>
      <c r="T1438" s="1" t="s">
        <v>22</v>
      </c>
      <c r="U1438" s="1" t="s">
        <v>22</v>
      </c>
    </row>
    <row r="1439" spans="1:21" x14ac:dyDescent="0.25">
      <c r="A1439" s="1" t="s">
        <v>105</v>
      </c>
      <c r="B1439" s="2" t="s">
        <v>43</v>
      </c>
      <c r="C1439" s="1" t="s">
        <v>44</v>
      </c>
      <c r="D1439" s="1" t="s">
        <v>129</v>
      </c>
      <c r="E1439" s="1" t="s">
        <v>37</v>
      </c>
      <c r="F1439" s="1">
        <v>45707</v>
      </c>
      <c r="G1439" s="14" t="s">
        <v>88</v>
      </c>
      <c r="H1439" t="s">
        <v>130</v>
      </c>
      <c r="I1439" s="2" t="s">
        <v>131</v>
      </c>
      <c r="J1439" s="2">
        <v>0.013888888888888888</v>
      </c>
      <c r="K1439" s="1">
        <v>0.020833333333333332</v>
      </c>
      <c r="L1439" s="1">
        <v>0.034722222222222224</v>
      </c>
      <c r="M1439" s="1" t="s">
        <v>22</v>
      </c>
      <c r="N1439" s="1" t="s">
        <v>53</v>
      </c>
      <c r="O1439" s="1" t="s">
        <v>32</v>
      </c>
      <c r="P1439" s="1" t="s">
        <v>47</v>
      </c>
      <c r="Q1439" s="1">
        <v>45707</v>
      </c>
      <c r="R1439" s="14">
        <v>5</v>
      </c>
      <c r="S1439" s="1" t="s">
        <v>22</v>
      </c>
      <c r="T1439" s="1" t="s">
        <v>22</v>
      </c>
      <c r="U1439" s="1" t="s">
        <v>22</v>
      </c>
    </row>
    <row r="1440" spans="1:21" x14ac:dyDescent="0.25">
      <c r="A1440" s="1" t="s">
        <v>105</v>
      </c>
      <c r="B1440" s="2" t="s">
        <v>113</v>
      </c>
      <c r="C1440" s="1" t="s">
        <v>25</v>
      </c>
      <c r="D1440" s="1" t="s">
        <v>132</v>
      </c>
      <c r="E1440" s="1" t="s">
        <v>27</v>
      </c>
      <c r="F1440" s="1">
        <v>45709</v>
      </c>
      <c r="G1440" s="14" t="s">
        <v>133</v>
      </c>
      <c r="H1440" t="s">
        <v>134</v>
      </c>
      <c r="I1440" s="2" t="s">
        <v>135</v>
      </c>
      <c r="J1440" s="2">
        <v>0.013888888888888888</v>
      </c>
      <c r="K1440" s="1">
        <v>0.034722222222222224</v>
      </c>
      <c r="L1440" s="1">
        <v>0.04861111111111111</v>
      </c>
      <c r="M1440" s="1" t="s">
        <v>22</v>
      </c>
      <c r="N1440" s="1" t="s">
        <v>31</v>
      </c>
      <c r="O1440" s="1" t="s">
        <v>32</v>
      </c>
      <c r="P1440" s="1" t="s">
        <v>47</v>
      </c>
      <c r="Q1440" s="1">
        <v>45709</v>
      </c>
      <c r="R1440" s="14">
        <v>5</v>
      </c>
      <c r="S1440" s="1" t="s">
        <v>22</v>
      </c>
      <c r="T1440" s="1" t="s">
        <v>22</v>
      </c>
      <c r="U1440" s="1" t="s">
        <v>22</v>
      </c>
    </row>
    <row r="1441" spans="1:21" x14ac:dyDescent="0.25">
      <c r="A1441" s="1" t="s">
        <v>105</v>
      </c>
      <c r="B1441" s="2" t="s">
        <v>65</v>
      </c>
      <c r="C1441" s="1" t="s">
        <v>25</v>
      </c>
      <c r="D1441" s="1" t="s">
        <v>136</v>
      </c>
      <c r="E1441" s="1" t="s">
        <v>27</v>
      </c>
      <c r="F1441" s="1">
        <v>45712</v>
      </c>
      <c r="G1441" s="14" t="s">
        <v>88</v>
      </c>
      <c r="H1441" t="s">
        <v>137</v>
      </c>
      <c r="I1441" s="2" t="s">
        <v>138</v>
      </c>
      <c r="J1441" s="2">
        <v>0.020833333333333332</v>
      </c>
      <c r="K1441" s="1">
        <v>0.034722222222222224</v>
      </c>
      <c r="L1441" s="1">
        <v>0.05555555555555555</v>
      </c>
      <c r="M1441" s="1" t="s">
        <v>22</v>
      </c>
      <c r="N1441" s="1" t="s">
        <v>53</v>
      </c>
      <c r="O1441" s="1" t="s">
        <v>32</v>
      </c>
      <c r="P1441" s="1" t="s">
        <v>47</v>
      </c>
      <c r="Q1441" s="1">
        <v>45712</v>
      </c>
      <c r="R1441" s="14">
        <v>5</v>
      </c>
      <c r="S1441" s="1" t="s">
        <v>22</v>
      </c>
      <c r="T1441" s="1" t="s">
        <v>22</v>
      </c>
      <c r="U1441" s="1" t="s">
        <v>22</v>
      </c>
    </row>
    <row r="1442" spans="1:21" x14ac:dyDescent="0.25">
      <c r="A1442" s="1" t="s">
        <v>105</v>
      </c>
      <c r="B1442" s="2" t="s">
        <v>60</v>
      </c>
      <c r="C1442" s="1" t="s">
        <v>61</v>
      </c>
      <c r="D1442" s="1" t="s">
        <v>139</v>
      </c>
      <c r="E1442" s="1" t="s">
        <v>37</v>
      </c>
      <c r="F1442" s="1">
        <v>45712</v>
      </c>
      <c r="G1442" s="14" t="s">
        <v>88</v>
      </c>
      <c r="H1442" t="s">
        <v>140</v>
      </c>
      <c r="I1442" s="2" t="s">
        <v>141</v>
      </c>
      <c r="J1442" s="2">
        <v>0.020833333333333332</v>
      </c>
      <c r="K1442" s="1">
        <v>0.03819444444444445</v>
      </c>
      <c r="L1442" s="1">
        <v>0.059027777777777776</v>
      </c>
      <c r="M1442" s="1" t="s">
        <v>22</v>
      </c>
      <c r="N1442" s="1" t="s">
        <v>53</v>
      </c>
      <c r="O1442" s="1" t="s">
        <v>32</v>
      </c>
      <c r="P1442" s="1" t="s">
        <v>47</v>
      </c>
      <c r="Q1442" s="1">
        <v>45712</v>
      </c>
      <c r="R1442" s="14">
        <v>5</v>
      </c>
      <c r="S1442" s="1" t="s">
        <v>22</v>
      </c>
      <c r="T1442" s="1" t="s">
        <v>22</v>
      </c>
      <c r="U1442" s="1" t="s">
        <v>22</v>
      </c>
    </row>
    <row r="1443" spans="1:21" x14ac:dyDescent="0.25">
      <c r="A1443" s="1" t="s">
        <v>105</v>
      </c>
      <c r="B1443" s="2" t="s">
        <v>142</v>
      </c>
      <c r="C1443" s="1" t="s">
        <v>25</v>
      </c>
      <c r="D1443" s="1" t="s">
        <v>143</v>
      </c>
      <c r="E1443" s="1" t="s">
        <v>37</v>
      </c>
      <c r="F1443" s="1">
        <v>45715</v>
      </c>
      <c r="G1443" s="14" t="s">
        <v>88</v>
      </c>
      <c r="H1443" t="s">
        <v>144</v>
      </c>
      <c r="I1443" s="2" t="s">
        <v>144</v>
      </c>
      <c r="J1443" s="2">
        <v>0.034722222222222224</v>
      </c>
      <c r="K1443" s="1">
        <v>0.05555555555555555</v>
      </c>
      <c r="L1443" s="1">
        <v>0.09027777777777778</v>
      </c>
      <c r="M1443" s="1" t="s">
        <v>22</v>
      </c>
      <c r="N1443" s="1" t="s">
        <v>31</v>
      </c>
      <c r="O1443" s="1" t="s">
        <v>32</v>
      </c>
      <c r="P1443" s="1" t="s">
        <v>47</v>
      </c>
      <c r="Q1443" s="1">
        <v>45715</v>
      </c>
      <c r="R1443" s="14">
        <v>5</v>
      </c>
      <c r="S1443" s="1" t="s">
        <v>22</v>
      </c>
      <c r="T1443" s="1" t="s">
        <v>22</v>
      </c>
      <c r="U1443" s="1" t="s">
        <v>22</v>
      </c>
    </row>
    <row r="1444" spans="1:21" x14ac:dyDescent="0.25">
      <c r="A1444" s="1" t="s">
        <v>145</v>
      </c>
      <c r="B1444" s="2" t="s">
        <v>146</v>
      </c>
      <c r="C1444" s="1" t="s">
        <v>147</v>
      </c>
      <c r="D1444" s="1" t="s">
        <v>148</v>
      </c>
      <c r="E1444" s="1" t="s">
        <v>27</v>
      </c>
      <c r="F1444" s="1">
        <v>45719</v>
      </c>
      <c r="G1444" s="14" t="s">
        <v>88</v>
      </c>
      <c r="H1444" t="s">
        <v>149</v>
      </c>
      <c r="I1444" s="2" t="s">
        <v>150</v>
      </c>
      <c r="J1444" s="2">
        <v>0.034722222222222224</v>
      </c>
      <c r="K1444" s="1">
        <v>0.024305555555555556</v>
      </c>
      <c r="L1444" s="1">
        <v>0.059027777777777776</v>
      </c>
      <c r="M1444" s="1" t="s">
        <v>22</v>
      </c>
      <c r="N1444" s="1" t="s">
        <v>31</v>
      </c>
      <c r="O1444" s="1" t="s">
        <v>22</v>
      </c>
      <c r="P1444" s="1" t="s">
        <v>112</v>
      </c>
      <c r="Q1444" s="1">
        <v>45719</v>
      </c>
      <c r="R1444" s="14">
        <v>5</v>
      </c>
      <c r="S1444" s="1" t="s">
        <v>22</v>
      </c>
      <c r="T1444" s="1" t="s">
        <v>22</v>
      </c>
      <c r="U1444" s="1" t="s">
        <v>22</v>
      </c>
    </row>
    <row r="1445" spans="1:21" x14ac:dyDescent="0.25">
      <c r="A1445" s="1" t="s">
        <v>145</v>
      </c>
      <c r="B1445" s="2" t="s">
        <v>65</v>
      </c>
      <c r="C1445" s="1" t="s">
        <v>25</v>
      </c>
      <c r="D1445" s="1" t="s">
        <v>151</v>
      </c>
      <c r="E1445" s="1" t="s">
        <v>37</v>
      </c>
      <c r="F1445" s="1">
        <v>45719</v>
      </c>
      <c r="G1445" s="14" t="s">
        <v>88</v>
      </c>
      <c r="H1445" t="s">
        <v>152</v>
      </c>
      <c r="I1445" s="2" t="s">
        <v>153</v>
      </c>
      <c r="J1445" s="2">
        <v>0.013888888888888888</v>
      </c>
      <c r="K1445" s="1">
        <v>0.020833333333333332</v>
      </c>
      <c r="L1445" s="1">
        <v>0.034722222222222224</v>
      </c>
      <c r="M1445" s="1" t="s">
        <v>22</v>
      </c>
      <c r="N1445" s="1" t="s">
        <v>31</v>
      </c>
      <c r="O1445" s="1" t="s">
        <v>32</v>
      </c>
      <c r="P1445" s="1" t="s">
        <v>112</v>
      </c>
      <c r="Q1445" s="1">
        <v>45719</v>
      </c>
      <c r="R1445" s="14">
        <v>5</v>
      </c>
      <c r="S1445" s="1" t="s">
        <v>22</v>
      </c>
      <c r="T1445" s="1" t="s">
        <v>22</v>
      </c>
      <c r="U1445" s="1" t="s">
        <v>22</v>
      </c>
    </row>
    <row r="1446" spans="1:21" x14ac:dyDescent="0.25">
      <c r="A1446" s="1" t="s">
        <v>145</v>
      </c>
      <c r="B1446" s="2" t="s">
        <v>35</v>
      </c>
      <c r="C1446" s="1" t="s">
        <v>25</v>
      </c>
      <c r="D1446" s="1" t="s">
        <v>154</v>
      </c>
      <c r="E1446" s="1" t="s">
        <v>27</v>
      </c>
      <c r="F1446" s="1">
        <v>45726</v>
      </c>
      <c r="G1446" s="14" t="s">
        <v>3570</v>
      </c>
      <c r="H1446" t="s">
        <v>155</v>
      </c>
      <c r="I1446" s="2" t="s">
        <v>156</v>
      </c>
      <c r="J1446" s="2">
        <v>0.034722222222222224</v>
      </c>
      <c r="K1446" s="1">
        <v>0.052083333333333336</v>
      </c>
      <c r="L1446" s="1">
        <v>0.08680555555555555</v>
      </c>
      <c r="M1446" s="1" t="s">
        <v>22</v>
      </c>
      <c r="N1446" s="1" t="s">
        <v>32</v>
      </c>
      <c r="O1446" s="1" t="s">
        <v>41</v>
      </c>
      <c r="P1446" s="1" t="s">
        <v>42</v>
      </c>
      <c r="Q1446" s="1">
        <v>45726</v>
      </c>
      <c r="R1446" s="14">
        <v>5</v>
      </c>
      <c r="S1446" s="1" t="s">
        <v>22</v>
      </c>
      <c r="T1446" s="1" t="s">
        <v>22</v>
      </c>
      <c r="U1446" s="1" t="s">
        <v>22</v>
      </c>
    </row>
    <row r="1447" spans="1:21" x14ac:dyDescent="0.25">
      <c r="A1447" s="1" t="s">
        <v>145</v>
      </c>
      <c r="B1447" s="2" t="s">
        <v>24</v>
      </c>
      <c r="C1447" s="1" t="s">
        <v>25</v>
      </c>
      <c r="D1447" s="1" t="s">
        <v>157</v>
      </c>
      <c r="E1447" s="1" t="s">
        <v>27</v>
      </c>
      <c r="F1447" s="1">
        <v>45735</v>
      </c>
      <c r="G1447" s="14" t="s">
        <v>3570</v>
      </c>
      <c r="H1447" t="s">
        <v>158</v>
      </c>
      <c r="I1447" s="2" t="s">
        <v>159</v>
      </c>
      <c r="J1447" s="2">
        <v>0.020833333333333332</v>
      </c>
      <c r="K1447" s="1">
        <v>0.027777777777777776</v>
      </c>
      <c r="L1447" s="1">
        <v>0.048611111111111105</v>
      </c>
      <c r="M1447" s="1" t="s">
        <v>22</v>
      </c>
      <c r="N1447" s="1" t="s">
        <v>31</v>
      </c>
      <c r="O1447" s="1" t="s">
        <v>41</v>
      </c>
      <c r="P1447" s="1" t="s">
        <v>112</v>
      </c>
      <c r="Q1447" s="1">
        <v>45735</v>
      </c>
      <c r="R1447" s="14">
        <v>5</v>
      </c>
      <c r="S1447" s="1" t="s">
        <v>22</v>
      </c>
      <c r="T1447" s="1" t="s">
        <v>22</v>
      </c>
      <c r="U1447" s="1" t="s">
        <v>22</v>
      </c>
    </row>
    <row r="1448" spans="1:21" x14ac:dyDescent="0.25">
      <c r="A1448" s="1" t="s">
        <v>145</v>
      </c>
      <c r="B1448" s="2" t="s">
        <v>122</v>
      </c>
      <c r="C1448" s="1" t="s">
        <v>123</v>
      </c>
      <c r="D1448" s="1" t="s">
        <v>160</v>
      </c>
      <c r="E1448" s="1" t="s">
        <v>37</v>
      </c>
      <c r="F1448" s="1">
        <v>45736</v>
      </c>
      <c r="G1448" s="14" t="s">
        <v>3570</v>
      </c>
      <c r="H1448" t="s">
        <v>161</v>
      </c>
      <c r="I1448" s="2" t="s">
        <v>162</v>
      </c>
      <c r="J1448" s="2">
        <v>0.041666666666666664</v>
      </c>
      <c r="K1448" s="1">
        <v>0.07291666666666667</v>
      </c>
      <c r="L1448" s="1">
        <v>0.11458333333333334</v>
      </c>
      <c r="M1448" s="1" t="s">
        <v>22</v>
      </c>
      <c r="N1448" s="1" t="s">
        <v>31</v>
      </c>
      <c r="O1448" s="1" t="s">
        <v>41</v>
      </c>
      <c r="P1448" s="1" t="s">
        <v>47</v>
      </c>
      <c r="Q1448" s="1">
        <v>45736</v>
      </c>
      <c r="R1448" s="14">
        <v>5</v>
      </c>
      <c r="S1448" s="1" t="s">
        <v>22</v>
      </c>
      <c r="T1448" s="1" t="s">
        <v>22</v>
      </c>
      <c r="U1448" s="1" t="s">
        <v>22</v>
      </c>
    </row>
    <row r="1449" spans="1:21" x14ac:dyDescent="0.25">
      <c r="A1449" s="1" t="s">
        <v>145</v>
      </c>
      <c r="B1449" s="2" t="s">
        <v>163</v>
      </c>
      <c r="C1449" s="1" t="s">
        <v>25</v>
      </c>
      <c r="D1449" s="1" t="s">
        <v>164</v>
      </c>
      <c r="E1449" s="1" t="s">
        <v>27</v>
      </c>
      <c r="F1449" s="1">
        <v>45741</v>
      </c>
      <c r="G1449" s="14" t="s">
        <v>3570</v>
      </c>
      <c r="H1449" t="s">
        <v>165</v>
      </c>
      <c r="I1449" s="2" t="s">
        <v>166</v>
      </c>
      <c r="J1449" s="2">
        <v>0.03125</v>
      </c>
      <c r="K1449" s="1">
        <v>0.034722222222222224</v>
      </c>
      <c r="L1449" s="1">
        <v>0.06597222222222222</v>
      </c>
      <c r="M1449" s="1" t="s">
        <v>22</v>
      </c>
      <c r="N1449" s="1" t="s">
        <v>31</v>
      </c>
      <c r="O1449" s="1" t="s">
        <v>32</v>
      </c>
      <c r="P1449" s="1" t="s">
        <v>47</v>
      </c>
      <c r="Q1449" s="1">
        <v>45741</v>
      </c>
      <c r="R1449" s="14">
        <v>5</v>
      </c>
      <c r="S1449" s="1" t="s">
        <v>22</v>
      </c>
      <c r="T1449" s="1" t="s">
        <v>22</v>
      </c>
      <c r="U1449" s="1" t="s">
        <v>22</v>
      </c>
    </row>
    <row r="1450" spans="1:21" x14ac:dyDescent="0.25">
      <c r="A1450" s="1" t="s">
        <v>145</v>
      </c>
      <c r="B1450" s="2" t="s">
        <v>122</v>
      </c>
      <c r="C1450" s="1" t="s">
        <v>123</v>
      </c>
      <c r="D1450" s="1" t="s">
        <v>167</v>
      </c>
      <c r="E1450" s="1" t="s">
        <v>37</v>
      </c>
      <c r="F1450" s="1">
        <v>45742</v>
      </c>
      <c r="G1450" s="14" t="s">
        <v>3570</v>
      </c>
      <c r="H1450" t="s">
        <v>168</v>
      </c>
      <c r="I1450" s="2" t="s">
        <v>169</v>
      </c>
      <c r="J1450" s="2">
        <v>0.013888888888888888</v>
      </c>
      <c r="K1450" s="1">
        <v>0.020833333333333332</v>
      </c>
      <c r="L1450" s="1">
        <v>0.034722222222222224</v>
      </c>
      <c r="M1450" s="1" t="s">
        <v>22</v>
      </c>
      <c r="N1450" s="1" t="s">
        <v>31</v>
      </c>
      <c r="O1450" s="1" t="s">
        <v>32</v>
      </c>
      <c r="P1450" s="1" t="s">
        <v>47</v>
      </c>
      <c r="Q1450" s="1">
        <v>45742</v>
      </c>
      <c r="R1450" s="14">
        <v>5</v>
      </c>
      <c r="S1450" s="1" t="s">
        <v>22</v>
      </c>
      <c r="T1450" s="1" t="s">
        <v>22</v>
      </c>
      <c r="U1450" s="1" t="s">
        <v>22</v>
      </c>
    </row>
    <row r="1451" spans="1:21" x14ac:dyDescent="0.25">
      <c r="A1451" s="1" t="s">
        <v>145</v>
      </c>
      <c r="B1451" s="2" t="s">
        <v>170</v>
      </c>
      <c r="C1451" s="1" t="s">
        <v>25</v>
      </c>
      <c r="D1451" s="1" t="s">
        <v>171</v>
      </c>
      <c r="E1451" s="1" t="s">
        <v>27</v>
      </c>
      <c r="F1451" s="1">
        <v>45742</v>
      </c>
      <c r="G1451" s="14" t="s">
        <v>74</v>
      </c>
      <c r="H1451" t="s">
        <v>172</v>
      </c>
      <c r="I1451" s="2" t="s">
        <v>173</v>
      </c>
      <c r="J1451" s="2">
        <v>0.013888888888888888</v>
      </c>
      <c r="K1451" s="1">
        <v>0.020833333333333332</v>
      </c>
      <c r="L1451" s="1">
        <v>0.034722222222222224</v>
      </c>
      <c r="M1451" s="1" t="s">
        <v>22</v>
      </c>
      <c r="N1451" s="1" t="s">
        <v>31</v>
      </c>
      <c r="O1451" s="1" t="s">
        <v>32</v>
      </c>
      <c r="P1451" s="1" t="s">
        <v>42</v>
      </c>
      <c r="Q1451" s="1">
        <v>45742</v>
      </c>
      <c r="R1451" s="14">
        <v>5</v>
      </c>
      <c r="S1451" s="1" t="s">
        <v>22</v>
      </c>
      <c r="T1451" s="1" t="s">
        <v>22</v>
      </c>
      <c r="U1451" s="1" t="s">
        <v>22</v>
      </c>
    </row>
    <row r="1452" spans="1:21" x14ac:dyDescent="0.25">
      <c r="A1452" s="1" t="s">
        <v>145</v>
      </c>
      <c r="B1452" s="2" t="s">
        <v>170</v>
      </c>
      <c r="C1452" s="1" t="s">
        <v>25</v>
      </c>
      <c r="D1452" s="1" t="s">
        <v>174</v>
      </c>
      <c r="E1452" s="1" t="s">
        <v>27</v>
      </c>
      <c r="F1452" s="1">
        <v>45743</v>
      </c>
      <c r="G1452" s="14" t="s">
        <v>3570</v>
      </c>
      <c r="H1452" t="s">
        <v>175</v>
      </c>
      <c r="I1452" s="2" t="s">
        <v>175</v>
      </c>
      <c r="J1452" s="2">
        <v>0.0625</v>
      </c>
      <c r="K1452" s="1">
        <v>0.05555555555555555</v>
      </c>
      <c r="L1452" s="1">
        <v>0.11805555555555555</v>
      </c>
      <c r="M1452" s="1" t="s">
        <v>22</v>
      </c>
      <c r="N1452" s="1" t="s">
        <v>31</v>
      </c>
      <c r="O1452" s="1" t="s">
        <v>32</v>
      </c>
      <c r="P1452" s="1" t="s">
        <v>42</v>
      </c>
      <c r="Q1452" s="1">
        <v>45743</v>
      </c>
      <c r="R1452" s="14">
        <v>5</v>
      </c>
      <c r="S1452" s="1" t="s">
        <v>22</v>
      </c>
      <c r="T1452" s="1" t="s">
        <v>22</v>
      </c>
      <c r="U1452" s="1" t="s">
        <v>22</v>
      </c>
    </row>
    <row r="1453" spans="1:21" x14ac:dyDescent="0.25">
      <c r="A1453" s="1" t="s">
        <v>145</v>
      </c>
      <c r="B1453" s="2" t="s">
        <v>170</v>
      </c>
      <c r="C1453" s="1" t="s">
        <v>25</v>
      </c>
      <c r="D1453" s="1" t="s">
        <v>171</v>
      </c>
      <c r="E1453" s="1" t="s">
        <v>27</v>
      </c>
      <c r="F1453" s="1">
        <v>45747</v>
      </c>
      <c r="G1453" s="14" t="s">
        <v>74</v>
      </c>
      <c r="H1453" t="s">
        <v>176</v>
      </c>
      <c r="I1453" s="2" t="s">
        <v>177</v>
      </c>
      <c r="J1453" s="2">
        <v>0.013888888888888888</v>
      </c>
      <c r="K1453" s="1">
        <v>0.034722222222222224</v>
      </c>
      <c r="L1453" s="1">
        <v>0.04861111111111111</v>
      </c>
      <c r="M1453" s="1" t="s">
        <v>22</v>
      </c>
      <c r="N1453" s="1" t="s">
        <v>31</v>
      </c>
      <c r="O1453" s="1" t="s">
        <v>32</v>
      </c>
      <c r="P1453" s="1" t="s">
        <v>42</v>
      </c>
      <c r="Q1453" s="1">
        <v>45747</v>
      </c>
      <c r="R1453" s="14">
        <v>5</v>
      </c>
      <c r="S1453" s="1" t="s">
        <v>22</v>
      </c>
      <c r="T1453" s="1" t="s">
        <v>22</v>
      </c>
      <c r="U1453" s="1" t="s">
        <v>22</v>
      </c>
    </row>
    <row r="1454" spans="1:21" x14ac:dyDescent="0.25">
      <c r="A1454" s="1" t="s">
        <v>178</v>
      </c>
      <c r="B1454" s="2" t="s">
        <v>91</v>
      </c>
      <c r="C1454" s="1" t="s">
        <v>25</v>
      </c>
      <c r="D1454" s="1" t="s">
        <v>179</v>
      </c>
      <c r="E1454" s="1" t="s">
        <v>37</v>
      </c>
      <c r="F1454" s="1">
        <v>45749</v>
      </c>
      <c r="G1454" s="14" t="s">
        <v>28</v>
      </c>
      <c r="H1454" t="s">
        <v>180</v>
      </c>
      <c r="I1454" s="2" t="s">
        <v>181</v>
      </c>
      <c r="J1454" s="2">
        <v>0.020833333333333332</v>
      </c>
      <c r="K1454" s="1">
        <v>0.05555555555555555</v>
      </c>
      <c r="L1454" s="1">
        <v>0.07638888888888888</v>
      </c>
      <c r="M1454" s="1" t="s">
        <v>22</v>
      </c>
      <c r="N1454" s="1" t="s">
        <v>31</v>
      </c>
      <c r="O1454" s="1" t="s">
        <v>32</v>
      </c>
      <c r="P1454" s="1" t="s">
        <v>47</v>
      </c>
      <c r="Q1454" s="1">
        <v>45749</v>
      </c>
      <c r="R1454" s="14">
        <v>5</v>
      </c>
      <c r="S1454" s="1" t="s">
        <v>22</v>
      </c>
      <c r="T1454" s="1" t="s">
        <v>22</v>
      </c>
      <c r="U1454" s="1" t="s">
        <v>22</v>
      </c>
    </row>
    <row r="1455" spans="1:21" x14ac:dyDescent="0.25">
      <c r="A1455" s="1" t="s">
        <v>178</v>
      </c>
      <c r="B1455" s="2" t="s">
        <v>113</v>
      </c>
      <c r="C1455" s="1" t="s">
        <v>25</v>
      </c>
      <c r="D1455" s="1" t="s">
        <v>182</v>
      </c>
      <c r="E1455" s="1" t="s">
        <v>37</v>
      </c>
      <c r="F1455" s="1">
        <v>45749</v>
      </c>
      <c r="G1455" s="14" t="s">
        <v>28</v>
      </c>
      <c r="H1455" t="s">
        <v>183</v>
      </c>
      <c r="I1455" s="2" t="s">
        <v>184</v>
      </c>
      <c r="J1455" s="2">
        <v>0.03125</v>
      </c>
      <c r="K1455" s="1">
        <v>0.03819444444444445</v>
      </c>
      <c r="L1455" s="1">
        <v>0.06944444444444445</v>
      </c>
      <c r="M1455" s="1" t="s">
        <v>22</v>
      </c>
      <c r="N1455" s="1" t="s">
        <v>31</v>
      </c>
      <c r="O1455" s="1" t="s">
        <v>32</v>
      </c>
      <c r="P1455" s="1" t="s">
        <v>47</v>
      </c>
      <c r="Q1455" s="1">
        <v>45749</v>
      </c>
      <c r="R1455" s="14">
        <v>5</v>
      </c>
      <c r="S1455" s="1" t="s">
        <v>22</v>
      </c>
      <c r="T1455" s="1" t="s">
        <v>22</v>
      </c>
      <c r="U1455" s="1" t="s">
        <v>22</v>
      </c>
    </row>
    <row r="1456" spans="1:21" x14ac:dyDescent="0.25">
      <c r="A1456" s="1" t="s">
        <v>178</v>
      </c>
      <c r="B1456" s="2" t="s">
        <v>185</v>
      </c>
      <c r="C1456" s="1" t="s">
        <v>186</v>
      </c>
      <c r="D1456" s="1" t="s">
        <v>187</v>
      </c>
      <c r="E1456" s="1" t="s">
        <v>27</v>
      </c>
      <c r="F1456" s="1">
        <v>45750</v>
      </c>
      <c r="G1456" s="14" t="s">
        <v>74</v>
      </c>
      <c r="H1456" t="s">
        <v>188</v>
      </c>
      <c r="I1456" s="2" t="s">
        <v>189</v>
      </c>
      <c r="J1456" s="2">
        <v>0.020833333333333332</v>
      </c>
      <c r="K1456" s="1">
        <v>0.034722222222222224</v>
      </c>
      <c r="L1456" s="1">
        <v>0.05555555555555555</v>
      </c>
      <c r="M1456" s="1" t="s">
        <v>22</v>
      </c>
      <c r="N1456" s="1" t="s">
        <v>31</v>
      </c>
      <c r="O1456" s="1" t="s">
        <v>32</v>
      </c>
      <c r="P1456" s="1" t="s">
        <v>47</v>
      </c>
      <c r="Q1456" s="1">
        <v>45750</v>
      </c>
      <c r="R1456" s="14">
        <v>5</v>
      </c>
      <c r="S1456" s="1" t="s">
        <v>22</v>
      </c>
      <c r="T1456" s="1" t="s">
        <v>22</v>
      </c>
      <c r="U1456" s="1" t="s">
        <v>22</v>
      </c>
    </row>
    <row r="1457" spans="1:21" x14ac:dyDescent="0.25">
      <c r="A1457" s="1" t="s">
        <v>178</v>
      </c>
      <c r="B1457" s="2" t="s">
        <v>65</v>
      </c>
      <c r="C1457" s="1" t="s">
        <v>25</v>
      </c>
      <c r="D1457" s="1" t="s">
        <v>190</v>
      </c>
      <c r="E1457" s="1" t="s">
        <v>27</v>
      </c>
      <c r="F1457" s="1">
        <v>45754</v>
      </c>
      <c r="G1457" s="14" t="s">
        <v>28</v>
      </c>
      <c r="H1457" t="s">
        <v>191</v>
      </c>
      <c r="I1457" s="2" t="s">
        <v>192</v>
      </c>
      <c r="J1457" s="2">
        <v>0.020833333333333332</v>
      </c>
      <c r="K1457" s="1">
        <v>0.027777777777777776</v>
      </c>
      <c r="L1457" s="1">
        <v>0.048611111111111105</v>
      </c>
      <c r="M1457" s="1" t="s">
        <v>22</v>
      </c>
      <c r="N1457" s="1" t="s">
        <v>53</v>
      </c>
      <c r="O1457" s="1" t="s">
        <v>32</v>
      </c>
      <c r="P1457" s="1" t="s">
        <v>47</v>
      </c>
      <c r="Q1457" s="1">
        <v>45754</v>
      </c>
      <c r="R1457" s="14">
        <v>5</v>
      </c>
      <c r="S1457" s="1" t="s">
        <v>22</v>
      </c>
      <c r="T1457" s="1" t="s">
        <v>22</v>
      </c>
      <c r="U1457" s="1" t="s">
        <v>22</v>
      </c>
    </row>
    <row r="1458" spans="1:21" x14ac:dyDescent="0.25">
      <c r="A1458" s="1" t="s">
        <v>178</v>
      </c>
      <c r="B1458" s="2" t="s">
        <v>108</v>
      </c>
      <c r="C1458" s="1" t="s">
        <v>78</v>
      </c>
      <c r="D1458" s="1" t="s">
        <v>193</v>
      </c>
      <c r="E1458" s="1" t="s">
        <v>37</v>
      </c>
      <c r="F1458" s="1">
        <v>45756</v>
      </c>
      <c r="G1458" s="14" t="s">
        <v>28</v>
      </c>
      <c r="H1458" t="s">
        <v>194</v>
      </c>
      <c r="I1458" s="2" t="s">
        <v>195</v>
      </c>
      <c r="J1458" s="2">
        <v>0.020833333333333332</v>
      </c>
      <c r="K1458" s="1">
        <v>0.034722222222222224</v>
      </c>
      <c r="L1458" s="1">
        <v>0.05555555555555555</v>
      </c>
      <c r="M1458" s="1" t="s">
        <v>22</v>
      </c>
      <c r="N1458" s="1" t="s">
        <v>53</v>
      </c>
      <c r="O1458" s="1" t="s">
        <v>32</v>
      </c>
      <c r="P1458" s="1" t="s">
        <v>42</v>
      </c>
      <c r="Q1458" s="1">
        <v>45756</v>
      </c>
      <c r="R1458" s="14">
        <v>5</v>
      </c>
      <c r="S1458" s="1" t="s">
        <v>22</v>
      </c>
      <c r="T1458" s="1" t="s">
        <v>22</v>
      </c>
      <c r="U1458" s="1" t="s">
        <v>22</v>
      </c>
    </row>
    <row r="1459" spans="1:21" x14ac:dyDescent="0.25">
      <c r="A1459" s="1" t="s">
        <v>178</v>
      </c>
      <c r="B1459" s="2" t="s">
        <v>60</v>
      </c>
      <c r="C1459" s="1" t="s">
        <v>61</v>
      </c>
      <c r="D1459" s="1" t="s">
        <v>196</v>
      </c>
      <c r="E1459" s="1" t="s">
        <v>37</v>
      </c>
      <c r="F1459" s="1">
        <v>45757</v>
      </c>
      <c r="G1459" s="14" t="s">
        <v>3570</v>
      </c>
      <c r="H1459" t="s">
        <v>197</v>
      </c>
      <c r="I1459" s="2" t="s">
        <v>198</v>
      </c>
      <c r="J1459" s="2">
        <v>0.020833333333333332</v>
      </c>
      <c r="K1459" s="1">
        <v>0.027777777777777776</v>
      </c>
      <c r="L1459" s="1">
        <v>0.048611111111111105</v>
      </c>
      <c r="M1459" s="1" t="s">
        <v>22</v>
      </c>
      <c r="N1459" s="1" t="s">
        <v>53</v>
      </c>
      <c r="O1459" s="1" t="s">
        <v>32</v>
      </c>
      <c r="P1459" s="1" t="s">
        <v>47</v>
      </c>
      <c r="Q1459" s="1">
        <v>45757</v>
      </c>
      <c r="R1459" s="14">
        <v>5</v>
      </c>
      <c r="S1459" s="1" t="s">
        <v>22</v>
      </c>
      <c r="T1459" s="1" t="s">
        <v>22</v>
      </c>
      <c r="U1459" s="1" t="s">
        <v>22</v>
      </c>
    </row>
    <row r="1460" spans="1:21" x14ac:dyDescent="0.25">
      <c r="A1460" s="1" t="s">
        <v>178</v>
      </c>
      <c r="B1460" s="2" t="s">
        <v>199</v>
      </c>
      <c r="C1460" s="1" t="s">
        <v>200</v>
      </c>
      <c r="D1460" s="1" t="s">
        <v>201</v>
      </c>
      <c r="E1460" s="1" t="s">
        <v>37</v>
      </c>
      <c r="F1460" s="1">
        <v>45757</v>
      </c>
      <c r="G1460" s="14" t="s">
        <v>3570</v>
      </c>
      <c r="H1460" t="s">
        <v>202</v>
      </c>
      <c r="I1460" s="2" t="s">
        <v>203</v>
      </c>
      <c r="J1460" s="2">
        <v>0.020833333333333332</v>
      </c>
      <c r="K1460" s="1">
        <v>0.027777777777777776</v>
      </c>
      <c r="L1460" s="1">
        <v>0.048611111111111105</v>
      </c>
      <c r="M1460" s="1" t="s">
        <v>22</v>
      </c>
      <c r="N1460" s="1" t="s">
        <v>53</v>
      </c>
      <c r="O1460" s="1" t="s">
        <v>32</v>
      </c>
      <c r="P1460" s="1" t="s">
        <v>42</v>
      </c>
      <c r="Q1460" s="1">
        <v>45757</v>
      </c>
      <c r="R1460" s="14">
        <v>4</v>
      </c>
      <c r="S1460" s="1" t="s">
        <v>22</v>
      </c>
      <c r="T1460" s="1" t="s">
        <v>22</v>
      </c>
      <c r="U1460" s="1" t="s">
        <v>22</v>
      </c>
    </row>
    <row r="1461" spans="1:21" x14ac:dyDescent="0.25">
      <c r="A1461" s="1" t="s">
        <v>178</v>
      </c>
      <c r="B1461" s="2" t="s">
        <v>113</v>
      </c>
      <c r="C1461" s="1" t="s">
        <v>25</v>
      </c>
      <c r="D1461" s="1" t="s">
        <v>204</v>
      </c>
      <c r="E1461" s="1" t="s">
        <v>37</v>
      </c>
      <c r="F1461" s="1">
        <v>45758</v>
      </c>
      <c r="G1461" s="14" t="s">
        <v>28</v>
      </c>
      <c r="H1461" t="s">
        <v>205</v>
      </c>
      <c r="I1461" s="2" t="s">
        <v>206</v>
      </c>
      <c r="J1461" s="2">
        <v>0.013888888888888888</v>
      </c>
      <c r="K1461" s="1">
        <v>0.010416666666666666</v>
      </c>
      <c r="L1461" s="1">
        <v>0.024305555555555552</v>
      </c>
      <c r="M1461" s="1" t="s">
        <v>22</v>
      </c>
      <c r="N1461" s="1" t="s">
        <v>53</v>
      </c>
      <c r="O1461" s="1" t="s">
        <v>32</v>
      </c>
      <c r="P1461" s="1" t="s">
        <v>47</v>
      </c>
      <c r="Q1461" s="1">
        <v>45758</v>
      </c>
      <c r="R1461" s="14">
        <v>4</v>
      </c>
      <c r="S1461" s="1" t="s">
        <v>22</v>
      </c>
      <c r="T1461" s="1" t="s">
        <v>22</v>
      </c>
      <c r="U1461" s="1" t="s">
        <v>22</v>
      </c>
    </row>
    <row r="1462" spans="1:21" x14ac:dyDescent="0.25">
      <c r="A1462" s="1" t="s">
        <v>178</v>
      </c>
      <c r="B1462" s="2" t="s">
        <v>108</v>
      </c>
      <c r="C1462" s="1" t="s">
        <v>78</v>
      </c>
      <c r="D1462" s="1" t="s">
        <v>207</v>
      </c>
      <c r="E1462" s="1" t="s">
        <v>37</v>
      </c>
      <c r="F1462" s="1">
        <v>45764</v>
      </c>
      <c r="G1462" s="14" t="s">
        <v>28</v>
      </c>
      <c r="H1462" t="s">
        <v>208</v>
      </c>
      <c r="I1462" s="2" t="s">
        <v>209</v>
      </c>
      <c r="J1462" s="2">
        <v>0.013888888888888888</v>
      </c>
      <c r="K1462" s="1">
        <v>0.0625</v>
      </c>
      <c r="L1462" s="1">
        <v>0.0763888888888889</v>
      </c>
      <c r="M1462" s="1" t="s">
        <v>22</v>
      </c>
      <c r="N1462" s="1" t="s">
        <v>31</v>
      </c>
      <c r="O1462" s="1" t="s">
        <v>210</v>
      </c>
      <c r="P1462" s="1" t="s">
        <v>42</v>
      </c>
      <c r="Q1462" s="1">
        <v>45764</v>
      </c>
      <c r="R1462" s="14">
        <v>4</v>
      </c>
      <c r="S1462" s="1" t="s">
        <v>22</v>
      </c>
      <c r="T1462" s="1" t="s">
        <v>22</v>
      </c>
      <c r="U1462" s="1" t="s">
        <v>22</v>
      </c>
    </row>
    <row r="1463" spans="1:21" x14ac:dyDescent="0.25">
      <c r="A1463" s="1" t="s">
        <v>178</v>
      </c>
      <c r="B1463" s="2" t="s">
        <v>199</v>
      </c>
      <c r="C1463" s="1" t="s">
        <v>200</v>
      </c>
      <c r="D1463" s="1" t="s">
        <v>211</v>
      </c>
      <c r="E1463" s="1" t="s">
        <v>37</v>
      </c>
      <c r="F1463" s="1">
        <v>45764</v>
      </c>
      <c r="G1463" s="14" t="s">
        <v>28</v>
      </c>
      <c r="H1463" t="s">
        <v>212</v>
      </c>
      <c r="I1463" s="2" t="s">
        <v>213</v>
      </c>
      <c r="J1463" s="2">
        <v>0.013888888888888888</v>
      </c>
      <c r="K1463" s="1">
        <v>0.041666666666666664</v>
      </c>
      <c r="L1463" s="1">
        <v>0.05555555555555555</v>
      </c>
      <c r="M1463" s="1" t="s">
        <v>22</v>
      </c>
      <c r="N1463" s="1" t="s">
        <v>31</v>
      </c>
      <c r="O1463" s="1" t="s">
        <v>210</v>
      </c>
      <c r="P1463" s="1" t="s">
        <v>42</v>
      </c>
      <c r="Q1463" s="1">
        <v>45764</v>
      </c>
      <c r="R1463" s="14">
        <v>4</v>
      </c>
      <c r="S1463" s="1" t="s">
        <v>22</v>
      </c>
      <c r="T1463" s="1" t="s">
        <v>22</v>
      </c>
      <c r="U1463" s="1" t="s">
        <v>22</v>
      </c>
    </row>
    <row r="1464" spans="1:21" x14ac:dyDescent="0.25">
      <c r="A1464" s="1" t="s">
        <v>178</v>
      </c>
      <c r="B1464" s="2" t="s">
        <v>199</v>
      </c>
      <c r="C1464" s="1" t="s">
        <v>200</v>
      </c>
      <c r="D1464" s="1" t="s">
        <v>211</v>
      </c>
      <c r="E1464" s="1" t="s">
        <v>37</v>
      </c>
      <c r="F1464" s="1">
        <v>45768</v>
      </c>
      <c r="G1464" s="14" t="s">
        <v>3570</v>
      </c>
      <c r="H1464" t="s">
        <v>214</v>
      </c>
      <c r="I1464" s="2" t="s">
        <v>215</v>
      </c>
      <c r="J1464" s="2">
        <v>0.013888888888888888</v>
      </c>
      <c r="K1464" s="1" t="s">
        <v>22</v>
      </c>
      <c r="L1464" s="1">
        <v>0.013888888888888888</v>
      </c>
      <c r="M1464" s="1" t="s">
        <v>22</v>
      </c>
      <c r="N1464" s="1" t="s">
        <v>31</v>
      </c>
      <c r="O1464" s="1" t="s">
        <v>22</v>
      </c>
      <c r="P1464" s="1" t="s">
        <v>42</v>
      </c>
      <c r="Q1464" s="1">
        <v>45768</v>
      </c>
      <c r="R1464" s="14">
        <v>4</v>
      </c>
      <c r="S1464" s="1" t="s">
        <v>22</v>
      </c>
      <c r="T1464" s="1" t="s">
        <v>22</v>
      </c>
      <c r="U1464" s="1" t="s">
        <v>22</v>
      </c>
    </row>
    <row r="1465" spans="1:21" x14ac:dyDescent="0.25">
      <c r="A1465" s="1" t="s">
        <v>178</v>
      </c>
      <c r="B1465" s="2" t="s">
        <v>122</v>
      </c>
      <c r="C1465" s="1" t="s">
        <v>123</v>
      </c>
      <c r="D1465" s="1" t="s">
        <v>216</v>
      </c>
      <c r="E1465" s="1" t="s">
        <v>27</v>
      </c>
      <c r="F1465" s="1">
        <v>45770</v>
      </c>
      <c r="G1465" s="14" t="s">
        <v>3570</v>
      </c>
      <c r="H1465" t="s">
        <v>217</v>
      </c>
      <c r="I1465" s="2" t="s">
        <v>218</v>
      </c>
      <c r="J1465" s="2">
        <v>0.03125</v>
      </c>
      <c r="K1465" s="1">
        <v>0.020833333333333332</v>
      </c>
      <c r="L1465" s="1">
        <v>0.05208333333333333</v>
      </c>
      <c r="M1465" s="1" t="s">
        <v>22</v>
      </c>
      <c r="N1465" s="1" t="s">
        <v>31</v>
      </c>
      <c r="O1465" s="1" t="s">
        <v>32</v>
      </c>
      <c r="P1465" s="1" t="s">
        <v>47</v>
      </c>
      <c r="Q1465" s="1">
        <v>45770</v>
      </c>
      <c r="R1465" s="14">
        <v>5</v>
      </c>
      <c r="S1465" s="1" t="s">
        <v>22</v>
      </c>
      <c r="T1465" s="1" t="s">
        <v>22</v>
      </c>
      <c r="U1465" s="1" t="s">
        <v>22</v>
      </c>
    </row>
    <row r="1466" spans="1:21" x14ac:dyDescent="0.25">
      <c r="A1466" s="1" t="s">
        <v>178</v>
      </c>
      <c r="B1466" s="2" t="s">
        <v>219</v>
      </c>
      <c r="C1466" s="1" t="s">
        <v>147</v>
      </c>
      <c r="D1466" s="1" t="s">
        <v>220</v>
      </c>
      <c r="E1466" s="1" t="s">
        <v>27</v>
      </c>
      <c r="F1466" s="1">
        <v>45771</v>
      </c>
      <c r="G1466" s="14" t="s">
        <v>3570</v>
      </c>
      <c r="H1466" t="s">
        <v>221</v>
      </c>
      <c r="I1466" s="2" t="s">
        <v>222</v>
      </c>
      <c r="J1466" s="2">
        <v>0.017361111111111112</v>
      </c>
      <c r="K1466" s="1">
        <v>0.020833333333333332</v>
      </c>
      <c r="L1466" s="1">
        <v>0.03819444444444445</v>
      </c>
      <c r="M1466" s="1" t="s">
        <v>22</v>
      </c>
      <c r="N1466" s="1" t="s">
        <v>32</v>
      </c>
      <c r="O1466" s="1" t="s">
        <v>210</v>
      </c>
      <c r="P1466" s="1" t="s">
        <v>47</v>
      </c>
      <c r="Q1466" s="1">
        <v>45771</v>
      </c>
      <c r="R1466" s="14">
        <v>5</v>
      </c>
      <c r="S1466" s="1" t="s">
        <v>22</v>
      </c>
      <c r="T1466" s="1" t="s">
        <v>22</v>
      </c>
      <c r="U1466" s="1" t="s">
        <v>22</v>
      </c>
    </row>
    <row r="1467" spans="1:21" x14ac:dyDescent="0.25">
      <c r="A1467" s="1" t="s">
        <v>178</v>
      </c>
      <c r="B1467" s="2" t="s">
        <v>223</v>
      </c>
      <c r="C1467" s="1" t="s">
        <v>147</v>
      </c>
      <c r="D1467" s="1" t="s">
        <v>224</v>
      </c>
      <c r="E1467" s="1" t="s">
        <v>27</v>
      </c>
      <c r="F1467" s="1">
        <v>45777</v>
      </c>
      <c r="G1467" s="14" t="s">
        <v>3570</v>
      </c>
      <c r="H1467" t="s">
        <v>225</v>
      </c>
      <c r="I1467" s="2" t="s">
        <v>226</v>
      </c>
      <c r="J1467" s="2">
        <v>0.041666666666666664</v>
      </c>
      <c r="K1467" s="1">
        <v>0.034722222222222224</v>
      </c>
      <c r="L1467" s="1">
        <v>0.0763888888888889</v>
      </c>
      <c r="M1467" s="1" t="s">
        <v>22</v>
      </c>
      <c r="N1467" s="1" t="s">
        <v>31</v>
      </c>
      <c r="O1467" s="1" t="s">
        <v>32</v>
      </c>
      <c r="P1467" s="1" t="s">
        <v>42</v>
      </c>
      <c r="Q1467" s="1">
        <v>45777</v>
      </c>
      <c r="R1467" s="14" t="s">
        <v>22</v>
      </c>
      <c r="S1467" s="1" t="s">
        <v>22</v>
      </c>
      <c r="T1467" s="1" t="s">
        <v>22</v>
      </c>
      <c r="U1467" s="1" t="s">
        <v>22</v>
      </c>
    </row>
    <row r="1468" spans="1:21" x14ac:dyDescent="0.25">
      <c r="A1468" s="1" t="s">
        <v>227</v>
      </c>
      <c r="B1468" s="2" t="s">
        <v>228</v>
      </c>
      <c r="C1468" s="1" t="s">
        <v>229</v>
      </c>
      <c r="D1468" s="1" t="s">
        <v>230</v>
      </c>
      <c r="E1468" s="1" t="s">
        <v>27</v>
      </c>
      <c r="F1468" s="1">
        <v>45782</v>
      </c>
      <c r="G1468" s="14" t="s">
        <v>3570</v>
      </c>
      <c r="H1468" t="s">
        <v>231</v>
      </c>
      <c r="I1468" s="2" t="s">
        <v>232</v>
      </c>
      <c r="J1468" s="2">
        <v>0.020833333333333332</v>
      </c>
      <c r="K1468" s="1">
        <v>0.034722222222222224</v>
      </c>
      <c r="L1468" s="1">
        <v>0.05555555555555555</v>
      </c>
      <c r="M1468" s="1" t="s">
        <v>22</v>
      </c>
      <c r="N1468" s="1" t="s">
        <v>53</v>
      </c>
      <c r="O1468" s="1" t="s">
        <v>32</v>
      </c>
      <c r="P1468" s="1" t="s">
        <v>42</v>
      </c>
      <c r="Q1468" s="1">
        <v>45782</v>
      </c>
      <c r="R1468" s="14">
        <v>5</v>
      </c>
      <c r="S1468" s="1" t="s">
        <v>22</v>
      </c>
      <c r="T1468" s="1" t="s">
        <v>22</v>
      </c>
      <c r="U1468" s="1" t="s">
        <v>22</v>
      </c>
    </row>
    <row r="1469" spans="1:21" x14ac:dyDescent="0.25">
      <c r="A1469" s="1" t="s">
        <v>227</v>
      </c>
      <c r="B1469" s="2" t="s">
        <v>142</v>
      </c>
      <c r="C1469" s="1" t="s">
        <v>25</v>
      </c>
      <c r="D1469" s="1" t="s">
        <v>233</v>
      </c>
      <c r="E1469" s="1" t="s">
        <v>27</v>
      </c>
      <c r="F1469" s="1">
        <v>45789</v>
      </c>
      <c r="G1469" s="14" t="s">
        <v>3570</v>
      </c>
      <c r="H1469" t="s">
        <v>234</v>
      </c>
      <c r="I1469" s="2" t="s">
        <v>235</v>
      </c>
      <c r="J1469" s="2">
        <v>0.020833333333333332</v>
      </c>
      <c r="K1469" s="1">
        <v>0.05555555555555555</v>
      </c>
      <c r="L1469" s="1">
        <v>0.07638888888888888</v>
      </c>
      <c r="M1469" s="1" t="s">
        <v>22</v>
      </c>
      <c r="N1469" s="1" t="s">
        <v>53</v>
      </c>
      <c r="O1469" s="1" t="s">
        <v>32</v>
      </c>
      <c r="P1469" s="1" t="s">
        <v>47</v>
      </c>
      <c r="Q1469" s="1">
        <v>45789</v>
      </c>
      <c r="R1469" s="14">
        <v>4</v>
      </c>
      <c r="S1469" s="1" t="s">
        <v>22</v>
      </c>
      <c r="T1469" s="1" t="s">
        <v>22</v>
      </c>
      <c r="U1469" s="1" t="s">
        <v>22</v>
      </c>
    </row>
    <row r="1470" spans="1:21" x14ac:dyDescent="0.25">
      <c r="A1470" s="1" t="s">
        <v>227</v>
      </c>
      <c r="B1470" s="2" t="s">
        <v>43</v>
      </c>
      <c r="C1470" s="1" t="s">
        <v>236</v>
      </c>
      <c r="D1470" s="1" t="s">
        <v>237</v>
      </c>
      <c r="E1470" s="1" t="s">
        <v>37</v>
      </c>
      <c r="F1470" s="1">
        <v>45790</v>
      </c>
      <c r="G1470" s="14" t="s">
        <v>3570</v>
      </c>
      <c r="H1470" t="s">
        <v>238</v>
      </c>
      <c r="I1470" s="2" t="s">
        <v>239</v>
      </c>
      <c r="J1470" s="2">
        <v>0.041666666666666664</v>
      </c>
      <c r="K1470" s="1">
        <v>0.09722222222222222</v>
      </c>
      <c r="L1470" s="1">
        <v>0.1388888888888889</v>
      </c>
      <c r="M1470" s="1" t="s">
        <v>22</v>
      </c>
      <c r="N1470" s="1" t="s">
        <v>31</v>
      </c>
      <c r="O1470" s="1" t="s">
        <v>240</v>
      </c>
      <c r="P1470" s="1" t="s">
        <v>47</v>
      </c>
      <c r="Q1470" s="1">
        <v>45791</v>
      </c>
      <c r="R1470" s="14">
        <v>5</v>
      </c>
      <c r="S1470" s="1" t="s">
        <v>22</v>
      </c>
      <c r="T1470" s="1" t="s">
        <v>22</v>
      </c>
      <c r="U1470" s="1" t="s">
        <v>22</v>
      </c>
    </row>
    <row r="1471" spans="1:21" x14ac:dyDescent="0.25">
      <c r="A1471" s="1" t="s">
        <v>227</v>
      </c>
      <c r="B1471" s="2" t="s">
        <v>24</v>
      </c>
      <c r="C1471" s="1" t="s">
        <v>25</v>
      </c>
      <c r="D1471" s="1" t="s">
        <v>241</v>
      </c>
      <c r="E1471" s="1" t="s">
        <v>27</v>
      </c>
      <c r="F1471" s="1">
        <v>45798</v>
      </c>
      <c r="G1471" s="14" t="s">
        <v>28</v>
      </c>
      <c r="H1471" t="s">
        <v>242</v>
      </c>
      <c r="I1471" s="2" t="s">
        <v>243</v>
      </c>
      <c r="J1471" s="2">
        <v>0.08333333333333333</v>
      </c>
      <c r="K1471" s="1">
        <v>0.034722222222222224</v>
      </c>
      <c r="L1471" s="1">
        <v>0.11805555555555555</v>
      </c>
      <c r="M1471" s="1" t="s">
        <v>22</v>
      </c>
      <c r="N1471" s="1" t="s">
        <v>240</v>
      </c>
      <c r="O1471" s="1" t="s">
        <v>210</v>
      </c>
      <c r="P1471" s="1" t="s">
        <v>244</v>
      </c>
      <c r="Q1471" s="1">
        <v>45798</v>
      </c>
      <c r="R1471" s="14">
        <v>5</v>
      </c>
      <c r="S1471" s="1" t="s">
        <v>22</v>
      </c>
      <c r="T1471" s="1" t="s">
        <v>22</v>
      </c>
      <c r="U1471" s="1" t="s">
        <v>22</v>
      </c>
    </row>
    <row r="1472" spans="1:21" x14ac:dyDescent="0.25">
      <c r="A1472" s="1" t="s">
        <v>227</v>
      </c>
      <c r="B1472" s="2" t="s">
        <v>113</v>
      </c>
      <c r="C1472" s="1" t="s">
        <v>25</v>
      </c>
      <c r="D1472" s="1" t="s">
        <v>204</v>
      </c>
      <c r="E1472" s="1" t="s">
        <v>37</v>
      </c>
      <c r="F1472" s="1">
        <v>45799</v>
      </c>
      <c r="G1472" s="14" t="s">
        <v>28</v>
      </c>
      <c r="H1472" t="s">
        <v>245</v>
      </c>
      <c r="I1472" s="2" t="s">
        <v>246</v>
      </c>
      <c r="J1472" s="2">
        <v>0.041666666666666664</v>
      </c>
      <c r="K1472" s="1">
        <v>0.05555555555555555</v>
      </c>
      <c r="L1472" s="1">
        <v>0.09722222222222221</v>
      </c>
      <c r="M1472" s="1" t="s">
        <v>22</v>
      </c>
      <c r="N1472" s="1" t="s">
        <v>31</v>
      </c>
      <c r="O1472" s="1" t="s">
        <v>32</v>
      </c>
      <c r="P1472" s="1" t="s">
        <v>117</v>
      </c>
      <c r="Q1472" s="1">
        <v>45799</v>
      </c>
      <c r="R1472" s="14">
        <v>5</v>
      </c>
      <c r="S1472" s="1" t="s">
        <v>22</v>
      </c>
      <c r="T1472" s="1" t="s">
        <v>22</v>
      </c>
      <c r="U1472" s="1" t="s">
        <v>22</v>
      </c>
    </row>
    <row r="1473" spans="1:21" x14ac:dyDescent="0.25">
      <c r="A1473" s="1" t="s">
        <v>227</v>
      </c>
      <c r="B1473" s="2" t="s">
        <v>247</v>
      </c>
      <c r="C1473" s="1" t="s">
        <v>25</v>
      </c>
      <c r="D1473" s="1" t="s">
        <v>248</v>
      </c>
      <c r="E1473" s="1" t="s">
        <v>37</v>
      </c>
      <c r="F1473" s="1">
        <v>45800</v>
      </c>
      <c r="G1473" s="14" t="s">
        <v>74</v>
      </c>
      <c r="H1473" t="s">
        <v>249</v>
      </c>
      <c r="I1473" s="2" t="s">
        <v>250</v>
      </c>
      <c r="J1473" s="2">
        <v>0.041666666666666664</v>
      </c>
      <c r="K1473" s="1">
        <v>0.04861111111111111</v>
      </c>
      <c r="L1473" s="1">
        <v>0.09027777777777778</v>
      </c>
      <c r="M1473" s="1" t="s">
        <v>22</v>
      </c>
      <c r="N1473" s="1" t="s">
        <v>31</v>
      </c>
      <c r="O1473" s="1" t="s">
        <v>240</v>
      </c>
      <c r="P1473" s="1" t="s">
        <v>47</v>
      </c>
      <c r="Q1473" s="1">
        <v>45800</v>
      </c>
      <c r="R1473" s="14">
        <v>4</v>
      </c>
      <c r="S1473" s="1" t="s">
        <v>22</v>
      </c>
      <c r="T1473" s="1" t="s">
        <v>22</v>
      </c>
      <c r="U1473" s="1" t="s">
        <v>22</v>
      </c>
    </row>
    <row r="1474" spans="1:21" x14ac:dyDescent="0.25">
      <c r="A1474" s="1" t="s">
        <v>227</v>
      </c>
      <c r="B1474" s="2" t="s">
        <v>108</v>
      </c>
      <c r="C1474" s="1" t="s">
        <v>78</v>
      </c>
      <c r="D1474" s="1" t="s">
        <v>251</v>
      </c>
      <c r="E1474" s="1" t="s">
        <v>37</v>
      </c>
      <c r="F1474" s="1">
        <v>45800</v>
      </c>
      <c r="G1474" s="14" t="s">
        <v>3570</v>
      </c>
      <c r="H1474" t="s">
        <v>252</v>
      </c>
      <c r="I1474" s="2" t="s">
        <v>253</v>
      </c>
      <c r="J1474" s="2">
        <v>0.020833333333333332</v>
      </c>
      <c r="K1474" s="1">
        <v>0.041666666666666664</v>
      </c>
      <c r="L1474" s="1">
        <v>0.0625</v>
      </c>
      <c r="M1474" s="1" t="s">
        <v>22</v>
      </c>
      <c r="N1474" s="1" t="s">
        <v>53</v>
      </c>
      <c r="O1474" s="1" t="s">
        <v>240</v>
      </c>
      <c r="P1474" s="1" t="s">
        <v>42</v>
      </c>
      <c r="Q1474" s="1">
        <v>45800</v>
      </c>
      <c r="R1474" s="14">
        <v>5</v>
      </c>
      <c r="S1474" s="1" t="s">
        <v>22</v>
      </c>
      <c r="T1474" s="1" t="s">
        <v>22</v>
      </c>
      <c r="U1474" s="1" t="s">
        <v>22</v>
      </c>
    </row>
    <row r="1475" spans="1:21" x14ac:dyDescent="0.25">
      <c r="A1475" s="1" t="s">
        <v>227</v>
      </c>
      <c r="B1475" s="2" t="s">
        <v>199</v>
      </c>
      <c r="C1475" s="1" t="s">
        <v>200</v>
      </c>
      <c r="D1475" s="1" t="s">
        <v>254</v>
      </c>
      <c r="E1475" s="1" t="s">
        <v>27</v>
      </c>
      <c r="F1475" s="1">
        <v>45800</v>
      </c>
      <c r="G1475" s="14" t="s">
        <v>255</v>
      </c>
      <c r="H1475" t="s">
        <v>256</v>
      </c>
      <c r="I1475" s="2" t="s">
        <v>257</v>
      </c>
      <c r="J1475" s="2">
        <v>0.020833333333333332</v>
      </c>
      <c r="K1475" s="1">
        <v>0.006944444444444444</v>
      </c>
      <c r="L1475" s="1">
        <v>0.027777777777777776</v>
      </c>
      <c r="M1475" s="1" t="s">
        <v>22</v>
      </c>
      <c r="N1475" s="1" t="s">
        <v>53</v>
      </c>
      <c r="O1475" s="1" t="s">
        <v>32</v>
      </c>
      <c r="P1475" s="1" t="s">
        <v>42</v>
      </c>
      <c r="Q1475" s="1">
        <v>45800</v>
      </c>
      <c r="R1475" s="14">
        <v>5</v>
      </c>
      <c r="S1475" s="1" t="s">
        <v>22</v>
      </c>
      <c r="T1475" s="1" t="s">
        <v>22</v>
      </c>
      <c r="U1475" s="1" t="s">
        <v>22</v>
      </c>
    </row>
    <row r="1476" spans="1:21" x14ac:dyDescent="0.25">
      <c r="A1476" s="1" t="s">
        <v>227</v>
      </c>
      <c r="B1476" s="2" t="s">
        <v>258</v>
      </c>
      <c r="C1476" s="1" t="s">
        <v>25</v>
      </c>
      <c r="D1476" s="1" t="s">
        <v>254</v>
      </c>
      <c r="E1476" s="1" t="s">
        <v>27</v>
      </c>
      <c r="F1476" s="1">
        <v>45800</v>
      </c>
      <c r="G1476" s="14" t="s">
        <v>255</v>
      </c>
      <c r="H1476" t="s">
        <v>256</v>
      </c>
      <c r="I1476" s="2" t="s">
        <v>257</v>
      </c>
      <c r="J1476" s="2">
        <v>0.020833333333333332</v>
      </c>
      <c r="K1476" s="1">
        <v>0.006944444444444444</v>
      </c>
      <c r="L1476" s="1">
        <v>0.027777777777777776</v>
      </c>
      <c r="M1476" s="1" t="s">
        <v>22</v>
      </c>
      <c r="N1476" s="1" t="s">
        <v>53</v>
      </c>
      <c r="O1476" s="1" t="s">
        <v>32</v>
      </c>
      <c r="P1476" s="1" t="s">
        <v>42</v>
      </c>
      <c r="Q1476" s="1">
        <v>45800</v>
      </c>
      <c r="R1476" s="14">
        <v>5</v>
      </c>
      <c r="S1476" s="1" t="s">
        <v>22</v>
      </c>
      <c r="T1476" s="1" t="s">
        <v>22</v>
      </c>
      <c r="U1476" s="1" t="s">
        <v>22</v>
      </c>
    </row>
    <row r="1477" spans="1:21" x14ac:dyDescent="0.25">
      <c r="A1477" s="1" t="s">
        <v>227</v>
      </c>
      <c r="B1477" s="2" t="s">
        <v>259</v>
      </c>
      <c r="C1477" s="1" t="s">
        <v>25</v>
      </c>
      <c r="D1477" s="1" t="s">
        <v>254</v>
      </c>
      <c r="E1477" s="1" t="s">
        <v>27</v>
      </c>
      <c r="F1477" s="1">
        <v>45800</v>
      </c>
      <c r="G1477" s="14" t="s">
        <v>255</v>
      </c>
      <c r="H1477" t="s">
        <v>256</v>
      </c>
      <c r="I1477" s="2" t="s">
        <v>257</v>
      </c>
      <c r="J1477" s="2">
        <v>0.020833333333333332</v>
      </c>
      <c r="K1477" s="1">
        <v>0.006944444444444444</v>
      </c>
      <c r="L1477" s="1">
        <v>0.027777777777777776</v>
      </c>
      <c r="M1477" s="1" t="s">
        <v>22</v>
      </c>
      <c r="N1477" s="1" t="s">
        <v>53</v>
      </c>
      <c r="O1477" s="1" t="s">
        <v>32</v>
      </c>
      <c r="P1477" s="1" t="s">
        <v>42</v>
      </c>
      <c r="Q1477" s="1">
        <v>45800</v>
      </c>
      <c r="R1477" s="14">
        <v>5</v>
      </c>
      <c r="S1477" s="1" t="s">
        <v>22</v>
      </c>
      <c r="T1477" s="1" t="s">
        <v>22</v>
      </c>
      <c r="U1477" s="1" t="s">
        <v>22</v>
      </c>
    </row>
    <row r="1478" spans="1:21" x14ac:dyDescent="0.25">
      <c r="A1478" s="1" t="s">
        <v>227</v>
      </c>
      <c r="B1478" s="2" t="s">
        <v>260</v>
      </c>
      <c r="C1478" s="1" t="s">
        <v>261</v>
      </c>
      <c r="D1478" s="1" t="s">
        <v>254</v>
      </c>
      <c r="E1478" s="1" t="s">
        <v>27</v>
      </c>
      <c r="F1478" s="1">
        <v>45800</v>
      </c>
      <c r="G1478" s="14" t="s">
        <v>255</v>
      </c>
      <c r="H1478" t="s">
        <v>256</v>
      </c>
      <c r="I1478" s="2" t="s">
        <v>257</v>
      </c>
      <c r="J1478" s="2">
        <v>0.020833333333333332</v>
      </c>
      <c r="K1478" s="1">
        <v>0.006944444444444444</v>
      </c>
      <c r="L1478" s="1">
        <v>0.027777777777777776</v>
      </c>
      <c r="M1478" s="1" t="s">
        <v>22</v>
      </c>
      <c r="N1478" s="1" t="s">
        <v>53</v>
      </c>
      <c r="O1478" s="1" t="s">
        <v>32</v>
      </c>
      <c r="P1478" s="1" t="s">
        <v>42</v>
      </c>
      <c r="Q1478" s="1">
        <v>45800</v>
      </c>
      <c r="R1478" s="14">
        <v>5</v>
      </c>
      <c r="S1478" s="1" t="s">
        <v>22</v>
      </c>
      <c r="T1478" s="1" t="s">
        <v>22</v>
      </c>
      <c r="U1478" s="1" t="s">
        <v>22</v>
      </c>
    </row>
    <row r="1479" spans="1:21" x14ac:dyDescent="0.25">
      <c r="A1479" s="1" t="s">
        <v>227</v>
      </c>
      <c r="B1479" s="2" t="s">
        <v>262</v>
      </c>
      <c r="C1479" s="1" t="s">
        <v>25</v>
      </c>
      <c r="D1479" s="1" t="s">
        <v>254</v>
      </c>
      <c r="E1479" s="1" t="s">
        <v>27</v>
      </c>
      <c r="F1479" s="1">
        <v>45800</v>
      </c>
      <c r="G1479" s="14" t="s">
        <v>255</v>
      </c>
      <c r="H1479" t="s">
        <v>256</v>
      </c>
      <c r="I1479" s="2" t="s">
        <v>257</v>
      </c>
      <c r="J1479" s="2">
        <v>0.020833333333333332</v>
      </c>
      <c r="K1479" s="1">
        <v>0.006944444444444444</v>
      </c>
      <c r="L1479" s="1">
        <v>0.027777777777777776</v>
      </c>
      <c r="M1479" s="1" t="s">
        <v>22</v>
      </c>
      <c r="N1479" s="1" t="s">
        <v>53</v>
      </c>
      <c r="O1479" s="1" t="s">
        <v>32</v>
      </c>
      <c r="P1479" s="1" t="s">
        <v>42</v>
      </c>
      <c r="Q1479" s="1">
        <v>45800</v>
      </c>
      <c r="R1479" s="14">
        <v>5</v>
      </c>
      <c r="S1479" s="1" t="s">
        <v>22</v>
      </c>
      <c r="T1479" s="1" t="s">
        <v>22</v>
      </c>
      <c r="U1479" s="1" t="s">
        <v>22</v>
      </c>
    </row>
    <row r="1480" spans="1:21" x14ac:dyDescent="0.25">
      <c r="A1480" s="1" t="s">
        <v>227</v>
      </c>
      <c r="B1480" s="2" t="s">
        <v>77</v>
      </c>
      <c r="C1480" s="1" t="s">
        <v>78</v>
      </c>
      <c r="D1480" s="1" t="s">
        <v>254</v>
      </c>
      <c r="E1480" s="1" t="s">
        <v>27</v>
      </c>
      <c r="F1480" s="1">
        <v>45800</v>
      </c>
      <c r="G1480" s="14" t="s">
        <v>255</v>
      </c>
      <c r="H1480" t="s">
        <v>256</v>
      </c>
      <c r="I1480" s="2" t="s">
        <v>257</v>
      </c>
      <c r="J1480" s="2">
        <v>0.020833333333333332</v>
      </c>
      <c r="K1480" s="1">
        <v>0.006944444444444444</v>
      </c>
      <c r="L1480" s="1">
        <v>0.027777777777777776</v>
      </c>
      <c r="M1480" s="1" t="s">
        <v>22</v>
      </c>
      <c r="N1480" s="1" t="s">
        <v>53</v>
      </c>
      <c r="O1480" s="1" t="s">
        <v>32</v>
      </c>
      <c r="P1480" s="1" t="s">
        <v>42</v>
      </c>
      <c r="Q1480" s="1">
        <v>45800</v>
      </c>
      <c r="R1480" s="14">
        <v>5</v>
      </c>
      <c r="S1480" s="1" t="s">
        <v>22</v>
      </c>
      <c r="T1480" s="1" t="s">
        <v>22</v>
      </c>
      <c r="U1480" s="1" t="s">
        <v>22</v>
      </c>
    </row>
    <row r="1481" spans="1:21" x14ac:dyDescent="0.25">
      <c r="A1481" s="1" t="s">
        <v>227</v>
      </c>
      <c r="B1481" s="2" t="s">
        <v>263</v>
      </c>
      <c r="C1481" s="1" t="s">
        <v>229</v>
      </c>
      <c r="D1481" s="1" t="s">
        <v>254</v>
      </c>
      <c r="E1481" s="1" t="s">
        <v>27</v>
      </c>
      <c r="F1481" s="1">
        <v>45800</v>
      </c>
      <c r="G1481" s="14" t="s">
        <v>255</v>
      </c>
      <c r="H1481" t="s">
        <v>256</v>
      </c>
      <c r="I1481" s="2" t="s">
        <v>257</v>
      </c>
      <c r="J1481" s="2">
        <v>0.020833333333333332</v>
      </c>
      <c r="K1481" s="1">
        <v>0.006944444444444444</v>
      </c>
      <c r="L1481" s="1">
        <v>0.027777777777777776</v>
      </c>
      <c r="M1481" s="1" t="s">
        <v>22</v>
      </c>
      <c r="N1481" s="1" t="s">
        <v>53</v>
      </c>
      <c r="O1481" s="1" t="s">
        <v>32</v>
      </c>
      <c r="P1481" s="1" t="s">
        <v>42</v>
      </c>
      <c r="Q1481" s="1">
        <v>45800</v>
      </c>
      <c r="R1481" s="14">
        <v>5</v>
      </c>
      <c r="S1481" s="1" t="s">
        <v>22</v>
      </c>
      <c r="T1481" s="1" t="s">
        <v>22</v>
      </c>
      <c r="U1481" s="1" t="s">
        <v>22</v>
      </c>
    </row>
    <row r="1482" spans="1:21" x14ac:dyDescent="0.25">
      <c r="A1482" s="1" t="s">
        <v>227</v>
      </c>
      <c r="B1482" s="2" t="s">
        <v>163</v>
      </c>
      <c r="C1482" s="1" t="s">
        <v>25</v>
      </c>
      <c r="D1482" s="1" t="s">
        <v>264</v>
      </c>
      <c r="E1482" s="1" t="s">
        <v>37</v>
      </c>
      <c r="F1482" s="1">
        <v>45805</v>
      </c>
      <c r="G1482" s="14" t="s">
        <v>255</v>
      </c>
      <c r="H1482" t="s">
        <v>265</v>
      </c>
      <c r="I1482" s="2" t="s">
        <v>266</v>
      </c>
      <c r="J1482" s="2">
        <v>0.020833333333333332</v>
      </c>
      <c r="K1482" s="1">
        <v>0.05555555555555555</v>
      </c>
      <c r="L1482" s="1">
        <v>0.07638888888888888</v>
      </c>
      <c r="M1482" s="1" t="s">
        <v>22</v>
      </c>
      <c r="N1482" s="1" t="s">
        <v>31</v>
      </c>
      <c r="O1482" s="1" t="s">
        <v>32</v>
      </c>
      <c r="P1482" s="1" t="s">
        <v>47</v>
      </c>
      <c r="Q1482" s="1">
        <v>45805</v>
      </c>
      <c r="R1482" s="14">
        <v>4</v>
      </c>
      <c r="S1482" s="1" t="s">
        <v>22</v>
      </c>
      <c r="T1482" s="1" t="s">
        <v>22</v>
      </c>
      <c r="U1482" s="1" t="s">
        <v>22</v>
      </c>
    </row>
    <row r="1483" spans="1:21" x14ac:dyDescent="0.25">
      <c r="A1483" s="1" t="s">
        <v>227</v>
      </c>
      <c r="B1483" s="2" t="s">
        <v>65</v>
      </c>
      <c r="C1483" s="1" t="s">
        <v>25</v>
      </c>
      <c r="D1483" s="1" t="s">
        <v>267</v>
      </c>
      <c r="E1483" s="1" t="s">
        <v>27</v>
      </c>
      <c r="F1483" s="1">
        <v>45805</v>
      </c>
      <c r="G1483" s="14" t="s">
        <v>28</v>
      </c>
      <c r="H1483" t="s">
        <v>268</v>
      </c>
      <c r="I1483" s="2" t="s">
        <v>269</v>
      </c>
      <c r="J1483" s="2">
        <v>0.03125</v>
      </c>
      <c r="K1483" s="1">
        <v>0.041666666666666664</v>
      </c>
      <c r="L1483" s="1">
        <v>0.07291666666666666</v>
      </c>
      <c r="M1483" s="1" t="s">
        <v>22</v>
      </c>
      <c r="N1483" s="1" t="s">
        <v>240</v>
      </c>
      <c r="O1483" s="1" t="s">
        <v>32</v>
      </c>
      <c r="P1483" s="1" t="s">
        <v>47</v>
      </c>
      <c r="Q1483" s="1">
        <v>45805</v>
      </c>
      <c r="R1483" s="14">
        <v>5</v>
      </c>
      <c r="S1483" s="1" t="s">
        <v>22</v>
      </c>
      <c r="T1483" s="1" t="s">
        <v>22</v>
      </c>
      <c r="U1483" s="1" t="s">
        <v>22</v>
      </c>
    </row>
    <row r="1484" spans="1:21" x14ac:dyDescent="0.25">
      <c r="A1484" s="1" t="s">
        <v>270</v>
      </c>
      <c r="B1484" s="2" t="s">
        <v>108</v>
      </c>
      <c r="C1484" s="1" t="s">
        <v>78</v>
      </c>
      <c r="D1484" s="1" t="s">
        <v>271</v>
      </c>
      <c r="E1484" s="1" t="s">
        <v>27</v>
      </c>
      <c r="F1484" s="1">
        <v>45813</v>
      </c>
      <c r="G1484" s="14" t="s">
        <v>3570</v>
      </c>
      <c r="H1484" t="s">
        <v>272</v>
      </c>
      <c r="I1484" s="2" t="s">
        <v>273</v>
      </c>
      <c r="J1484" s="2">
        <v>0.041666666666666664</v>
      </c>
      <c r="K1484" s="1">
        <v>0.03958333333333333</v>
      </c>
      <c r="L1484" s="1">
        <v>0.08124999999999999</v>
      </c>
      <c r="M1484" s="1" t="s">
        <v>22</v>
      </c>
      <c r="N1484" s="1" t="s">
        <v>31</v>
      </c>
      <c r="O1484" s="1" t="s">
        <v>240</v>
      </c>
      <c r="P1484" s="1" t="s">
        <v>42</v>
      </c>
      <c r="Q1484" s="1">
        <v>45813</v>
      </c>
      <c r="R1484" s="14">
        <v>5</v>
      </c>
      <c r="S1484" s="1" t="s">
        <v>22</v>
      </c>
      <c r="T1484" s="1" t="s">
        <v>22</v>
      </c>
      <c r="U1484" s="1" t="s">
        <v>22</v>
      </c>
    </row>
    <row r="1485" spans="1:21" x14ac:dyDescent="0.25">
      <c r="A1485" s="1" t="s">
        <v>270</v>
      </c>
      <c r="B1485" s="2" t="s">
        <v>77</v>
      </c>
      <c r="C1485" s="1" t="s">
        <v>78</v>
      </c>
      <c r="D1485" s="1" t="s">
        <v>274</v>
      </c>
      <c r="E1485" s="1" t="s">
        <v>37</v>
      </c>
      <c r="F1485" s="1">
        <v>45817</v>
      </c>
      <c r="G1485" s="14" t="s">
        <v>3570</v>
      </c>
      <c r="H1485" t="s">
        <v>275</v>
      </c>
      <c r="I1485" s="2" t="s">
        <v>276</v>
      </c>
      <c r="J1485" s="2">
        <v>0.024305555555555556</v>
      </c>
      <c r="K1485" s="1">
        <v>0.05555555555555555</v>
      </c>
      <c r="L1485" s="1">
        <v>0.0798611111111111</v>
      </c>
      <c r="M1485" s="1" t="s">
        <v>22</v>
      </c>
      <c r="N1485" s="1" t="s">
        <v>31</v>
      </c>
      <c r="O1485" s="1" t="s">
        <v>240</v>
      </c>
      <c r="P1485" s="1" t="s">
        <v>42</v>
      </c>
      <c r="Q1485" s="1">
        <v>45817</v>
      </c>
      <c r="R1485" s="14">
        <v>5</v>
      </c>
      <c r="S1485" s="1" t="s">
        <v>22</v>
      </c>
      <c r="T1485" s="1" t="s">
        <v>22</v>
      </c>
      <c r="U1485" s="1" t="s">
        <v>22</v>
      </c>
    </row>
    <row r="1486" spans="1:21" x14ac:dyDescent="0.25">
      <c r="A1486" s="1" t="s">
        <v>270</v>
      </c>
      <c r="B1486" s="2" t="s">
        <v>219</v>
      </c>
      <c r="C1486" s="1" t="s">
        <v>147</v>
      </c>
      <c r="D1486" s="1" t="s">
        <v>277</v>
      </c>
      <c r="E1486" s="1" t="s">
        <v>27</v>
      </c>
      <c r="F1486" s="1">
        <v>45819</v>
      </c>
      <c r="G1486" s="14" t="s">
        <v>3570</v>
      </c>
      <c r="H1486" t="s">
        <v>278</v>
      </c>
      <c r="I1486" s="2" t="s">
        <v>279</v>
      </c>
      <c r="J1486" s="2">
        <v>0.006944444444444444</v>
      </c>
      <c r="K1486" s="1">
        <v>0.013888888888888888</v>
      </c>
      <c r="L1486" s="1">
        <v>0.020833333333333332</v>
      </c>
      <c r="M1486" s="1" t="s">
        <v>22</v>
      </c>
      <c r="N1486" s="1" t="s">
        <v>240</v>
      </c>
      <c r="O1486" s="1" t="s">
        <v>32</v>
      </c>
      <c r="P1486" s="1" t="s">
        <v>47</v>
      </c>
      <c r="Q1486" s="1">
        <v>45819</v>
      </c>
      <c r="R1486" s="14">
        <v>5</v>
      </c>
      <c r="S1486" s="1" t="s">
        <v>22</v>
      </c>
      <c r="T1486" s="1" t="s">
        <v>22</v>
      </c>
      <c r="U1486" s="1" t="s">
        <v>22</v>
      </c>
    </row>
    <row r="1487" spans="1:21" x14ac:dyDescent="0.25">
      <c r="A1487" s="1" t="s">
        <v>270</v>
      </c>
      <c r="B1487" s="2" t="s">
        <v>99</v>
      </c>
      <c r="C1487" s="1" t="s">
        <v>25</v>
      </c>
      <c r="D1487" s="1" t="s">
        <v>277</v>
      </c>
      <c r="E1487" s="1" t="s">
        <v>27</v>
      </c>
      <c r="F1487" s="1">
        <v>45819</v>
      </c>
      <c r="G1487" s="14" t="s">
        <v>3570</v>
      </c>
      <c r="H1487" t="s">
        <v>278</v>
      </c>
      <c r="I1487" s="2" t="s">
        <v>279</v>
      </c>
      <c r="J1487" s="2">
        <v>0.006944444444444444</v>
      </c>
      <c r="K1487" s="1">
        <v>0.013888888888888888</v>
      </c>
      <c r="L1487" s="1">
        <v>0.020833333333333332</v>
      </c>
      <c r="M1487" s="1" t="s">
        <v>22</v>
      </c>
      <c r="N1487" s="1" t="s">
        <v>240</v>
      </c>
      <c r="O1487" s="1" t="s">
        <v>32</v>
      </c>
      <c r="P1487" s="1" t="s">
        <v>47</v>
      </c>
      <c r="Q1487" s="1">
        <v>45819</v>
      </c>
      <c r="R1487" s="14">
        <v>5</v>
      </c>
      <c r="S1487" s="1" t="s">
        <v>22</v>
      </c>
      <c r="T1487" s="1" t="s">
        <v>22</v>
      </c>
      <c r="U1487" s="1" t="s">
        <v>22</v>
      </c>
    </row>
    <row r="1488" spans="1:21" x14ac:dyDescent="0.25">
      <c r="A1488" s="1" t="s">
        <v>270</v>
      </c>
      <c r="B1488" s="2" t="s">
        <v>199</v>
      </c>
      <c r="C1488" s="1" t="s">
        <v>200</v>
      </c>
      <c r="D1488" s="1" t="s">
        <v>277</v>
      </c>
      <c r="E1488" s="1" t="s">
        <v>27</v>
      </c>
      <c r="F1488" s="1">
        <v>45819</v>
      </c>
      <c r="G1488" s="14" t="s">
        <v>3570</v>
      </c>
      <c r="H1488" t="s">
        <v>278</v>
      </c>
      <c r="I1488" s="2" t="s">
        <v>279</v>
      </c>
      <c r="J1488" s="2">
        <v>0.006944444444444444</v>
      </c>
      <c r="K1488" s="1">
        <v>0.013888888888888888</v>
      </c>
      <c r="L1488" s="1">
        <v>0.020833333333333332</v>
      </c>
      <c r="M1488" s="1" t="s">
        <v>22</v>
      </c>
      <c r="N1488" s="1" t="s">
        <v>240</v>
      </c>
      <c r="O1488" s="1" t="s">
        <v>32</v>
      </c>
      <c r="P1488" s="1" t="s">
        <v>280</v>
      </c>
      <c r="Q1488" s="1">
        <v>45819</v>
      </c>
      <c r="R1488" s="14">
        <v>5</v>
      </c>
      <c r="S1488" s="1" t="s">
        <v>22</v>
      </c>
      <c r="T1488" s="1" t="s">
        <v>22</v>
      </c>
      <c r="U1488" s="1" t="s">
        <v>22</v>
      </c>
    </row>
    <row r="1489" spans="1:21" x14ac:dyDescent="0.25">
      <c r="A1489" s="1" t="s">
        <v>270</v>
      </c>
      <c r="B1489" s="2" t="s">
        <v>258</v>
      </c>
      <c r="C1489" s="1" t="s">
        <v>25</v>
      </c>
      <c r="D1489" s="1" t="s">
        <v>277</v>
      </c>
      <c r="E1489" s="1" t="s">
        <v>27</v>
      </c>
      <c r="F1489" s="1">
        <v>45819</v>
      </c>
      <c r="G1489" s="14" t="s">
        <v>3570</v>
      </c>
      <c r="H1489" t="s">
        <v>278</v>
      </c>
      <c r="I1489" s="2" t="s">
        <v>279</v>
      </c>
      <c r="J1489" s="2">
        <v>0.006944444444444444</v>
      </c>
      <c r="K1489" s="1">
        <v>0.013888888888888888</v>
      </c>
      <c r="L1489" s="1">
        <v>0.020833333333333332</v>
      </c>
      <c r="M1489" s="1" t="s">
        <v>22</v>
      </c>
      <c r="N1489" s="1" t="s">
        <v>240</v>
      </c>
      <c r="O1489" s="1" t="s">
        <v>32</v>
      </c>
      <c r="P1489" s="1" t="s">
        <v>280</v>
      </c>
      <c r="Q1489" s="1">
        <v>45819</v>
      </c>
      <c r="R1489" s="14">
        <v>5</v>
      </c>
      <c r="S1489" s="1" t="s">
        <v>22</v>
      </c>
      <c r="T1489" s="1" t="s">
        <v>22</v>
      </c>
      <c r="U1489" s="1" t="s">
        <v>22</v>
      </c>
    </row>
    <row r="1490" spans="1:21" x14ac:dyDescent="0.25">
      <c r="A1490" s="1" t="s">
        <v>270</v>
      </c>
      <c r="B1490" s="2" t="s">
        <v>91</v>
      </c>
      <c r="C1490" s="1" t="s">
        <v>25</v>
      </c>
      <c r="D1490" s="1" t="s">
        <v>277</v>
      </c>
      <c r="E1490" s="1" t="s">
        <v>27</v>
      </c>
      <c r="F1490" s="1">
        <v>45819</v>
      </c>
      <c r="G1490" s="14" t="s">
        <v>3570</v>
      </c>
      <c r="H1490" t="s">
        <v>278</v>
      </c>
      <c r="I1490" s="2" t="s">
        <v>279</v>
      </c>
      <c r="J1490" s="2">
        <v>0.006944444444444444</v>
      </c>
      <c r="K1490" s="1">
        <v>0.013888888888888888</v>
      </c>
      <c r="L1490" s="1">
        <v>0.020833333333333332</v>
      </c>
      <c r="M1490" s="1" t="s">
        <v>22</v>
      </c>
      <c r="N1490" s="1" t="s">
        <v>240</v>
      </c>
      <c r="O1490" s="1" t="s">
        <v>32</v>
      </c>
      <c r="P1490" s="1" t="s">
        <v>47</v>
      </c>
      <c r="Q1490" s="1">
        <v>45819</v>
      </c>
      <c r="R1490" s="14">
        <v>5</v>
      </c>
      <c r="S1490" s="1" t="s">
        <v>22</v>
      </c>
      <c r="T1490" s="1" t="s">
        <v>22</v>
      </c>
      <c r="U1490" s="1" t="s">
        <v>22</v>
      </c>
    </row>
    <row r="1491" spans="1:21" x14ac:dyDescent="0.25">
      <c r="A1491" s="1" t="s">
        <v>270</v>
      </c>
      <c r="B1491" s="2" t="s">
        <v>122</v>
      </c>
      <c r="C1491" s="1" t="s">
        <v>123</v>
      </c>
      <c r="D1491" s="1" t="s">
        <v>277</v>
      </c>
      <c r="E1491" s="1" t="s">
        <v>27</v>
      </c>
      <c r="F1491" s="1">
        <v>45819</v>
      </c>
      <c r="G1491" s="14" t="s">
        <v>3570</v>
      </c>
      <c r="H1491" t="s">
        <v>278</v>
      </c>
      <c r="I1491" s="2" t="s">
        <v>279</v>
      </c>
      <c r="J1491" s="2">
        <v>0.006944444444444444</v>
      </c>
      <c r="K1491" s="1">
        <v>0.013888888888888888</v>
      </c>
      <c r="L1491" s="1">
        <v>0.020833333333333332</v>
      </c>
      <c r="M1491" s="1" t="s">
        <v>22</v>
      </c>
      <c r="N1491" s="1" t="s">
        <v>240</v>
      </c>
      <c r="O1491" s="1" t="s">
        <v>32</v>
      </c>
      <c r="P1491" s="1" t="s">
        <v>47</v>
      </c>
      <c r="Q1491" s="1">
        <v>45819</v>
      </c>
      <c r="R1491" s="14">
        <v>5</v>
      </c>
      <c r="S1491" s="1" t="s">
        <v>22</v>
      </c>
      <c r="T1491" s="1" t="s">
        <v>22</v>
      </c>
      <c r="U1491" s="1" t="s">
        <v>22</v>
      </c>
    </row>
    <row r="1492" spans="1:21" x14ac:dyDescent="0.25">
      <c r="A1492" s="1" t="s">
        <v>270</v>
      </c>
      <c r="B1492" s="2" t="s">
        <v>170</v>
      </c>
      <c r="C1492" s="1" t="s">
        <v>25</v>
      </c>
      <c r="D1492" s="1" t="s">
        <v>277</v>
      </c>
      <c r="E1492" s="1" t="s">
        <v>27</v>
      </c>
      <c r="F1492" s="1">
        <v>45819</v>
      </c>
      <c r="G1492" s="14" t="s">
        <v>3570</v>
      </c>
      <c r="H1492" t="s">
        <v>278</v>
      </c>
      <c r="I1492" s="2" t="s">
        <v>279</v>
      </c>
      <c r="J1492" s="2">
        <v>0.006944444444444444</v>
      </c>
      <c r="K1492" s="1">
        <v>0.013888888888888888</v>
      </c>
      <c r="L1492" s="1">
        <v>0.020833333333333332</v>
      </c>
      <c r="M1492" s="1" t="s">
        <v>22</v>
      </c>
      <c r="N1492" s="1" t="s">
        <v>240</v>
      </c>
      <c r="O1492" s="1" t="s">
        <v>32</v>
      </c>
      <c r="P1492" s="1" t="s">
        <v>280</v>
      </c>
      <c r="Q1492" s="1">
        <v>45819</v>
      </c>
      <c r="R1492" s="14">
        <v>5</v>
      </c>
      <c r="S1492" s="1" t="s">
        <v>22</v>
      </c>
      <c r="T1492" s="1" t="s">
        <v>22</v>
      </c>
      <c r="U1492" s="1" t="s">
        <v>22</v>
      </c>
    </row>
    <row r="1493" spans="1:21" x14ac:dyDescent="0.25">
      <c r="A1493" s="1" t="s">
        <v>270</v>
      </c>
      <c r="B1493" s="2" t="s">
        <v>43</v>
      </c>
      <c r="C1493" s="1" t="s">
        <v>236</v>
      </c>
      <c r="D1493" s="1" t="s">
        <v>277</v>
      </c>
      <c r="E1493" s="1" t="s">
        <v>27</v>
      </c>
      <c r="F1493" s="1">
        <v>45819</v>
      </c>
      <c r="G1493" s="14" t="s">
        <v>3570</v>
      </c>
      <c r="H1493" t="s">
        <v>278</v>
      </c>
      <c r="I1493" s="2" t="s">
        <v>279</v>
      </c>
      <c r="J1493" s="2">
        <v>0.006944444444444444</v>
      </c>
      <c r="K1493" s="1">
        <v>0.013888888888888888</v>
      </c>
      <c r="L1493" s="1">
        <v>0.020833333333333332</v>
      </c>
      <c r="M1493" s="1" t="s">
        <v>22</v>
      </c>
      <c r="N1493" s="1" t="s">
        <v>240</v>
      </c>
      <c r="O1493" s="1" t="s">
        <v>32</v>
      </c>
      <c r="P1493" s="1" t="s">
        <v>47</v>
      </c>
      <c r="Q1493" s="1">
        <v>45819</v>
      </c>
      <c r="R1493" s="14">
        <v>5</v>
      </c>
      <c r="S1493" s="1" t="s">
        <v>22</v>
      </c>
      <c r="T1493" s="1" t="s">
        <v>22</v>
      </c>
      <c r="U1493" s="1" t="s">
        <v>22</v>
      </c>
    </row>
    <row r="1494" spans="1:21" x14ac:dyDescent="0.25">
      <c r="A1494" s="1" t="s">
        <v>270</v>
      </c>
      <c r="B1494" s="2" t="s">
        <v>260</v>
      </c>
      <c r="C1494" s="1" t="s">
        <v>261</v>
      </c>
      <c r="D1494" s="1" t="s">
        <v>277</v>
      </c>
      <c r="E1494" s="1" t="s">
        <v>27</v>
      </c>
      <c r="F1494" s="1">
        <v>45819</v>
      </c>
      <c r="G1494" s="14" t="s">
        <v>3570</v>
      </c>
      <c r="H1494" t="s">
        <v>278</v>
      </c>
      <c r="I1494" s="2" t="s">
        <v>279</v>
      </c>
      <c r="J1494" s="2">
        <v>0.006944444444444444</v>
      </c>
      <c r="K1494" s="1">
        <v>0.013888888888888888</v>
      </c>
      <c r="L1494" s="1">
        <v>0.020833333333333332</v>
      </c>
      <c r="M1494" s="1" t="s">
        <v>22</v>
      </c>
      <c r="N1494" s="1" t="s">
        <v>240</v>
      </c>
      <c r="O1494" s="1" t="s">
        <v>32</v>
      </c>
      <c r="P1494" s="1" t="s">
        <v>280</v>
      </c>
      <c r="Q1494" s="1">
        <v>45819</v>
      </c>
      <c r="R1494" s="14">
        <v>5</v>
      </c>
      <c r="S1494" s="1" t="s">
        <v>22</v>
      </c>
      <c r="T1494" s="1" t="s">
        <v>22</v>
      </c>
      <c r="U1494" s="1" t="s">
        <v>22</v>
      </c>
    </row>
    <row r="1495" spans="1:21" x14ac:dyDescent="0.25">
      <c r="A1495" s="1" t="s">
        <v>270</v>
      </c>
      <c r="B1495" s="2" t="s">
        <v>281</v>
      </c>
      <c r="C1495" s="1" t="s">
        <v>282</v>
      </c>
      <c r="D1495" s="1" t="s">
        <v>277</v>
      </c>
      <c r="E1495" s="1" t="s">
        <v>27</v>
      </c>
      <c r="F1495" s="1">
        <v>45819</v>
      </c>
      <c r="G1495" s="14" t="s">
        <v>3570</v>
      </c>
      <c r="H1495" t="s">
        <v>278</v>
      </c>
      <c r="I1495" s="2" t="s">
        <v>279</v>
      </c>
      <c r="J1495" s="2">
        <v>0.006944444444444444</v>
      </c>
      <c r="K1495" s="1">
        <v>0.013888888888888888</v>
      </c>
      <c r="L1495" s="1">
        <v>0.020833333333333332</v>
      </c>
      <c r="M1495" s="1" t="s">
        <v>22</v>
      </c>
      <c r="N1495" s="1" t="s">
        <v>240</v>
      </c>
      <c r="O1495" s="1" t="s">
        <v>32</v>
      </c>
      <c r="P1495" s="1" t="s">
        <v>244</v>
      </c>
      <c r="Q1495" s="1">
        <v>45819</v>
      </c>
      <c r="R1495" s="14">
        <v>5</v>
      </c>
      <c r="S1495" s="1" t="s">
        <v>22</v>
      </c>
      <c r="T1495" s="1" t="s">
        <v>22</v>
      </c>
      <c r="U1495" s="1" t="s">
        <v>22</v>
      </c>
    </row>
    <row r="1496" spans="1:21" x14ac:dyDescent="0.25">
      <c r="A1496" s="1" t="s">
        <v>270</v>
      </c>
      <c r="B1496" s="2" t="s">
        <v>283</v>
      </c>
      <c r="C1496" s="1" t="s">
        <v>25</v>
      </c>
      <c r="D1496" s="1" t="s">
        <v>277</v>
      </c>
      <c r="E1496" s="1" t="s">
        <v>27</v>
      </c>
      <c r="F1496" s="1">
        <v>45819</v>
      </c>
      <c r="G1496" s="14" t="s">
        <v>3570</v>
      </c>
      <c r="H1496" t="s">
        <v>278</v>
      </c>
      <c r="I1496" s="2" t="s">
        <v>279</v>
      </c>
      <c r="J1496" s="2">
        <v>0.006944444444444444</v>
      </c>
      <c r="K1496" s="1">
        <v>0.013888888888888888</v>
      </c>
      <c r="L1496" s="1">
        <v>0.020833333333333332</v>
      </c>
      <c r="M1496" s="1" t="s">
        <v>22</v>
      </c>
      <c r="N1496" s="1" t="s">
        <v>240</v>
      </c>
      <c r="O1496" s="1" t="s">
        <v>32</v>
      </c>
      <c r="P1496" s="1" t="s">
        <v>244</v>
      </c>
      <c r="Q1496" s="1">
        <v>45819</v>
      </c>
      <c r="R1496" s="14">
        <v>5</v>
      </c>
      <c r="S1496" s="1" t="s">
        <v>22</v>
      </c>
      <c r="T1496" s="1" t="s">
        <v>22</v>
      </c>
      <c r="U1496" s="1" t="s">
        <v>22</v>
      </c>
    </row>
    <row r="1497" spans="1:21" x14ac:dyDescent="0.25">
      <c r="A1497" s="1" t="s">
        <v>270</v>
      </c>
      <c r="B1497" s="2" t="s">
        <v>284</v>
      </c>
      <c r="C1497" s="1" t="s">
        <v>285</v>
      </c>
      <c r="D1497" s="1" t="s">
        <v>277</v>
      </c>
      <c r="E1497" s="1" t="s">
        <v>27</v>
      </c>
      <c r="F1497" s="1">
        <v>45819</v>
      </c>
      <c r="G1497" s="14" t="s">
        <v>3570</v>
      </c>
      <c r="H1497" t="s">
        <v>278</v>
      </c>
      <c r="I1497" s="2" t="s">
        <v>279</v>
      </c>
      <c r="J1497" s="2">
        <v>0.006944444444444444</v>
      </c>
      <c r="K1497" s="1">
        <v>0.013888888888888888</v>
      </c>
      <c r="L1497" s="1">
        <v>0.020833333333333332</v>
      </c>
      <c r="M1497" s="1" t="s">
        <v>22</v>
      </c>
      <c r="N1497" s="1" t="s">
        <v>240</v>
      </c>
      <c r="O1497" s="1" t="s">
        <v>32</v>
      </c>
      <c r="P1497" s="1" t="s">
        <v>47</v>
      </c>
      <c r="Q1497" s="1">
        <v>45819</v>
      </c>
      <c r="R1497" s="14">
        <v>5</v>
      </c>
      <c r="S1497" s="1" t="s">
        <v>22</v>
      </c>
      <c r="T1497" s="1" t="s">
        <v>22</v>
      </c>
      <c r="U1497" s="1" t="s">
        <v>22</v>
      </c>
    </row>
    <row r="1498" spans="1:21" x14ac:dyDescent="0.25">
      <c r="A1498" s="1" t="s">
        <v>270</v>
      </c>
      <c r="B1498" s="2" t="s">
        <v>286</v>
      </c>
      <c r="C1498" s="1" t="s">
        <v>287</v>
      </c>
      <c r="D1498" s="1" t="s">
        <v>277</v>
      </c>
      <c r="E1498" s="1" t="s">
        <v>27</v>
      </c>
      <c r="F1498" s="1">
        <v>45819</v>
      </c>
      <c r="G1498" s="14" t="s">
        <v>3570</v>
      </c>
      <c r="H1498" t="s">
        <v>278</v>
      </c>
      <c r="I1498" s="2" t="s">
        <v>279</v>
      </c>
      <c r="J1498" s="2">
        <v>0.006944444444444444</v>
      </c>
      <c r="K1498" s="1">
        <v>0.013888888888888888</v>
      </c>
      <c r="L1498" s="1">
        <v>0.020833333333333332</v>
      </c>
      <c r="M1498" s="1" t="s">
        <v>22</v>
      </c>
      <c r="N1498" s="1" t="s">
        <v>240</v>
      </c>
      <c r="O1498" s="1" t="s">
        <v>32</v>
      </c>
      <c r="P1498" s="1" t="s">
        <v>47</v>
      </c>
      <c r="Q1498" s="1">
        <v>45819</v>
      </c>
      <c r="R1498" s="14">
        <v>5</v>
      </c>
      <c r="S1498" s="1" t="s">
        <v>22</v>
      </c>
      <c r="T1498" s="1" t="s">
        <v>22</v>
      </c>
      <c r="U1498" s="1" t="s">
        <v>22</v>
      </c>
    </row>
    <row r="1499" spans="1:21" x14ac:dyDescent="0.25">
      <c r="A1499" s="1" t="s">
        <v>270</v>
      </c>
      <c r="B1499" s="2" t="s">
        <v>262</v>
      </c>
      <c r="C1499" s="1" t="s">
        <v>25</v>
      </c>
      <c r="D1499" s="1" t="s">
        <v>277</v>
      </c>
      <c r="E1499" s="1" t="s">
        <v>27</v>
      </c>
      <c r="F1499" s="1">
        <v>45819</v>
      </c>
      <c r="G1499" s="14" t="s">
        <v>3570</v>
      </c>
      <c r="H1499" t="s">
        <v>278</v>
      </c>
      <c r="I1499" s="2" t="s">
        <v>279</v>
      </c>
      <c r="J1499" s="2">
        <v>0.006944444444444444</v>
      </c>
      <c r="K1499" s="1">
        <v>0.013888888888888888</v>
      </c>
      <c r="L1499" s="1">
        <v>0.020833333333333332</v>
      </c>
      <c r="M1499" s="1" t="s">
        <v>22</v>
      </c>
      <c r="N1499" s="1" t="s">
        <v>240</v>
      </c>
      <c r="O1499" s="1" t="s">
        <v>32</v>
      </c>
      <c r="P1499" s="1" t="s">
        <v>280</v>
      </c>
      <c r="Q1499" s="1">
        <v>45819</v>
      </c>
      <c r="R1499" s="14">
        <v>5</v>
      </c>
      <c r="S1499" s="1" t="s">
        <v>22</v>
      </c>
      <c r="T1499" s="1" t="s">
        <v>22</v>
      </c>
      <c r="U1499" s="1" t="s">
        <v>22</v>
      </c>
    </row>
    <row r="1500" spans="1:21" x14ac:dyDescent="0.25">
      <c r="A1500" s="1" t="s">
        <v>270</v>
      </c>
      <c r="B1500" s="2" t="s">
        <v>288</v>
      </c>
      <c r="C1500" s="1" t="s">
        <v>289</v>
      </c>
      <c r="D1500" s="1" t="s">
        <v>277</v>
      </c>
      <c r="E1500" s="1" t="s">
        <v>27</v>
      </c>
      <c r="F1500" s="1">
        <v>45819</v>
      </c>
      <c r="G1500" s="14" t="s">
        <v>3570</v>
      </c>
      <c r="H1500" t="s">
        <v>278</v>
      </c>
      <c r="I1500" s="2" t="s">
        <v>279</v>
      </c>
      <c r="J1500" s="2">
        <v>0.006944444444444444</v>
      </c>
      <c r="K1500" s="1">
        <v>0.013888888888888888</v>
      </c>
      <c r="L1500" s="1">
        <v>0.020833333333333332</v>
      </c>
      <c r="M1500" s="1" t="s">
        <v>22</v>
      </c>
      <c r="N1500" s="1" t="s">
        <v>240</v>
      </c>
      <c r="O1500" s="1" t="s">
        <v>32</v>
      </c>
      <c r="P1500" s="1" t="s">
        <v>244</v>
      </c>
      <c r="Q1500" s="1">
        <v>45819</v>
      </c>
      <c r="R1500" s="14">
        <v>5</v>
      </c>
      <c r="S1500" s="1" t="s">
        <v>22</v>
      </c>
      <c r="T1500" s="1" t="s">
        <v>22</v>
      </c>
      <c r="U1500" s="1" t="s">
        <v>22</v>
      </c>
    </row>
    <row r="1501" spans="1:21" x14ac:dyDescent="0.25">
      <c r="A1501" s="1" t="s">
        <v>270</v>
      </c>
      <c r="B1501" s="2" t="s">
        <v>163</v>
      </c>
      <c r="C1501" s="1" t="s">
        <v>25</v>
      </c>
      <c r="D1501" s="1" t="s">
        <v>277</v>
      </c>
      <c r="E1501" s="1" t="s">
        <v>27</v>
      </c>
      <c r="F1501" s="1">
        <v>45819</v>
      </c>
      <c r="G1501" s="14" t="s">
        <v>3570</v>
      </c>
      <c r="H1501" t="s">
        <v>278</v>
      </c>
      <c r="I1501" s="2" t="s">
        <v>279</v>
      </c>
      <c r="J1501" s="2">
        <v>0.006944444444444444</v>
      </c>
      <c r="K1501" s="1">
        <v>0.013888888888888888</v>
      </c>
      <c r="L1501" s="1">
        <v>0.020833333333333332</v>
      </c>
      <c r="M1501" s="1" t="s">
        <v>22</v>
      </c>
      <c r="N1501" s="1" t="s">
        <v>240</v>
      </c>
      <c r="O1501" s="1" t="s">
        <v>32</v>
      </c>
      <c r="P1501" s="1" t="s">
        <v>47</v>
      </c>
      <c r="Q1501" s="1">
        <v>45819</v>
      </c>
      <c r="R1501" s="14">
        <v>5</v>
      </c>
      <c r="S1501" s="1" t="s">
        <v>22</v>
      </c>
      <c r="T1501" s="1" t="s">
        <v>22</v>
      </c>
      <c r="U1501" s="1" t="s">
        <v>22</v>
      </c>
    </row>
    <row r="1502" spans="1:21" x14ac:dyDescent="0.25">
      <c r="A1502" s="1" t="s">
        <v>270</v>
      </c>
      <c r="B1502" s="2" t="s">
        <v>247</v>
      </c>
      <c r="C1502" s="1" t="s">
        <v>25</v>
      </c>
      <c r="D1502" s="1" t="s">
        <v>277</v>
      </c>
      <c r="E1502" s="1" t="s">
        <v>27</v>
      </c>
      <c r="F1502" s="1">
        <v>45819</v>
      </c>
      <c r="G1502" s="14" t="s">
        <v>3570</v>
      </c>
      <c r="H1502" t="s">
        <v>278</v>
      </c>
      <c r="I1502" s="2" t="s">
        <v>279</v>
      </c>
      <c r="J1502" s="2">
        <v>0.006944444444444444</v>
      </c>
      <c r="K1502" s="1">
        <v>0.013888888888888888</v>
      </c>
      <c r="L1502" s="1">
        <v>0.020833333333333332</v>
      </c>
      <c r="M1502" s="1" t="s">
        <v>22</v>
      </c>
      <c r="N1502" s="1" t="s">
        <v>240</v>
      </c>
      <c r="O1502" s="1" t="s">
        <v>32</v>
      </c>
      <c r="P1502" s="1" t="s">
        <v>47</v>
      </c>
      <c r="Q1502" s="1">
        <v>45819</v>
      </c>
      <c r="R1502" s="14">
        <v>5</v>
      </c>
      <c r="S1502" s="1" t="s">
        <v>22</v>
      </c>
      <c r="T1502" s="1" t="s">
        <v>22</v>
      </c>
      <c r="U1502" s="1" t="s">
        <v>22</v>
      </c>
    </row>
    <row r="1503" spans="1:21" x14ac:dyDescent="0.25">
      <c r="A1503" s="1" t="s">
        <v>270</v>
      </c>
      <c r="B1503" s="2" t="s">
        <v>113</v>
      </c>
      <c r="C1503" s="1" t="s">
        <v>25</v>
      </c>
      <c r="D1503" s="1" t="s">
        <v>277</v>
      </c>
      <c r="E1503" s="1" t="s">
        <v>27</v>
      </c>
      <c r="F1503" s="1">
        <v>45819</v>
      </c>
      <c r="G1503" s="14" t="s">
        <v>3570</v>
      </c>
      <c r="H1503" t="s">
        <v>278</v>
      </c>
      <c r="I1503" s="2" t="s">
        <v>279</v>
      </c>
      <c r="J1503" s="2">
        <v>0.006944444444444444</v>
      </c>
      <c r="K1503" s="1">
        <v>0.013888888888888888</v>
      </c>
      <c r="L1503" s="1">
        <v>0.020833333333333332</v>
      </c>
      <c r="M1503" s="1" t="s">
        <v>22</v>
      </c>
      <c r="N1503" s="1" t="s">
        <v>240</v>
      </c>
      <c r="O1503" s="1" t="s">
        <v>32</v>
      </c>
      <c r="P1503" s="1" t="s">
        <v>47</v>
      </c>
      <c r="Q1503" s="1">
        <v>45819</v>
      </c>
      <c r="R1503" s="14">
        <v>5</v>
      </c>
      <c r="S1503" s="1" t="s">
        <v>22</v>
      </c>
      <c r="T1503" s="1" t="s">
        <v>22</v>
      </c>
      <c r="U1503" s="1" t="s">
        <v>22</v>
      </c>
    </row>
    <row r="1504" spans="1:21" x14ac:dyDescent="0.25">
      <c r="A1504" s="1" t="s">
        <v>270</v>
      </c>
      <c r="B1504" s="2" t="s">
        <v>142</v>
      </c>
      <c r="C1504" s="1" t="s">
        <v>25</v>
      </c>
      <c r="D1504" s="1" t="s">
        <v>277</v>
      </c>
      <c r="E1504" s="1" t="s">
        <v>27</v>
      </c>
      <c r="F1504" s="1">
        <v>45819</v>
      </c>
      <c r="G1504" s="14" t="s">
        <v>3570</v>
      </c>
      <c r="H1504" t="s">
        <v>278</v>
      </c>
      <c r="I1504" s="2" t="s">
        <v>279</v>
      </c>
      <c r="J1504" s="2">
        <v>0.006944444444444444</v>
      </c>
      <c r="K1504" s="1">
        <v>0.013888888888888888</v>
      </c>
      <c r="L1504" s="1">
        <v>0.020833333333333332</v>
      </c>
      <c r="M1504" s="1" t="s">
        <v>22</v>
      </c>
      <c r="N1504" s="1" t="s">
        <v>240</v>
      </c>
      <c r="O1504" s="1" t="s">
        <v>32</v>
      </c>
      <c r="P1504" s="1" t="s">
        <v>47</v>
      </c>
      <c r="Q1504" s="1">
        <v>45819</v>
      </c>
      <c r="R1504" s="14">
        <v>5</v>
      </c>
      <c r="S1504" s="1" t="s">
        <v>22</v>
      </c>
      <c r="T1504" s="1" t="s">
        <v>22</v>
      </c>
      <c r="U1504" s="1" t="s">
        <v>22</v>
      </c>
    </row>
    <row r="1505" spans="1:21" x14ac:dyDescent="0.25">
      <c r="A1505" s="1" t="s">
        <v>270</v>
      </c>
      <c r="B1505" s="2" t="s">
        <v>290</v>
      </c>
      <c r="C1505" s="1" t="s">
        <v>25</v>
      </c>
      <c r="D1505" s="1" t="s">
        <v>277</v>
      </c>
      <c r="E1505" s="1" t="s">
        <v>27</v>
      </c>
      <c r="F1505" s="1">
        <v>45819</v>
      </c>
      <c r="G1505" s="14" t="s">
        <v>3570</v>
      </c>
      <c r="H1505" t="s">
        <v>278</v>
      </c>
      <c r="I1505" s="2" t="s">
        <v>279</v>
      </c>
      <c r="J1505" s="2">
        <v>0.006944444444444444</v>
      </c>
      <c r="K1505" s="1">
        <v>0.013888888888888888</v>
      </c>
      <c r="L1505" s="1">
        <v>0.020833333333333332</v>
      </c>
      <c r="M1505" s="1" t="s">
        <v>22</v>
      </c>
      <c r="N1505" s="1" t="s">
        <v>240</v>
      </c>
      <c r="O1505" s="1" t="s">
        <v>32</v>
      </c>
      <c r="P1505" s="1" t="s">
        <v>244</v>
      </c>
      <c r="Q1505" s="1">
        <v>45819</v>
      </c>
      <c r="R1505" s="14">
        <v>5</v>
      </c>
      <c r="S1505" s="1" t="s">
        <v>22</v>
      </c>
      <c r="T1505" s="1" t="s">
        <v>22</v>
      </c>
      <c r="U1505" s="1" t="s">
        <v>22</v>
      </c>
    </row>
    <row r="1506" spans="1:21" x14ac:dyDescent="0.25">
      <c r="A1506" s="1" t="s">
        <v>270</v>
      </c>
      <c r="B1506" s="2" t="s">
        <v>291</v>
      </c>
      <c r="C1506" s="1" t="s">
        <v>25</v>
      </c>
      <c r="D1506" s="1" t="s">
        <v>277</v>
      </c>
      <c r="E1506" s="1" t="s">
        <v>27</v>
      </c>
      <c r="F1506" s="1">
        <v>45819</v>
      </c>
      <c r="G1506" s="14" t="s">
        <v>3570</v>
      </c>
      <c r="H1506" t="s">
        <v>278</v>
      </c>
      <c r="I1506" s="2" t="s">
        <v>279</v>
      </c>
      <c r="J1506" s="2">
        <v>0.006944444444444444</v>
      </c>
      <c r="K1506" s="1">
        <v>0.013888888888888888</v>
      </c>
      <c r="L1506" s="1">
        <v>0.020833333333333332</v>
      </c>
      <c r="M1506" s="1" t="s">
        <v>22</v>
      </c>
      <c r="N1506" s="1" t="s">
        <v>240</v>
      </c>
      <c r="O1506" s="1" t="s">
        <v>32</v>
      </c>
      <c r="P1506" s="1" t="s">
        <v>244</v>
      </c>
      <c r="Q1506" s="1">
        <v>45819</v>
      </c>
      <c r="R1506" s="14">
        <v>5</v>
      </c>
      <c r="S1506" s="1" t="s">
        <v>22</v>
      </c>
      <c r="T1506" s="1" t="s">
        <v>22</v>
      </c>
      <c r="U1506" s="1" t="s">
        <v>22</v>
      </c>
    </row>
    <row r="1507" spans="1:21" x14ac:dyDescent="0.25">
      <c r="A1507" s="1" t="s">
        <v>270</v>
      </c>
      <c r="B1507" s="2" t="s">
        <v>185</v>
      </c>
      <c r="C1507" s="1" t="s">
        <v>147</v>
      </c>
      <c r="D1507" s="1" t="s">
        <v>277</v>
      </c>
      <c r="E1507" s="1" t="s">
        <v>27</v>
      </c>
      <c r="F1507" s="1">
        <v>45819</v>
      </c>
      <c r="G1507" s="14" t="s">
        <v>3570</v>
      </c>
      <c r="H1507" t="s">
        <v>278</v>
      </c>
      <c r="I1507" s="2" t="s">
        <v>279</v>
      </c>
      <c r="J1507" s="2">
        <v>0.006944444444444444</v>
      </c>
      <c r="K1507" s="1">
        <v>0.013888888888888888</v>
      </c>
      <c r="L1507" s="1">
        <v>0.020833333333333332</v>
      </c>
      <c r="M1507" s="1" t="s">
        <v>22</v>
      </c>
      <c r="N1507" s="1" t="s">
        <v>240</v>
      </c>
      <c r="O1507" s="1" t="s">
        <v>32</v>
      </c>
      <c r="P1507" s="1" t="s">
        <v>47</v>
      </c>
      <c r="Q1507" s="1">
        <v>45819</v>
      </c>
      <c r="R1507" s="14">
        <v>5</v>
      </c>
      <c r="S1507" s="1" t="s">
        <v>22</v>
      </c>
      <c r="T1507" s="1" t="s">
        <v>22</v>
      </c>
      <c r="U1507" s="1" t="s">
        <v>22</v>
      </c>
    </row>
    <row r="1508" spans="1:21" x14ac:dyDescent="0.25">
      <c r="A1508" s="1" t="s">
        <v>270</v>
      </c>
      <c r="B1508" s="2" t="s">
        <v>77</v>
      </c>
      <c r="C1508" s="1" t="s">
        <v>78</v>
      </c>
      <c r="D1508" s="1" t="s">
        <v>277</v>
      </c>
      <c r="E1508" s="1" t="s">
        <v>27</v>
      </c>
      <c r="F1508" s="1">
        <v>45819</v>
      </c>
      <c r="G1508" s="14" t="s">
        <v>3570</v>
      </c>
      <c r="H1508" t="s">
        <v>278</v>
      </c>
      <c r="I1508" s="2" t="s">
        <v>279</v>
      </c>
      <c r="J1508" s="2">
        <v>0.006944444444444444</v>
      </c>
      <c r="K1508" s="1">
        <v>0.013888888888888888</v>
      </c>
      <c r="L1508" s="1">
        <v>0.020833333333333332</v>
      </c>
      <c r="M1508" s="1" t="s">
        <v>22</v>
      </c>
      <c r="N1508" s="1" t="s">
        <v>240</v>
      </c>
      <c r="O1508" s="1" t="s">
        <v>32</v>
      </c>
      <c r="P1508" s="1" t="s">
        <v>280</v>
      </c>
      <c r="Q1508" s="1">
        <v>45819</v>
      </c>
      <c r="R1508" s="14">
        <v>5</v>
      </c>
      <c r="S1508" s="1" t="s">
        <v>22</v>
      </c>
      <c r="T1508" s="1" t="s">
        <v>22</v>
      </c>
      <c r="U1508" s="1" t="s">
        <v>22</v>
      </c>
    </row>
    <row r="1509" spans="1:21" x14ac:dyDescent="0.25">
      <c r="A1509" s="1" t="s">
        <v>270</v>
      </c>
      <c r="B1509" s="2" t="s">
        <v>228</v>
      </c>
      <c r="C1509" s="1" t="s">
        <v>229</v>
      </c>
      <c r="D1509" s="1" t="s">
        <v>277</v>
      </c>
      <c r="E1509" s="1" t="s">
        <v>27</v>
      </c>
      <c r="F1509" s="1">
        <v>45819</v>
      </c>
      <c r="G1509" s="14" t="s">
        <v>3570</v>
      </c>
      <c r="H1509" t="s">
        <v>278</v>
      </c>
      <c r="I1509" s="2" t="s">
        <v>279</v>
      </c>
      <c r="J1509" s="2">
        <v>0.006944444444444444</v>
      </c>
      <c r="K1509" s="1">
        <v>0.013888888888888888</v>
      </c>
      <c r="L1509" s="1">
        <v>0.020833333333333332</v>
      </c>
      <c r="M1509" s="1" t="s">
        <v>22</v>
      </c>
      <c r="N1509" s="1" t="s">
        <v>240</v>
      </c>
      <c r="O1509" s="1" t="s">
        <v>32</v>
      </c>
      <c r="P1509" s="1" t="s">
        <v>280</v>
      </c>
      <c r="Q1509" s="1">
        <v>45819</v>
      </c>
      <c r="R1509" s="14">
        <v>5</v>
      </c>
      <c r="S1509" s="1" t="s">
        <v>22</v>
      </c>
      <c r="T1509" s="1" t="s">
        <v>22</v>
      </c>
      <c r="U1509" s="1" t="s">
        <v>22</v>
      </c>
    </row>
    <row r="1510" spans="1:21" x14ac:dyDescent="0.25">
      <c r="A1510" s="1" t="s">
        <v>270</v>
      </c>
      <c r="B1510" s="2" t="s">
        <v>72</v>
      </c>
      <c r="C1510" s="1" t="s">
        <v>236</v>
      </c>
      <c r="D1510" s="1" t="s">
        <v>277</v>
      </c>
      <c r="E1510" s="1" t="s">
        <v>27</v>
      </c>
      <c r="F1510" s="1">
        <v>45819</v>
      </c>
      <c r="G1510" s="14" t="s">
        <v>3570</v>
      </c>
      <c r="H1510" t="s">
        <v>278</v>
      </c>
      <c r="I1510" s="2" t="s">
        <v>279</v>
      </c>
      <c r="J1510" s="2">
        <v>0.006944444444444444</v>
      </c>
      <c r="K1510" s="1">
        <v>0.013888888888888888</v>
      </c>
      <c r="L1510" s="1">
        <v>0.020833333333333332</v>
      </c>
      <c r="M1510" s="1" t="s">
        <v>22</v>
      </c>
      <c r="N1510" s="1" t="s">
        <v>240</v>
      </c>
      <c r="O1510" s="1" t="s">
        <v>32</v>
      </c>
      <c r="P1510" s="1" t="s">
        <v>47</v>
      </c>
      <c r="Q1510" s="1">
        <v>45819</v>
      </c>
      <c r="R1510" s="14">
        <v>5</v>
      </c>
      <c r="S1510" s="1" t="s">
        <v>22</v>
      </c>
      <c r="T1510" s="1" t="s">
        <v>22</v>
      </c>
      <c r="U1510" s="1" t="s">
        <v>22</v>
      </c>
    </row>
    <row r="1511" spans="1:21" x14ac:dyDescent="0.25">
      <c r="A1511" s="1" t="s">
        <v>270</v>
      </c>
      <c r="B1511" s="2" t="s">
        <v>118</v>
      </c>
      <c r="C1511" s="1" t="s">
        <v>25</v>
      </c>
      <c r="D1511" s="1" t="s">
        <v>277</v>
      </c>
      <c r="E1511" s="1" t="s">
        <v>27</v>
      </c>
      <c r="F1511" s="1">
        <v>45819</v>
      </c>
      <c r="G1511" s="14" t="s">
        <v>3570</v>
      </c>
      <c r="H1511" t="s">
        <v>278</v>
      </c>
      <c r="I1511" s="2" t="s">
        <v>279</v>
      </c>
      <c r="J1511" s="2">
        <v>0.006944444444444444</v>
      </c>
      <c r="K1511" s="1">
        <v>0.013888888888888888</v>
      </c>
      <c r="L1511" s="1">
        <v>0.020833333333333332</v>
      </c>
      <c r="M1511" s="1" t="s">
        <v>22</v>
      </c>
      <c r="N1511" s="1" t="s">
        <v>240</v>
      </c>
      <c r="O1511" s="1" t="s">
        <v>32</v>
      </c>
      <c r="P1511" s="1" t="s">
        <v>47</v>
      </c>
      <c r="Q1511" s="1">
        <v>45819</v>
      </c>
      <c r="R1511" s="14">
        <v>5</v>
      </c>
      <c r="S1511" s="1" t="s">
        <v>22</v>
      </c>
      <c r="T1511" s="1" t="s">
        <v>22</v>
      </c>
      <c r="U1511" s="1" t="s">
        <v>22</v>
      </c>
    </row>
    <row r="1512" spans="1:21" x14ac:dyDescent="0.25">
      <c r="A1512" s="1" t="s">
        <v>270</v>
      </c>
      <c r="B1512" s="2" t="s">
        <v>108</v>
      </c>
      <c r="C1512" s="1" t="s">
        <v>78</v>
      </c>
      <c r="D1512" s="1" t="s">
        <v>292</v>
      </c>
      <c r="E1512" s="1" t="s">
        <v>37</v>
      </c>
      <c r="F1512" s="1">
        <v>45825</v>
      </c>
      <c r="G1512" s="14" t="s">
        <v>3570</v>
      </c>
      <c r="H1512" t="s">
        <v>293</v>
      </c>
      <c r="I1512" s="2" t="s">
        <v>294</v>
      </c>
      <c r="J1512" s="2">
        <v>0.0625</v>
      </c>
      <c r="K1512" s="1">
        <v>0.0625</v>
      </c>
      <c r="L1512" s="1">
        <v>0.125</v>
      </c>
      <c r="M1512" s="1" t="s">
        <v>22</v>
      </c>
      <c r="N1512" s="1" t="s">
        <v>31</v>
      </c>
      <c r="O1512" s="1" t="s">
        <v>32</v>
      </c>
      <c r="P1512" s="1" t="s">
        <v>42</v>
      </c>
      <c r="Q1512" s="1">
        <v>45826</v>
      </c>
      <c r="R1512" s="14">
        <v>5</v>
      </c>
      <c r="S1512" s="1" t="s">
        <v>22</v>
      </c>
      <c r="T1512" s="1" t="s">
        <v>22</v>
      </c>
      <c r="U1512" s="1" t="s">
        <v>22</v>
      </c>
    </row>
    <row r="1513" spans="1:21" x14ac:dyDescent="0.25">
      <c r="A1513" s="1" t="s">
        <v>270</v>
      </c>
      <c r="B1513" s="2" t="s">
        <v>72</v>
      </c>
      <c r="C1513" s="1" t="s">
        <v>44</v>
      </c>
      <c r="D1513" s="1" t="s">
        <v>295</v>
      </c>
      <c r="E1513" s="1" t="s">
        <v>37</v>
      </c>
      <c r="F1513" s="1">
        <v>45832</v>
      </c>
      <c r="G1513" s="14" t="s">
        <v>296</v>
      </c>
      <c r="H1513" t="s">
        <v>297</v>
      </c>
      <c r="I1513" s="2" t="s">
        <v>298</v>
      </c>
      <c r="J1513" s="2">
        <v>0.013888888888888888</v>
      </c>
      <c r="K1513" s="1">
        <v>0.020833333333333332</v>
      </c>
      <c r="L1513" s="1">
        <v>0.034722222222222224</v>
      </c>
      <c r="M1513" s="1" t="s">
        <v>22</v>
      </c>
      <c r="N1513" s="1" t="s">
        <v>53</v>
      </c>
      <c r="O1513" s="1" t="s">
        <v>32</v>
      </c>
      <c r="P1513" s="1" t="s">
        <v>47</v>
      </c>
      <c r="Q1513" s="1">
        <v>45832</v>
      </c>
      <c r="R1513" s="14">
        <v>5</v>
      </c>
      <c r="S1513" s="1" t="s">
        <v>22</v>
      </c>
      <c r="T1513" s="1" t="s">
        <v>22</v>
      </c>
      <c r="U1513" s="1" t="s">
        <v>22</v>
      </c>
    </row>
    <row r="1514" spans="1:21" x14ac:dyDescent="0.25">
      <c r="A1514" s="1" t="s">
        <v>270</v>
      </c>
      <c r="B1514" s="2" t="s">
        <v>113</v>
      </c>
      <c r="C1514" s="1" t="s">
        <v>25</v>
      </c>
      <c r="D1514" s="1" t="s">
        <v>299</v>
      </c>
      <c r="E1514" s="1" t="s">
        <v>37</v>
      </c>
      <c r="F1514" s="1">
        <v>45833</v>
      </c>
      <c r="G1514" s="14" t="s">
        <v>28</v>
      </c>
      <c r="H1514" t="s">
        <v>300</v>
      </c>
      <c r="I1514" s="2" t="s">
        <v>301</v>
      </c>
      <c r="J1514" s="2">
        <v>0.03125</v>
      </c>
      <c r="K1514" s="1">
        <v>0.05555555555555555</v>
      </c>
      <c r="L1514" s="1">
        <v>0.08680555555555555</v>
      </c>
      <c r="M1514" s="1" t="s">
        <v>22</v>
      </c>
      <c r="N1514" s="1" t="s">
        <v>31</v>
      </c>
      <c r="O1514" s="1" t="s">
        <v>32</v>
      </c>
      <c r="P1514" s="1" t="s">
        <v>47</v>
      </c>
      <c r="Q1514" s="1">
        <v>45833</v>
      </c>
      <c r="R1514" s="14">
        <v>4</v>
      </c>
      <c r="S1514" s="1" t="s">
        <v>22</v>
      </c>
      <c r="T1514" s="1" t="s">
        <v>22</v>
      </c>
      <c r="U1514" s="1" t="s">
        <v>22</v>
      </c>
    </row>
    <row r="1515" spans="1:21" x14ac:dyDescent="0.25">
      <c r="A1515" s="1" t="s">
        <v>270</v>
      </c>
      <c r="B1515" s="2" t="s">
        <v>65</v>
      </c>
      <c r="C1515" s="1" t="s">
        <v>25</v>
      </c>
      <c r="D1515" s="1" t="s">
        <v>302</v>
      </c>
      <c r="E1515" s="1" t="s">
        <v>27</v>
      </c>
      <c r="F1515" s="1">
        <v>45832</v>
      </c>
      <c r="G1515" s="14" t="s">
        <v>28</v>
      </c>
      <c r="H1515" t="s">
        <v>303</v>
      </c>
      <c r="I1515" s="2" t="s">
        <v>303</v>
      </c>
      <c r="J1515" s="2">
        <v>0.020833333333333332</v>
      </c>
      <c r="K1515" s="1">
        <v>0.034722222222222224</v>
      </c>
      <c r="L1515" s="1">
        <v>0.05555555555555555</v>
      </c>
      <c r="M1515" s="1" t="s">
        <v>22</v>
      </c>
      <c r="N1515" s="1" t="s">
        <v>53</v>
      </c>
      <c r="O1515" s="1" t="s">
        <v>32</v>
      </c>
      <c r="P1515" s="1" t="s">
        <v>47</v>
      </c>
      <c r="Q1515" s="1">
        <v>45832</v>
      </c>
      <c r="R1515" s="14">
        <v>5</v>
      </c>
      <c r="S1515" s="1" t="s">
        <v>22</v>
      </c>
      <c r="T1515" s="1" t="s">
        <v>22</v>
      </c>
      <c r="U1515" s="1" t="s">
        <v>22</v>
      </c>
    </row>
    <row r="1516" spans="1:21" x14ac:dyDescent="0.25">
      <c r="A1516" s="1" t="s">
        <v>270</v>
      </c>
      <c r="B1516" s="2" t="s">
        <v>170</v>
      </c>
      <c r="C1516" s="1" t="s">
        <v>25</v>
      </c>
      <c r="D1516" s="1" t="s">
        <v>304</v>
      </c>
      <c r="E1516" s="1" t="s">
        <v>27</v>
      </c>
      <c r="F1516" s="1">
        <v>45834</v>
      </c>
      <c r="G1516" s="14" t="s">
        <v>133</v>
      </c>
      <c r="H1516" t="s">
        <v>305</v>
      </c>
      <c r="I1516" s="2" t="s">
        <v>306</v>
      </c>
      <c r="J1516" s="2">
        <v>0.020833333333333332</v>
      </c>
      <c r="K1516" s="1">
        <v>0.020833333333333332</v>
      </c>
      <c r="L1516" s="1">
        <v>0.041666666666666664</v>
      </c>
      <c r="M1516" s="1" t="s">
        <v>22</v>
      </c>
      <c r="N1516" s="1" t="s">
        <v>31</v>
      </c>
      <c r="O1516" s="1" t="s">
        <v>32</v>
      </c>
      <c r="P1516" s="1" t="s">
        <v>42</v>
      </c>
      <c r="Q1516" s="1">
        <v>45834</v>
      </c>
      <c r="R1516" s="14">
        <v>5</v>
      </c>
      <c r="S1516" s="1" t="s">
        <v>22</v>
      </c>
      <c r="T1516" s="1" t="s">
        <v>22</v>
      </c>
      <c r="U1516" s="1" t="s">
        <v>22</v>
      </c>
    </row>
    <row r="1517" spans="1:21" x14ac:dyDescent="0.25">
      <c r="A1517" s="1" t="s">
        <v>307</v>
      </c>
      <c r="B1517" s="2" t="s">
        <v>308</v>
      </c>
      <c r="C1517" s="1" t="s">
        <v>309</v>
      </c>
      <c r="D1517" s="1" t="s">
        <v>310</v>
      </c>
      <c r="E1517" s="1" t="s">
        <v>37</v>
      </c>
      <c r="F1517" s="1">
        <v>45839</v>
      </c>
      <c r="G1517" s="14" t="s">
        <v>133</v>
      </c>
      <c r="H1517" t="s">
        <v>311</v>
      </c>
      <c r="I1517" s="2" t="s">
        <v>312</v>
      </c>
      <c r="J1517" s="2">
        <v>0.013888888888888888</v>
      </c>
      <c r="K1517" s="1">
        <v>0.034722222222222224</v>
      </c>
      <c r="L1517" s="1">
        <v>0.04861111111111111</v>
      </c>
      <c r="M1517" s="1" t="s">
        <v>22</v>
      </c>
      <c r="N1517" s="1" t="s">
        <v>240</v>
      </c>
      <c r="O1517" s="1" t="s">
        <v>32</v>
      </c>
      <c r="P1517" s="1" t="s">
        <v>42</v>
      </c>
      <c r="Q1517" s="1">
        <v>45839</v>
      </c>
      <c r="R1517" s="14">
        <v>5</v>
      </c>
      <c r="S1517" s="1" t="s">
        <v>22</v>
      </c>
      <c r="T1517" s="1" t="s">
        <v>22</v>
      </c>
      <c r="U1517" s="1" t="s">
        <v>22</v>
      </c>
    </row>
    <row r="1518" spans="1:21" x14ac:dyDescent="0.25">
      <c r="A1518" s="1" t="s">
        <v>307</v>
      </c>
      <c r="B1518" s="2" t="s">
        <v>113</v>
      </c>
      <c r="C1518" s="1" t="s">
        <v>25</v>
      </c>
      <c r="D1518" s="1" t="s">
        <v>313</v>
      </c>
      <c r="E1518" s="1" t="s">
        <v>27</v>
      </c>
      <c r="F1518" s="1">
        <v>45841</v>
      </c>
      <c r="G1518" s="14" t="s">
        <v>74</v>
      </c>
      <c r="H1518" t="s">
        <v>314</v>
      </c>
      <c r="I1518" s="2" t="s">
        <v>315</v>
      </c>
      <c r="J1518" s="2">
        <v>0.013888888888888888</v>
      </c>
      <c r="K1518" s="1">
        <v>0.034722222222222224</v>
      </c>
      <c r="L1518" s="1">
        <v>0.04861111111111111</v>
      </c>
      <c r="M1518" s="1" t="s">
        <v>22</v>
      </c>
      <c r="N1518" s="1" t="s">
        <v>240</v>
      </c>
      <c r="O1518" s="1" t="s">
        <v>32</v>
      </c>
      <c r="P1518" s="1" t="s">
        <v>47</v>
      </c>
      <c r="Q1518" s="1">
        <v>45841</v>
      </c>
      <c r="R1518" s="14">
        <v>5</v>
      </c>
      <c r="S1518" s="1" t="s">
        <v>22</v>
      </c>
      <c r="T1518" s="1" t="s">
        <v>22</v>
      </c>
      <c r="U1518" s="1" t="s">
        <v>22</v>
      </c>
    </row>
    <row r="1519" spans="1:21" x14ac:dyDescent="0.25">
      <c r="A1519" s="1" t="s">
        <v>307</v>
      </c>
      <c r="B1519" s="2" t="s">
        <v>113</v>
      </c>
      <c r="C1519" s="1" t="s">
        <v>25</v>
      </c>
      <c r="D1519" s="1" t="s">
        <v>316</v>
      </c>
      <c r="E1519" s="1" t="s">
        <v>37</v>
      </c>
      <c r="F1519" s="1">
        <v>45842</v>
      </c>
      <c r="G1519" s="14" t="s">
        <v>3570</v>
      </c>
      <c r="H1519" t="s">
        <v>317</v>
      </c>
      <c r="I1519" s="2" t="s">
        <v>318</v>
      </c>
      <c r="J1519" s="2">
        <v>0.017361111111111112</v>
      </c>
      <c r="K1519" s="1">
        <v>0.034722222222222224</v>
      </c>
      <c r="L1519" s="1">
        <v>0.052083333333333336</v>
      </c>
      <c r="M1519" s="1" t="s">
        <v>22</v>
      </c>
      <c r="N1519" s="1" t="s">
        <v>240</v>
      </c>
      <c r="O1519" s="1" t="s">
        <v>32</v>
      </c>
      <c r="P1519" s="1" t="s">
        <v>47</v>
      </c>
      <c r="Q1519" s="1">
        <v>45842</v>
      </c>
      <c r="R1519" s="14">
        <v>5</v>
      </c>
      <c r="S1519" s="1" t="s">
        <v>22</v>
      </c>
      <c r="T1519" s="1" t="s">
        <v>22</v>
      </c>
      <c r="U1519" s="1" t="s">
        <v>22</v>
      </c>
    </row>
    <row r="1520" spans="1:21" x14ac:dyDescent="0.25">
      <c r="A1520" s="1" t="s">
        <v>307</v>
      </c>
      <c r="B1520" s="2" t="s">
        <v>258</v>
      </c>
      <c r="C1520" s="1" t="s">
        <v>25</v>
      </c>
      <c r="D1520" s="1" t="s">
        <v>319</v>
      </c>
      <c r="E1520" s="1" t="s">
        <v>27</v>
      </c>
      <c r="F1520" s="1">
        <v>45842</v>
      </c>
      <c r="G1520" s="14" t="s">
        <v>3570</v>
      </c>
      <c r="H1520" t="s">
        <v>320</v>
      </c>
      <c r="I1520" s="2" t="s">
        <v>321</v>
      </c>
      <c r="J1520" s="2">
        <v>0.027777777777777776</v>
      </c>
      <c r="K1520" s="1">
        <v>0.034722222222222224</v>
      </c>
      <c r="L1520" s="1">
        <v>0.0625</v>
      </c>
      <c r="M1520" s="1" t="s">
        <v>22</v>
      </c>
      <c r="N1520" s="1" t="s">
        <v>240</v>
      </c>
      <c r="O1520" s="1" t="s">
        <v>32</v>
      </c>
      <c r="P1520" s="1" t="s">
        <v>47</v>
      </c>
      <c r="Q1520" s="1">
        <v>45842</v>
      </c>
      <c r="R1520" s="14">
        <v>5</v>
      </c>
      <c r="S1520" s="1" t="s">
        <v>22</v>
      </c>
      <c r="T1520" s="1" t="s">
        <v>22</v>
      </c>
      <c r="U1520" s="1" t="s">
        <v>22</v>
      </c>
    </row>
    <row r="1521" spans="1:21" x14ac:dyDescent="0.25">
      <c r="A1521" s="1" t="s">
        <v>307</v>
      </c>
      <c r="B1521" s="2" t="s">
        <v>163</v>
      </c>
      <c r="C1521" s="1" t="s">
        <v>25</v>
      </c>
      <c r="D1521" s="1" t="s">
        <v>322</v>
      </c>
      <c r="E1521" s="1" t="s">
        <v>27</v>
      </c>
      <c r="F1521" s="1">
        <v>45842</v>
      </c>
      <c r="G1521" s="14" t="s">
        <v>3570</v>
      </c>
      <c r="H1521" t="s">
        <v>323</v>
      </c>
      <c r="I1521" s="2" t="s">
        <v>324</v>
      </c>
      <c r="J1521" s="2">
        <v>0.020833333333333332</v>
      </c>
      <c r="K1521" s="1">
        <v>0.034722222222222224</v>
      </c>
      <c r="L1521" s="1">
        <v>0.05555555555555555</v>
      </c>
      <c r="M1521" s="1" t="s">
        <v>22</v>
      </c>
      <c r="N1521" s="1" t="s">
        <v>240</v>
      </c>
      <c r="O1521" s="1" t="s">
        <v>32</v>
      </c>
      <c r="P1521" s="1" t="s">
        <v>47</v>
      </c>
      <c r="Q1521" s="1">
        <v>45842</v>
      </c>
      <c r="R1521" s="14">
        <v>5</v>
      </c>
      <c r="S1521" s="1" t="s">
        <v>22</v>
      </c>
      <c r="T1521" s="1" t="s">
        <v>22</v>
      </c>
      <c r="U1521" s="1" t="s">
        <v>22</v>
      </c>
    </row>
    <row r="1522" spans="1:21" x14ac:dyDescent="0.25">
      <c r="A1522" s="1" t="s">
        <v>307</v>
      </c>
      <c r="B1522" s="2" t="s">
        <v>43</v>
      </c>
      <c r="C1522" s="1" t="s">
        <v>236</v>
      </c>
      <c r="D1522" s="1" t="s">
        <v>325</v>
      </c>
      <c r="E1522" s="1" t="s">
        <v>37</v>
      </c>
      <c r="F1522" s="1">
        <v>45847</v>
      </c>
      <c r="G1522" s="14" t="s">
        <v>28</v>
      </c>
      <c r="H1522" t="s">
        <v>326</v>
      </c>
      <c r="I1522" s="2" t="s">
        <v>327</v>
      </c>
      <c r="J1522" s="2">
        <v>0.020833333333333332</v>
      </c>
      <c r="K1522" s="1">
        <v>0.034722222222222224</v>
      </c>
      <c r="L1522" s="1">
        <v>0.05555555555555555</v>
      </c>
      <c r="M1522" s="1" t="s">
        <v>22</v>
      </c>
      <c r="N1522" s="1" t="s">
        <v>53</v>
      </c>
      <c r="O1522" s="1" t="s">
        <v>240</v>
      </c>
      <c r="P1522" s="1" t="s">
        <v>47</v>
      </c>
      <c r="Q1522" s="1">
        <v>45847</v>
      </c>
      <c r="R1522" s="14">
        <v>5</v>
      </c>
      <c r="S1522" s="1" t="s">
        <v>22</v>
      </c>
      <c r="T1522" s="1" t="s">
        <v>22</v>
      </c>
      <c r="U1522" s="1" t="s">
        <v>22</v>
      </c>
    </row>
    <row r="1523" spans="1:21" x14ac:dyDescent="0.25">
      <c r="A1523" s="1" t="s">
        <v>307</v>
      </c>
      <c r="B1523" s="2" t="s">
        <v>65</v>
      </c>
      <c r="C1523" s="1" t="s">
        <v>25</v>
      </c>
      <c r="D1523" s="1" t="s">
        <v>328</v>
      </c>
      <c r="E1523" s="1" t="s">
        <v>27</v>
      </c>
      <c r="F1523" s="1">
        <v>45853</v>
      </c>
      <c r="G1523" s="14" t="s">
        <v>3570</v>
      </c>
      <c r="H1523" t="s">
        <v>329</v>
      </c>
      <c r="I1523" s="2" t="s">
        <v>330</v>
      </c>
      <c r="J1523" s="2">
        <v>0.013888888888888888</v>
      </c>
      <c r="K1523" s="1">
        <v>0.0625</v>
      </c>
      <c r="L1523" s="1">
        <v>0.0763888888888889</v>
      </c>
      <c r="M1523" s="1" t="s">
        <v>22</v>
      </c>
      <c r="N1523" s="1" t="s">
        <v>240</v>
      </c>
      <c r="O1523" s="1" t="s">
        <v>32</v>
      </c>
      <c r="P1523" s="1" t="s">
        <v>47</v>
      </c>
      <c r="Q1523" s="1">
        <v>45853</v>
      </c>
      <c r="R1523" s="14">
        <v>5</v>
      </c>
      <c r="S1523" s="1" t="s">
        <v>22</v>
      </c>
      <c r="T1523" s="1" t="s">
        <v>22</v>
      </c>
      <c r="U1523" s="1" t="s">
        <v>22</v>
      </c>
    </row>
    <row r="1524" spans="1:21" x14ac:dyDescent="0.25">
      <c r="A1524" s="1" t="s">
        <v>307</v>
      </c>
      <c r="B1524" s="2" t="s">
        <v>163</v>
      </c>
      <c r="C1524" s="1" t="s">
        <v>25</v>
      </c>
      <c r="D1524" s="1" t="s">
        <v>331</v>
      </c>
      <c r="E1524" s="1" t="s">
        <v>37</v>
      </c>
      <c r="F1524" s="1">
        <v>45854</v>
      </c>
      <c r="G1524" s="14" t="s">
        <v>28</v>
      </c>
      <c r="H1524" t="s">
        <v>332</v>
      </c>
      <c r="I1524" s="2" t="s">
        <v>333</v>
      </c>
      <c r="J1524" s="2">
        <v>0.020833333333333332</v>
      </c>
      <c r="K1524" s="1">
        <v>0.034722222222222224</v>
      </c>
      <c r="L1524" s="1">
        <v>0.05555555555555555</v>
      </c>
      <c r="M1524" s="1" t="s">
        <v>22</v>
      </c>
      <c r="N1524" s="1" t="s">
        <v>31</v>
      </c>
      <c r="O1524" s="1" t="s">
        <v>32</v>
      </c>
      <c r="P1524" s="1" t="s">
        <v>47</v>
      </c>
      <c r="Q1524" s="1">
        <v>45854</v>
      </c>
      <c r="R1524" s="14">
        <v>5</v>
      </c>
      <c r="S1524" s="1" t="s">
        <v>22</v>
      </c>
      <c r="T1524" s="1" t="s">
        <v>22</v>
      </c>
      <c r="U1524" s="1" t="s">
        <v>22</v>
      </c>
    </row>
    <row r="1525" spans="1:21" x14ac:dyDescent="0.25">
      <c r="A1525" s="1" t="s">
        <v>307</v>
      </c>
      <c r="B1525" s="2" t="s">
        <v>334</v>
      </c>
      <c r="C1525" s="1" t="s">
        <v>335</v>
      </c>
      <c r="D1525" s="1" t="s">
        <v>336</v>
      </c>
      <c r="E1525" s="1" t="s">
        <v>27</v>
      </c>
      <c r="F1525" s="1">
        <v>45863</v>
      </c>
      <c r="G1525" s="14" t="s">
        <v>133</v>
      </c>
      <c r="H1525" t="s">
        <v>337</v>
      </c>
      <c r="I1525" s="2" t="s">
        <v>338</v>
      </c>
      <c r="J1525" s="2">
        <v>0.020833333333333332</v>
      </c>
      <c r="K1525" s="1">
        <v>0.034722222222222224</v>
      </c>
      <c r="L1525" s="1">
        <v>0.05555555555555555</v>
      </c>
      <c r="M1525" s="1" t="s">
        <v>22</v>
      </c>
      <c r="N1525" s="1" t="s">
        <v>240</v>
      </c>
      <c r="O1525" s="1" t="s">
        <v>32</v>
      </c>
      <c r="P1525" s="1" t="s">
        <v>42</v>
      </c>
      <c r="Q1525" s="1">
        <v>45863</v>
      </c>
      <c r="R1525" s="14">
        <v>5</v>
      </c>
      <c r="S1525" s="1" t="s">
        <v>22</v>
      </c>
      <c r="T1525" s="1" t="s">
        <v>22</v>
      </c>
      <c r="U1525" s="1" t="s">
        <v>22</v>
      </c>
    </row>
    <row r="1526" spans="1:21" x14ac:dyDescent="0.25">
      <c r="A1526" s="1" t="s">
        <v>307</v>
      </c>
      <c r="B1526" s="2" t="s">
        <v>339</v>
      </c>
      <c r="C1526" s="1" t="s">
        <v>78</v>
      </c>
      <c r="D1526" s="1" t="s">
        <v>340</v>
      </c>
      <c r="E1526" s="1" t="s">
        <v>37</v>
      </c>
      <c r="F1526" s="1">
        <v>45869</v>
      </c>
      <c r="G1526" s="14" t="s">
        <v>3570</v>
      </c>
      <c r="H1526" t="s">
        <v>341</v>
      </c>
      <c r="I1526" s="2" t="s">
        <v>342</v>
      </c>
      <c r="J1526" s="2">
        <v>0.006944444444444444</v>
      </c>
      <c r="K1526" s="1">
        <v>0.04513888888888889</v>
      </c>
      <c r="L1526" s="1">
        <v>0.05208333333333333</v>
      </c>
      <c r="M1526" s="1" t="s">
        <v>22</v>
      </c>
      <c r="N1526" s="1" t="s">
        <v>240</v>
      </c>
      <c r="O1526" s="1" t="s">
        <v>32</v>
      </c>
      <c r="P1526" s="1" t="s">
        <v>244</v>
      </c>
      <c r="Q1526" s="1">
        <v>45869</v>
      </c>
      <c r="R1526" s="14">
        <v>5</v>
      </c>
      <c r="S1526" s="1" t="s">
        <v>22</v>
      </c>
      <c r="T1526" s="1" t="s">
        <v>22</v>
      </c>
      <c r="U1526" s="1" t="s">
        <v>22</v>
      </c>
    </row>
    <row r="1527" spans="1:21" x14ac:dyDescent="0.25">
      <c r="A1527" s="1" t="s">
        <v>343</v>
      </c>
      <c r="B1527" s="2" t="s">
        <v>308</v>
      </c>
      <c r="C1527" s="1" t="s">
        <v>309</v>
      </c>
      <c r="D1527" s="1" t="s">
        <v>344</v>
      </c>
      <c r="E1527" s="1" t="s">
        <v>37</v>
      </c>
      <c r="F1527" s="1">
        <v>45870</v>
      </c>
      <c r="G1527" s="14" t="s">
        <v>28</v>
      </c>
      <c r="H1527" t="s">
        <v>345</v>
      </c>
      <c r="I1527" s="2" t="s">
        <v>346</v>
      </c>
      <c r="J1527" s="2">
        <v>0.020833333333333332</v>
      </c>
      <c r="K1527" s="1">
        <v>0.07291666666666667</v>
      </c>
      <c r="L1527" s="1">
        <v>0.09375</v>
      </c>
      <c r="M1527" s="1" t="s">
        <v>22</v>
      </c>
      <c r="N1527" s="1" t="s">
        <v>347</v>
      </c>
      <c r="O1527" s="1" t="s">
        <v>240</v>
      </c>
      <c r="P1527" s="1" t="s">
        <v>42</v>
      </c>
      <c r="Q1527" s="1">
        <v>45870</v>
      </c>
      <c r="R1527" s="14">
        <v>5</v>
      </c>
      <c r="S1527" s="1" t="s">
        <v>22</v>
      </c>
      <c r="T1527" s="1" t="s">
        <v>22</v>
      </c>
      <c r="U1527" s="1" t="s">
        <v>22</v>
      </c>
    </row>
    <row r="1528" spans="1:21" x14ac:dyDescent="0.25">
      <c r="A1528" s="1" t="s">
        <v>343</v>
      </c>
      <c r="B1528" s="2" t="s">
        <v>348</v>
      </c>
      <c r="C1528" s="1" t="s">
        <v>78</v>
      </c>
      <c r="D1528" s="1" t="s">
        <v>349</v>
      </c>
      <c r="E1528" s="1" t="s">
        <v>37</v>
      </c>
      <c r="F1528" s="1">
        <v>45874</v>
      </c>
      <c r="G1528" s="14" t="s">
        <v>28</v>
      </c>
      <c r="H1528" t="s">
        <v>350</v>
      </c>
      <c r="I1528" s="2" t="s">
        <v>351</v>
      </c>
      <c r="J1528" s="2">
        <v>0.017361111111111112</v>
      </c>
      <c r="K1528" s="1">
        <v>0.041666666666666664</v>
      </c>
      <c r="L1528" s="1">
        <v>0.059027777777777776</v>
      </c>
      <c r="M1528" s="1" t="s">
        <v>22</v>
      </c>
      <c r="N1528" s="1" t="s">
        <v>240</v>
      </c>
      <c r="O1528" s="1" t="s">
        <v>32</v>
      </c>
      <c r="P1528" s="1" t="s">
        <v>244</v>
      </c>
      <c r="Q1528" s="1">
        <v>45874</v>
      </c>
      <c r="R1528" s="14">
        <v>5</v>
      </c>
      <c r="S1528" s="1" t="s">
        <v>22</v>
      </c>
      <c r="T1528" s="1" t="s">
        <v>22</v>
      </c>
      <c r="U1528" s="1" t="s">
        <v>22</v>
      </c>
    </row>
    <row r="1529" spans="1:21" x14ac:dyDescent="0.25">
      <c r="A1529" s="1" t="s">
        <v>343</v>
      </c>
      <c r="B1529" s="2" t="s">
        <v>113</v>
      </c>
      <c r="C1529" s="1" t="s">
        <v>25</v>
      </c>
      <c r="D1529" s="1" t="s">
        <v>352</v>
      </c>
      <c r="E1529" s="1" t="s">
        <v>37</v>
      </c>
      <c r="F1529" s="1">
        <v>45875</v>
      </c>
      <c r="G1529" s="14" t="s">
        <v>353</v>
      </c>
      <c r="H1529" t="s">
        <v>354</v>
      </c>
      <c r="I1529" s="2" t="s">
        <v>355</v>
      </c>
      <c r="J1529" s="2">
        <v>0.020833333333333332</v>
      </c>
      <c r="K1529" s="1">
        <v>0.03819444444444445</v>
      </c>
      <c r="L1529" s="1">
        <v>0.059027777777777776</v>
      </c>
      <c r="M1529" s="1" t="s">
        <v>22</v>
      </c>
      <c r="N1529" s="1" t="s">
        <v>53</v>
      </c>
      <c r="O1529" s="1" t="s">
        <v>240</v>
      </c>
      <c r="P1529" s="1" t="s">
        <v>47</v>
      </c>
      <c r="Q1529" s="1">
        <v>45875</v>
      </c>
      <c r="R1529" s="14">
        <v>5</v>
      </c>
      <c r="S1529" s="1" t="s">
        <v>22</v>
      </c>
      <c r="T1529" s="1" t="s">
        <v>22</v>
      </c>
      <c r="U1529" s="1" t="s">
        <v>22</v>
      </c>
    </row>
    <row r="1530" spans="1:21" x14ac:dyDescent="0.25">
      <c r="A1530" s="1" t="s">
        <v>343</v>
      </c>
      <c r="B1530" s="2" t="s">
        <v>65</v>
      </c>
      <c r="C1530" s="1" t="s">
        <v>25</v>
      </c>
      <c r="D1530" s="1" t="s">
        <v>356</v>
      </c>
      <c r="E1530" s="1" t="s">
        <v>27</v>
      </c>
      <c r="F1530" s="1">
        <v>45889</v>
      </c>
      <c r="G1530" s="14" t="s">
        <v>28</v>
      </c>
      <c r="H1530" t="s">
        <v>357</v>
      </c>
      <c r="I1530" s="2" t="s">
        <v>358</v>
      </c>
      <c r="J1530" s="2">
        <v>0.020833333333333332</v>
      </c>
      <c r="K1530" s="1">
        <v>0.05555555555555555</v>
      </c>
      <c r="L1530" s="1">
        <v>0.07638888888888888</v>
      </c>
      <c r="M1530" s="1" t="s">
        <v>22</v>
      </c>
      <c r="N1530" s="1" t="s">
        <v>240</v>
      </c>
      <c r="O1530" s="1" t="s">
        <v>32</v>
      </c>
      <c r="P1530" s="1" t="s">
        <v>47</v>
      </c>
      <c r="Q1530" s="1">
        <v>45889</v>
      </c>
      <c r="R1530" s="14">
        <v>5</v>
      </c>
      <c r="S1530" s="1" t="s">
        <v>22</v>
      </c>
      <c r="T1530" s="1" t="s">
        <v>22</v>
      </c>
      <c r="U1530" s="1" t="s">
        <v>22</v>
      </c>
    </row>
    <row r="1531" spans="1:21" x14ac:dyDescent="0.25">
      <c r="A1531" s="1" t="s">
        <v>343</v>
      </c>
      <c r="B1531" s="2" t="s">
        <v>83</v>
      </c>
      <c r="C1531" s="1" t="s">
        <v>78</v>
      </c>
      <c r="D1531" s="1" t="s">
        <v>359</v>
      </c>
      <c r="E1531" s="1" t="s">
        <v>37</v>
      </c>
      <c r="F1531" s="1">
        <v>45891</v>
      </c>
      <c r="G1531" s="14" t="s">
        <v>80</v>
      </c>
      <c r="H1531" t="s">
        <v>360</v>
      </c>
      <c r="I1531" s="2" t="s">
        <v>360</v>
      </c>
      <c r="J1531" s="2">
        <v>0.020833333333333332</v>
      </c>
      <c r="K1531" s="1">
        <v>0.020833333333333332</v>
      </c>
      <c r="L1531" s="1">
        <v>0.041666666666666664</v>
      </c>
      <c r="M1531" s="1" t="s">
        <v>22</v>
      </c>
      <c r="N1531" s="1" t="s">
        <v>53</v>
      </c>
      <c r="O1531" s="1" t="s">
        <v>32</v>
      </c>
      <c r="P1531" s="1" t="s">
        <v>42</v>
      </c>
      <c r="Q1531" s="1">
        <v>45891</v>
      </c>
      <c r="R1531" s="14">
        <v>5</v>
      </c>
      <c r="S1531" s="1" t="s">
        <v>22</v>
      </c>
      <c r="T1531" s="1" t="s">
        <v>22</v>
      </c>
      <c r="U1531" s="1" t="s">
        <v>22</v>
      </c>
    </row>
    <row r="1532" spans="1:21" x14ac:dyDescent="0.25">
      <c r="A1532" s="1" t="s">
        <v>343</v>
      </c>
      <c r="B1532" s="2" t="s">
        <v>339</v>
      </c>
      <c r="C1532" s="1" t="s">
        <v>78</v>
      </c>
      <c r="D1532" s="1" t="s">
        <v>361</v>
      </c>
      <c r="E1532" s="1" t="s">
        <v>37</v>
      </c>
      <c r="F1532" s="1">
        <v>45895</v>
      </c>
      <c r="G1532" s="14" t="s">
        <v>3570</v>
      </c>
      <c r="H1532" t="s">
        <v>362</v>
      </c>
      <c r="I1532" s="2" t="s">
        <v>363</v>
      </c>
      <c r="J1532" s="2">
        <v>0.020833333333333332</v>
      </c>
      <c r="K1532" s="1">
        <v>0</v>
      </c>
      <c r="L1532" s="1">
        <v>0.020833333333333332</v>
      </c>
      <c r="M1532" s="1" t="s">
        <v>22</v>
      </c>
      <c r="N1532" s="1" t="s">
        <v>53</v>
      </c>
      <c r="O1532" s="1" t="s">
        <v>31</v>
      </c>
      <c r="P1532" s="1" t="s">
        <v>42</v>
      </c>
      <c r="Q1532" s="1">
        <v>45895</v>
      </c>
      <c r="R1532" s="14">
        <v>5</v>
      </c>
      <c r="S1532" s="1" t="s">
        <v>22</v>
      </c>
      <c r="T1532" s="1" t="s">
        <v>22</v>
      </c>
      <c r="U1532" s="1" t="s">
        <v>22</v>
      </c>
    </row>
    <row r="1533" spans="1:21" x14ac:dyDescent="0.25">
      <c r="A1533" s="1" t="s">
        <v>343</v>
      </c>
      <c r="B1533" s="2" t="s">
        <v>258</v>
      </c>
      <c r="C1533" s="1" t="s">
        <v>25</v>
      </c>
      <c r="D1533" s="1" t="s">
        <v>364</v>
      </c>
      <c r="E1533" s="1" t="s">
        <v>27</v>
      </c>
      <c r="F1533" s="1">
        <v>45895</v>
      </c>
      <c r="G1533" s="14" t="s">
        <v>133</v>
      </c>
      <c r="H1533" t="s">
        <v>365</v>
      </c>
      <c r="I1533" s="2" t="s">
        <v>366</v>
      </c>
      <c r="J1533" s="2">
        <v>0.020833333333333332</v>
      </c>
      <c r="K1533" s="1">
        <v>0</v>
      </c>
      <c r="L1533" s="1">
        <v>0.020833333333333332</v>
      </c>
      <c r="M1533" s="1" t="s">
        <v>22</v>
      </c>
      <c r="N1533" s="1" t="s">
        <v>53</v>
      </c>
      <c r="O1533" s="1" t="s">
        <v>367</v>
      </c>
      <c r="P1533" s="1" t="s">
        <v>42</v>
      </c>
      <c r="Q1533" s="1">
        <v>45895</v>
      </c>
      <c r="R1533" s="14">
        <v>5</v>
      </c>
      <c r="S1533" s="1" t="s">
        <v>22</v>
      </c>
      <c r="T1533" s="1" t="s">
        <v>22</v>
      </c>
      <c r="U1533" s="1" t="s">
        <v>22</v>
      </c>
    </row>
    <row r="1534" spans="1:21" x14ac:dyDescent="0.25">
      <c r="A1534" s="1" t="s">
        <v>343</v>
      </c>
      <c r="B1534" s="2" t="s">
        <v>113</v>
      </c>
      <c r="C1534" s="1" t="s">
        <v>25</v>
      </c>
      <c r="D1534" s="1" t="s">
        <v>368</v>
      </c>
      <c r="E1534" s="1" t="s">
        <v>27</v>
      </c>
      <c r="F1534" s="1">
        <v>45897</v>
      </c>
      <c r="G1534" s="14" t="s">
        <v>133</v>
      </c>
      <c r="H1534" t="s">
        <v>369</v>
      </c>
      <c r="I1534" s="2" t="s">
        <v>370</v>
      </c>
      <c r="J1534" s="2">
        <v>0.020833333333333332</v>
      </c>
      <c r="K1534" s="1">
        <v>0.020833333333333332</v>
      </c>
      <c r="L1534" s="1">
        <v>0.041666666666666664</v>
      </c>
      <c r="M1534" s="1" t="s">
        <v>22</v>
      </c>
      <c r="N1534" s="1" t="s">
        <v>53</v>
      </c>
      <c r="O1534" s="1" t="s">
        <v>32</v>
      </c>
      <c r="P1534" s="1" t="s">
        <v>47</v>
      </c>
      <c r="Q1534" s="1">
        <v>45897</v>
      </c>
      <c r="R1534" s="14">
        <v>5</v>
      </c>
      <c r="S1534" s="1" t="s">
        <v>22</v>
      </c>
      <c r="T1534" s="1" t="s">
        <v>22</v>
      </c>
      <c r="U1534" s="1" t="s">
        <v>22</v>
      </c>
    </row>
    <row r="1535" spans="1:21" x14ac:dyDescent="0.25">
      <c r="A1535" s="1" t="s">
        <v>343</v>
      </c>
      <c r="B1535" s="2" t="s">
        <v>77</v>
      </c>
      <c r="C1535" s="1" t="s">
        <v>78</v>
      </c>
      <c r="D1535" s="1" t="s">
        <v>371</v>
      </c>
      <c r="E1535" s="1" t="s">
        <v>37</v>
      </c>
      <c r="F1535" s="1">
        <v>45897</v>
      </c>
      <c r="G1535" s="14" t="s">
        <v>3570</v>
      </c>
      <c r="H1535" t="s">
        <v>372</v>
      </c>
      <c r="I1535" s="2" t="s">
        <v>373</v>
      </c>
      <c r="J1535" s="2">
        <v>0.020833333333333332</v>
      </c>
      <c r="K1535" s="1">
        <v>0.034722222222222224</v>
      </c>
      <c r="L1535" s="1">
        <v>0.05555555555555555</v>
      </c>
      <c r="M1535" s="1" t="s">
        <v>22</v>
      </c>
      <c r="N1535" s="1" t="s">
        <v>53</v>
      </c>
      <c r="O1535" s="1" t="s">
        <v>32</v>
      </c>
      <c r="P1535" s="1" t="s">
        <v>42</v>
      </c>
      <c r="Q1535" s="1">
        <v>45897</v>
      </c>
      <c r="R1535" s="14">
        <v>5</v>
      </c>
      <c r="S1535" s="1" t="s">
        <v>22</v>
      </c>
      <c r="T1535" s="1" t="s">
        <v>22</v>
      </c>
      <c r="U1535" s="1" t="s">
        <v>22</v>
      </c>
    </row>
    <row r="1536" spans="1:21" x14ac:dyDescent="0.25">
      <c r="A1536" s="1" t="s">
        <v>374</v>
      </c>
      <c r="B1536" s="2" t="s">
        <v>91</v>
      </c>
      <c r="C1536" s="1" t="s">
        <v>25</v>
      </c>
      <c r="D1536" s="1" t="s">
        <v>375</v>
      </c>
      <c r="E1536" s="1" t="s">
        <v>27</v>
      </c>
      <c r="F1536" s="1">
        <v>45902</v>
      </c>
      <c r="G1536" s="14" t="s">
        <v>28</v>
      </c>
      <c r="H1536" t="s">
        <v>376</v>
      </c>
      <c r="I1536" s="2" t="s">
        <v>377</v>
      </c>
      <c r="J1536" s="2">
        <v>0.020833333333333332</v>
      </c>
      <c r="K1536" s="1">
        <v>0.0625</v>
      </c>
      <c r="L1536" s="1">
        <v>0.08333333333333333</v>
      </c>
      <c r="M1536" s="1" t="s">
        <v>22</v>
      </c>
      <c r="N1536" s="1" t="s">
        <v>378</v>
      </c>
      <c r="O1536" s="1" t="s">
        <v>379</v>
      </c>
      <c r="P1536" s="1" t="s">
        <v>47</v>
      </c>
      <c r="Q1536" s="1">
        <v>45902</v>
      </c>
      <c r="R1536" s="14">
        <v>5</v>
      </c>
      <c r="S1536" s="1" t="s">
        <v>22</v>
      </c>
      <c r="T1536" s="1" t="s">
        <v>22</v>
      </c>
      <c r="U1536" s="1" t="s">
        <v>22</v>
      </c>
    </row>
    <row r="1537" spans="1:21" x14ac:dyDescent="0.25">
      <c r="A1537" s="1" t="s">
        <v>374</v>
      </c>
      <c r="B1537" s="2" t="s">
        <v>185</v>
      </c>
      <c r="C1537" s="1" t="s">
        <v>186</v>
      </c>
      <c r="D1537" s="1" t="s">
        <v>380</v>
      </c>
      <c r="E1537" s="1" t="s">
        <v>27</v>
      </c>
      <c r="F1537" s="1">
        <v>45908</v>
      </c>
      <c r="G1537" s="14" t="s">
        <v>3570</v>
      </c>
      <c r="H1537" t="s">
        <v>381</v>
      </c>
      <c r="I1537" s="2" t="s">
        <v>381</v>
      </c>
      <c r="J1537" s="2">
        <v>0.03125</v>
      </c>
      <c r="K1537" s="1">
        <v>0.041666666666666664</v>
      </c>
      <c r="L1537" s="1">
        <v>0.07291666666666666</v>
      </c>
      <c r="M1537" s="1" t="s">
        <v>22</v>
      </c>
      <c r="N1537" s="1" t="s">
        <v>31</v>
      </c>
      <c r="O1537" s="1" t="s">
        <v>240</v>
      </c>
      <c r="P1537" s="1" t="s">
        <v>47</v>
      </c>
      <c r="Q1537" s="1">
        <v>45908</v>
      </c>
      <c r="R1537" s="14">
        <v>5</v>
      </c>
      <c r="S1537" s="1" t="s">
        <v>22</v>
      </c>
      <c r="T1537" s="1" t="s">
        <v>22</v>
      </c>
      <c r="U1537" s="1" t="s">
        <v>22</v>
      </c>
    </row>
    <row r="1538" spans="1:21" x14ac:dyDescent="0.25">
      <c r="A1538" s="1" t="s">
        <v>374</v>
      </c>
      <c r="B1538" s="2" t="s">
        <v>65</v>
      </c>
      <c r="C1538" s="1" t="s">
        <v>25</v>
      </c>
      <c r="D1538" s="1" t="s">
        <v>382</v>
      </c>
      <c r="E1538" s="1" t="s">
        <v>27</v>
      </c>
      <c r="F1538" s="1">
        <v>45911</v>
      </c>
      <c r="G1538" s="14" t="s">
        <v>28</v>
      </c>
      <c r="H1538" t="s">
        <v>383</v>
      </c>
      <c r="I1538" s="2" t="s">
        <v>384</v>
      </c>
      <c r="J1538" s="2">
        <v>0.020833333333333332</v>
      </c>
      <c r="K1538" s="1">
        <v>0.041666666666666664</v>
      </c>
      <c r="L1538" s="1">
        <v>0.0625</v>
      </c>
      <c r="M1538" s="1" t="s">
        <v>22</v>
      </c>
      <c r="N1538" s="1" t="s">
        <v>385</v>
      </c>
      <c r="O1538" s="1" t="s">
        <v>240</v>
      </c>
      <c r="P1538" s="1" t="s">
        <v>47</v>
      </c>
      <c r="Q1538" s="1">
        <v>45911</v>
      </c>
      <c r="R1538" s="14">
        <v>5</v>
      </c>
      <c r="S1538" s="1" t="s">
        <v>22</v>
      </c>
      <c r="T1538" s="1" t="s">
        <v>22</v>
      </c>
      <c r="U1538" s="1" t="s">
        <v>22</v>
      </c>
    </row>
    <row r="1539" spans="1:21" x14ac:dyDescent="0.25">
      <c r="A1539" s="1" t="s">
        <v>374</v>
      </c>
      <c r="B1539" s="2" t="s">
        <v>146</v>
      </c>
      <c r="C1539" s="1" t="s">
        <v>147</v>
      </c>
      <c r="D1539" s="1" t="s">
        <v>386</v>
      </c>
      <c r="E1539" s="1" t="s">
        <v>27</v>
      </c>
      <c r="F1539" s="1">
        <v>45912</v>
      </c>
      <c r="G1539" s="14" t="s">
        <v>820</v>
      </c>
      <c r="H1539" t="s">
        <v>387</v>
      </c>
      <c r="I1539" s="2" t="s">
        <v>387</v>
      </c>
      <c r="J1539" s="2">
        <v>0.020833333333333332</v>
      </c>
      <c r="K1539" s="1">
        <v>0.034722222222222224</v>
      </c>
      <c r="L1539" s="1">
        <v>0.05555555555555555</v>
      </c>
      <c r="M1539" s="1" t="s">
        <v>22</v>
      </c>
      <c r="N1539" s="1" t="s">
        <v>53</v>
      </c>
      <c r="O1539" s="1" t="s">
        <v>240</v>
      </c>
      <c r="P1539" s="1" t="s">
        <v>47</v>
      </c>
      <c r="Q1539" s="1">
        <v>45912</v>
      </c>
      <c r="R1539" s="14">
        <v>5</v>
      </c>
      <c r="S1539" s="1" t="s">
        <v>22</v>
      </c>
      <c r="T1539" s="1" t="s">
        <v>22</v>
      </c>
      <c r="U1539" s="1" t="s">
        <v>22</v>
      </c>
    </row>
    <row r="1540" spans="1:21" x14ac:dyDescent="0.25">
      <c r="A1540" s="1" t="s">
        <v>374</v>
      </c>
      <c r="B1540" s="2" t="s">
        <v>308</v>
      </c>
      <c r="C1540" s="1" t="s">
        <v>309</v>
      </c>
      <c r="D1540" s="1" t="s">
        <v>388</v>
      </c>
      <c r="E1540" s="1" t="s">
        <v>37</v>
      </c>
      <c r="F1540" s="1">
        <v>45913</v>
      </c>
      <c r="G1540" s="14" t="s">
        <v>28</v>
      </c>
      <c r="H1540" t="s">
        <v>389</v>
      </c>
      <c r="I1540" s="2" t="s">
        <v>389</v>
      </c>
      <c r="J1540" s="2">
        <v>0.020833333333333332</v>
      </c>
      <c r="K1540" s="1">
        <v>0.034722222222222224</v>
      </c>
      <c r="L1540" s="1">
        <v>0.05555555555555555</v>
      </c>
      <c r="M1540" s="1" t="s">
        <v>22</v>
      </c>
      <c r="N1540" s="1" t="s">
        <v>31</v>
      </c>
      <c r="O1540" s="1" t="s">
        <v>32</v>
      </c>
      <c r="P1540" s="1" t="s">
        <v>42</v>
      </c>
      <c r="Q1540" s="1">
        <v>45913</v>
      </c>
      <c r="R1540" s="14">
        <v>5</v>
      </c>
      <c r="S1540" s="1" t="s">
        <v>22</v>
      </c>
      <c r="T1540" s="1" t="s">
        <v>22</v>
      </c>
      <c r="U1540" s="1" t="s">
        <v>22</v>
      </c>
    </row>
    <row r="1541" spans="1:21" x14ac:dyDescent="0.25">
      <c r="A1541" s="1" t="s">
        <v>374</v>
      </c>
      <c r="B1541" s="2" t="s">
        <v>35</v>
      </c>
      <c r="C1541" s="1" t="s">
        <v>25</v>
      </c>
      <c r="D1541" s="1" t="s">
        <v>390</v>
      </c>
      <c r="E1541" s="1" t="s">
        <v>27</v>
      </c>
      <c r="F1541" s="1">
        <v>45916</v>
      </c>
      <c r="G1541" s="14" t="s">
        <v>3570</v>
      </c>
      <c r="H1541" t="s">
        <v>391</v>
      </c>
      <c r="I1541" s="2" t="s">
        <v>392</v>
      </c>
      <c r="J1541" s="2">
        <v>0.041666666666666664</v>
      </c>
      <c r="K1541" s="1">
        <v>0.04513888888888889</v>
      </c>
      <c r="L1541" s="1">
        <v>0.08680555555555555</v>
      </c>
      <c r="M1541" s="1" t="s">
        <v>22</v>
      </c>
      <c r="N1541" s="1" t="s">
        <v>31</v>
      </c>
      <c r="O1541" s="1" t="s">
        <v>32</v>
      </c>
      <c r="P1541" s="1" t="s">
        <v>42</v>
      </c>
      <c r="Q1541" s="1">
        <v>45916</v>
      </c>
      <c r="R1541" s="14">
        <v>5</v>
      </c>
      <c r="S1541" s="1" t="s">
        <v>22</v>
      </c>
      <c r="T1541" s="1" t="s">
        <v>22</v>
      </c>
      <c r="U1541" s="1" t="s">
        <v>22</v>
      </c>
    </row>
    <row r="1542" spans="1:21" x14ac:dyDescent="0.25">
      <c r="A1542" s="1" t="s">
        <v>374</v>
      </c>
      <c r="B1542" s="2" t="s">
        <v>77</v>
      </c>
      <c r="C1542" s="1" t="s">
        <v>78</v>
      </c>
      <c r="D1542" s="1" t="s">
        <v>371</v>
      </c>
      <c r="E1542" s="1" t="s">
        <v>37</v>
      </c>
      <c r="F1542" s="1">
        <v>45917</v>
      </c>
      <c r="G1542" s="14" t="s">
        <v>28</v>
      </c>
      <c r="H1542" t="s">
        <v>393</v>
      </c>
      <c r="I1542" s="2" t="s">
        <v>394</v>
      </c>
      <c r="J1542" s="2">
        <v>0.03125</v>
      </c>
      <c r="K1542" s="1">
        <v>0.06944444444444445</v>
      </c>
      <c r="L1542" s="1">
        <v>0.10069444444444445</v>
      </c>
      <c r="M1542" s="1" t="s">
        <v>22</v>
      </c>
      <c r="N1542" s="1" t="s">
        <v>31</v>
      </c>
      <c r="O1542" s="1" t="s">
        <v>240</v>
      </c>
      <c r="P1542" s="1" t="s">
        <v>42</v>
      </c>
      <c r="Q1542" s="1">
        <v>45917</v>
      </c>
      <c r="R1542" s="14">
        <v>5</v>
      </c>
      <c r="S1542" s="1" t="s">
        <v>22</v>
      </c>
      <c r="T1542" s="1" t="s">
        <v>22</v>
      </c>
      <c r="U1542" s="1" t="s">
        <v>22</v>
      </c>
    </row>
    <row r="1543" spans="1:21" x14ac:dyDescent="0.25">
      <c r="A1543" s="1" t="s">
        <v>374</v>
      </c>
      <c r="B1543" s="2" t="s">
        <v>334</v>
      </c>
      <c r="C1543" s="1" t="s">
        <v>335</v>
      </c>
      <c r="D1543" s="1" t="s">
        <v>395</v>
      </c>
      <c r="E1543" s="1" t="s">
        <v>37</v>
      </c>
      <c r="F1543" s="1">
        <v>45924</v>
      </c>
      <c r="G1543" s="14" t="s">
        <v>3571</v>
      </c>
      <c r="H1543" t="s">
        <v>396</v>
      </c>
      <c r="I1543" s="2" t="s">
        <v>396</v>
      </c>
      <c r="J1543" s="2">
        <v>0.006944444444444444</v>
      </c>
      <c r="K1543" s="1">
        <v>0.020833333333333332</v>
      </c>
      <c r="L1543" s="1">
        <v>0.027777777777777776</v>
      </c>
      <c r="M1543" s="1" t="s">
        <v>22</v>
      </c>
      <c r="N1543" s="1" t="s">
        <v>240</v>
      </c>
      <c r="O1543" s="1" t="s">
        <v>32</v>
      </c>
      <c r="P1543" s="1" t="s">
        <v>42</v>
      </c>
      <c r="Q1543" s="1">
        <v>45924</v>
      </c>
      <c r="R1543" s="14">
        <v>5</v>
      </c>
      <c r="S1543" s="1" t="s">
        <v>22</v>
      </c>
      <c r="T1543" s="1" t="s">
        <v>22</v>
      </c>
      <c r="U1543" s="1" t="s">
        <v>22</v>
      </c>
    </row>
    <row r="1544" spans="1:21" x14ac:dyDescent="0.25">
      <c r="A1544" s="1" t="s">
        <v>374</v>
      </c>
      <c r="B1544" s="2" t="s">
        <v>65</v>
      </c>
      <c r="C1544" s="1" t="s">
        <v>25</v>
      </c>
      <c r="D1544" s="1" t="s">
        <v>397</v>
      </c>
      <c r="E1544" s="1" t="s">
        <v>27</v>
      </c>
      <c r="F1544" s="1">
        <v>45925</v>
      </c>
      <c r="G1544" s="14" t="s">
        <v>28</v>
      </c>
      <c r="H1544" t="s">
        <v>398</v>
      </c>
      <c r="I1544" s="2" t="s">
        <v>398</v>
      </c>
      <c r="J1544" s="2">
        <v>0.020833333333333332</v>
      </c>
      <c r="K1544" s="1">
        <v>0.041666666666666664</v>
      </c>
      <c r="L1544" s="1">
        <v>0.0625</v>
      </c>
      <c r="M1544" s="1" t="s">
        <v>22</v>
      </c>
      <c r="N1544" s="1" t="s">
        <v>378</v>
      </c>
      <c r="O1544" s="1" t="s">
        <v>379</v>
      </c>
      <c r="P1544" s="1" t="s">
        <v>47</v>
      </c>
      <c r="Q1544" s="1">
        <v>45925</v>
      </c>
      <c r="R1544" s="14">
        <v>5</v>
      </c>
      <c r="S1544" s="1" t="s">
        <v>22</v>
      </c>
      <c r="T1544" s="1" t="s">
        <v>22</v>
      </c>
      <c r="U1544" s="1" t="s">
        <v>22</v>
      </c>
    </row>
    <row r="1545" spans="1:21" x14ac:dyDescent="0.25">
      <c r="A1545" s="1" t="s">
        <v>399</v>
      </c>
      <c r="B1545" s="2" t="s">
        <v>60</v>
      </c>
      <c r="C1545" s="1" t="s">
        <v>61</v>
      </c>
      <c r="D1545" s="1" t="s">
        <v>400</v>
      </c>
      <c r="E1545" s="1" t="s">
        <v>37</v>
      </c>
      <c r="F1545" s="1">
        <v>45938</v>
      </c>
      <c r="G1545" s="14" t="s">
        <v>80</v>
      </c>
      <c r="H1545" t="s">
        <v>402</v>
      </c>
      <c r="I1545" s="2" t="s">
        <v>402</v>
      </c>
      <c r="J1545" s="2">
        <v>0.006944444444444444</v>
      </c>
      <c r="K1545" s="1">
        <v>0.020833333333333332</v>
      </c>
      <c r="L1545" s="1">
        <v>0.027777777777777776</v>
      </c>
      <c r="M1545" s="1" t="s">
        <v>22</v>
      </c>
      <c r="N1545" s="1" t="s">
        <v>240</v>
      </c>
      <c r="O1545" s="1" t="s">
        <v>32</v>
      </c>
      <c r="P1545" s="1" t="s">
        <v>47</v>
      </c>
      <c r="Q1545" s="1">
        <v>45938</v>
      </c>
      <c r="R1545" s="14">
        <v>5</v>
      </c>
      <c r="S1545" s="1" t="s">
        <v>22</v>
      </c>
      <c r="T1545" s="1" t="s">
        <v>22</v>
      </c>
      <c r="U1545" s="1" t="s">
        <v>22</v>
      </c>
    </row>
    <row r="1546" spans="1:21" x14ac:dyDescent="0.25">
      <c r="A1546" s="1" t="s">
        <v>399</v>
      </c>
      <c r="B1546" s="2" t="s">
        <v>288</v>
      </c>
      <c r="C1546" s="1" t="s">
        <v>289</v>
      </c>
      <c r="D1546" s="1" t="s">
        <v>403</v>
      </c>
      <c r="E1546" s="1" t="s">
        <v>27</v>
      </c>
      <c r="F1546" s="1">
        <v>45946</v>
      </c>
      <c r="G1546" s="14" t="s">
        <v>3570</v>
      </c>
      <c r="H1546" t="s">
        <v>404</v>
      </c>
      <c r="I1546" s="2" t="s">
        <v>405</v>
      </c>
      <c r="J1546" s="2">
        <v>0.020833333333333332</v>
      </c>
      <c r="K1546" s="1">
        <v>0.020833333333333332</v>
      </c>
      <c r="L1546" s="1">
        <v>0.041666666666666664</v>
      </c>
      <c r="M1546" s="1" t="s">
        <v>22</v>
      </c>
      <c r="N1546" s="1" t="s">
        <v>53</v>
      </c>
      <c r="O1546" s="1" t="s">
        <v>32</v>
      </c>
      <c r="P1546" s="1" t="s">
        <v>112</v>
      </c>
      <c r="Q1546" s="1">
        <v>45946</v>
      </c>
      <c r="R1546" s="14">
        <v>5</v>
      </c>
      <c r="S1546" s="1" t="s">
        <v>22</v>
      </c>
      <c r="T1546" s="1" t="s">
        <v>22</v>
      </c>
      <c r="U1546" s="1" t="s">
        <v>22</v>
      </c>
    </row>
    <row r="1547" spans="1:21" x14ac:dyDescent="0.25">
      <c r="A1547" s="1" t="s">
        <v>399</v>
      </c>
      <c r="B1547" s="2" t="s">
        <v>406</v>
      </c>
      <c r="C1547" s="1" t="s">
        <v>78</v>
      </c>
      <c r="D1547" s="1" t="s">
        <v>407</v>
      </c>
      <c r="E1547" s="1" t="s">
        <v>37</v>
      </c>
      <c r="F1547" s="1">
        <v>45951</v>
      </c>
      <c r="G1547" s="14" t="s">
        <v>80</v>
      </c>
      <c r="H1547" t="s">
        <v>408</v>
      </c>
      <c r="I1547" s="2" t="s">
        <v>409</v>
      </c>
      <c r="J1547" s="2">
        <v>0.010416666666666666</v>
      </c>
      <c r="K1547" s="1">
        <v>0.027777777777777776</v>
      </c>
      <c r="L1547" s="1">
        <v>0.03819444444444444</v>
      </c>
      <c r="M1547" s="1" t="s">
        <v>22</v>
      </c>
      <c r="N1547" s="1" t="s">
        <v>240</v>
      </c>
      <c r="O1547" s="1" t="s">
        <v>32</v>
      </c>
      <c r="P1547" s="1" t="s">
        <v>42</v>
      </c>
      <c r="Q1547" s="1">
        <v>45951</v>
      </c>
      <c r="R1547" s="14">
        <v>5</v>
      </c>
      <c r="S1547" s="1" t="s">
        <v>22</v>
      </c>
      <c r="T1547" s="1" t="s">
        <v>22</v>
      </c>
      <c r="U1547" s="1" t="s">
        <v>22</v>
      </c>
    </row>
    <row r="1548" spans="1:21" x14ac:dyDescent="0.25">
      <c r="A1548" s="1" t="s">
        <v>410</v>
      </c>
      <c r="B1548" s="2" t="s">
        <v>411</v>
      </c>
      <c r="C1548" s="1" t="s">
        <v>78</v>
      </c>
      <c r="D1548" s="1" t="s">
        <v>412</v>
      </c>
      <c r="E1548" s="1" t="s">
        <v>27</v>
      </c>
      <c r="F1548" s="1">
        <v>NaN</v>
      </c>
      <c r="G1548" s="14" t="s">
        <v>74</v>
      </c>
      <c r="H1548" t="s">
        <v>413</v>
      </c>
      <c r="I1548" s="2" t="s">
        <v>413</v>
      </c>
      <c r="J1548" s="2">
        <v>0.020833333333333332</v>
      </c>
      <c r="K1548" s="1">
        <v>0.052083333333333336</v>
      </c>
      <c r="L1548" s="1">
        <v>0.07291666666666667</v>
      </c>
      <c r="M1548" s="1" t="s">
        <v>22</v>
      </c>
      <c r="N1548" s="1" t="s">
        <v>31</v>
      </c>
      <c r="O1548" s="1" t="s">
        <v>240</v>
      </c>
      <c r="P1548" s="1" t="s">
        <v>42</v>
      </c>
      <c r="Q1548" s="1">
        <v>45951</v>
      </c>
      <c r="R1548" s="14">
        <v>5</v>
      </c>
      <c r="S1548" s="1" t="s">
        <v>22</v>
      </c>
      <c r="T1548" s="1" t="s">
        <v>22</v>
      </c>
      <c r="U1548" s="1" t="s">
        <v>22</v>
      </c>
    </row>
    <row r="1549" spans="1:21" x14ac:dyDescent="0.25">
      <c r="A1549" s="1" t="s">
        <v>399</v>
      </c>
      <c r="B1549" s="2" t="s">
        <v>258</v>
      </c>
      <c r="C1549" s="1" t="s">
        <v>25</v>
      </c>
      <c r="D1549" s="1" t="s">
        <v>415</v>
      </c>
      <c r="E1549" s="1" t="s">
        <v>27</v>
      </c>
      <c r="F1549" s="1">
        <v>45947</v>
      </c>
      <c r="G1549" s="14" t="s">
        <v>28</v>
      </c>
      <c r="H1549" t="s">
        <v>417</v>
      </c>
      <c r="I1549" s="2" t="s">
        <v>417</v>
      </c>
      <c r="J1549" s="2">
        <v>0.034722222222222224</v>
      </c>
      <c r="K1549" s="1">
        <v>0.034722222222222224</v>
      </c>
      <c r="L1549" s="1">
        <v>0.06944444444444445</v>
      </c>
      <c r="M1549" s="1" t="s">
        <v>22</v>
      </c>
      <c r="N1549" s="1" t="s">
        <v>378</v>
      </c>
      <c r="O1549" s="1" t="s">
        <v>240</v>
      </c>
      <c r="P1549" s="1" t="s">
        <v>42</v>
      </c>
      <c r="Q1549" s="1">
        <v>45951</v>
      </c>
      <c r="R1549" s="14">
        <v>5</v>
      </c>
      <c r="S1549" s="1" t="s">
        <v>22</v>
      </c>
      <c r="T1549" s="1" t="s">
        <v>22</v>
      </c>
      <c r="U1549" s="1" t="s">
        <v>22</v>
      </c>
    </row>
    <row r="1550" spans="1:21" x14ac:dyDescent="0.25">
      <c r="A1550" s="1" t="s">
        <v>399</v>
      </c>
      <c r="B1550" s="2" t="s">
        <v>284</v>
      </c>
      <c r="C1550" s="1" t="s">
        <v>285</v>
      </c>
      <c r="D1550" s="1" t="s">
        <v>418</v>
      </c>
      <c r="E1550" s="1" t="s">
        <v>27</v>
      </c>
      <c r="F1550" s="1">
        <v>45954</v>
      </c>
      <c r="G1550" s="14" t="s">
        <v>28</v>
      </c>
      <c r="H1550" t="s">
        <v>3572</v>
      </c>
      <c r="I1550" s="2" t="s">
        <v>3572</v>
      </c>
      <c r="J1550" s="2">
        <v>0.09375</v>
      </c>
      <c r="K1550" s="1" t="s">
        <v>22</v>
      </c>
      <c r="L1550" s="1">
        <v>0.09375</v>
      </c>
      <c r="M1550" s="1" t="s">
        <v>22</v>
      </c>
      <c r="N1550" s="1" t="s">
        <v>31</v>
      </c>
      <c r="O1550" s="1" t="s">
        <v>240</v>
      </c>
      <c r="P1550" s="1" t="s">
        <v>47</v>
      </c>
      <c r="Q1550" s="1">
        <v>45954</v>
      </c>
      <c r="R1550" s="14">
        <v>4</v>
      </c>
      <c r="S1550" s="1" t="s">
        <v>22</v>
      </c>
      <c r="T1550" s="1" t="s">
        <v>22</v>
      </c>
      <c r="U1550" s="1" t="s">
        <v>22</v>
      </c>
    </row>
    <row r="1551" spans="1:21" x14ac:dyDescent="0.25">
      <c r="A1551" s="1" t="s">
        <v>399</v>
      </c>
      <c r="B1551" s="2" t="s">
        <v>199</v>
      </c>
      <c r="C1551" s="1" t="s">
        <v>200</v>
      </c>
      <c r="D1551" s="1" t="s">
        <v>421</v>
      </c>
      <c r="E1551" s="1" t="s">
        <v>37</v>
      </c>
      <c r="F1551" s="1">
        <v>45957</v>
      </c>
      <c r="G1551" s="14" t="s">
        <v>3570</v>
      </c>
      <c r="H1551" t="s">
        <v>422</v>
      </c>
      <c r="I1551" s="2" t="s">
        <v>422</v>
      </c>
      <c r="J1551" s="2">
        <v>0.041666666666666664</v>
      </c>
      <c r="K1551" s="1">
        <v>0.041666666666666664</v>
      </c>
      <c r="L1551" s="1">
        <v>0.08333333333333333</v>
      </c>
      <c r="M1551" s="1" t="s">
        <v>22</v>
      </c>
      <c r="N1551" s="1" t="s">
        <v>385</v>
      </c>
      <c r="O1551" s="1" t="s">
        <v>32</v>
      </c>
      <c r="P1551" s="1" t="s">
        <v>42</v>
      </c>
      <c r="Q1551" s="1">
        <v>45957</v>
      </c>
      <c r="R1551" s="14">
        <v>5</v>
      </c>
      <c r="S1551" s="1" t="s">
        <v>22</v>
      </c>
      <c r="T1551" s="1" t="s">
        <v>22</v>
      </c>
      <c r="U1551" s="1" t="s">
        <v>22</v>
      </c>
    </row>
    <row r="1552" spans="1:21" x14ac:dyDescent="0.25">
      <c r="A1552" s="1" t="s">
        <v>399</v>
      </c>
      <c r="B1552" s="2" t="s">
        <v>113</v>
      </c>
      <c r="C1552" s="1" t="s">
        <v>3573</v>
      </c>
      <c r="D1552" s="1" t="s">
        <v>368</v>
      </c>
      <c r="E1552" s="1" t="s">
        <v>37</v>
      </c>
      <c r="F1552" s="1">
        <v>45958</v>
      </c>
      <c r="G1552" s="14" t="s">
        <v>424</v>
      </c>
      <c r="H1552" t="s">
        <v>3574</v>
      </c>
      <c r="I1552" s="2" t="s">
        <v>426</v>
      </c>
      <c r="J1552" s="2">
        <v>0.013888888888888888</v>
      </c>
      <c r="K1552" s="1">
        <v>0.03125</v>
      </c>
      <c r="L1552" s="1">
        <v>0.04513888888888889</v>
      </c>
      <c r="M1552" s="1" t="s">
        <v>22</v>
      </c>
      <c r="N1552" s="1" t="s">
        <v>385</v>
      </c>
      <c r="O1552" s="1" t="s">
        <v>240</v>
      </c>
      <c r="P1552" s="1" t="s">
        <v>47</v>
      </c>
      <c r="Q1552" s="1">
        <v>45958</v>
      </c>
      <c r="R1552" s="14">
        <v>4</v>
      </c>
      <c r="S1552" s="1" t="s">
        <v>22</v>
      </c>
      <c r="T1552" s="1" t="s">
        <v>22</v>
      </c>
      <c r="U1552" s="1" t="s">
        <v>22</v>
      </c>
    </row>
    <row r="1553" spans="1:21" x14ac:dyDescent="0.25">
      <c r="A1553" s="1" t="s">
        <v>21</v>
      </c>
      <c r="B1553" s="2" t="s">
        <v>22</v>
      </c>
      <c r="C1553" s="1" t="s">
        <v>22</v>
      </c>
      <c r="D1553" s="1" t="s">
        <v>22</v>
      </c>
      <c r="E1553" s="1" t="s">
        <v>22</v>
      </c>
      <c r="F1553" s="1" t="s">
        <v>22</v>
      </c>
      <c r="G1553" s="1" t="s">
        <v>22</v>
      </c>
      <c r="H1553" t="s">
        <v>22</v>
      </c>
      <c r="I1553" s="2" t="s">
        <v>22</v>
      </c>
      <c r="J1553" s="2" t="s">
        <v>22</v>
      </c>
      <c r="K1553" s="1" t="s">
        <v>22</v>
      </c>
      <c r="L1553" s="1" t="s">
        <v>22</v>
      </c>
      <c r="M1553" s="1" t="s">
        <v>22</v>
      </c>
      <c r="N1553" s="1" t="s">
        <v>22</v>
      </c>
      <c r="O1553" s="1" t="s">
        <v>22</v>
      </c>
      <c r="P1553" s="1" t="s">
        <v>22</v>
      </c>
      <c r="Q1553" s="1" t="s">
        <v>22</v>
      </c>
      <c r="R1553" s="1" t="s">
        <v>22</v>
      </c>
      <c r="S1553" s="1" t="s">
        <v>22</v>
      </c>
      <c r="T1553" s="1" t="s">
        <v>22</v>
      </c>
      <c r="U1553" s="1"/>
    </row>
    <row r="1554" spans="1:21" x14ac:dyDescent="0.25">
      <c r="A1554" s="1" t="s">
        <v>21</v>
      </c>
      <c r="B1554" s="2" t="s">
        <v>22</v>
      </c>
      <c r="C1554" s="1" t="s">
        <v>22</v>
      </c>
      <c r="D1554" s="1" t="s">
        <v>22</v>
      </c>
      <c r="E1554" s="1" t="s">
        <v>22</v>
      </c>
      <c r="F1554" s="1" t="s">
        <v>22</v>
      </c>
      <c r="G1554" s="1" t="s">
        <v>22</v>
      </c>
      <c r="H1554" t="s">
        <v>22</v>
      </c>
      <c r="I1554" s="2" t="s">
        <v>22</v>
      </c>
      <c r="J1554" s="2" t="s">
        <v>22</v>
      </c>
      <c r="K1554" s="1" t="s">
        <v>22</v>
      </c>
      <c r="L1554" s="1" t="s">
        <v>22</v>
      </c>
      <c r="M1554" s="1" t="s">
        <v>22</v>
      </c>
      <c r="N1554" s="1" t="s">
        <v>22</v>
      </c>
      <c r="O1554" s="1" t="s">
        <v>22</v>
      </c>
      <c r="P1554" s="1" t="s">
        <v>22</v>
      </c>
      <c r="Q1554" s="1" t="s">
        <v>22</v>
      </c>
      <c r="R1554" s="1" t="s">
        <v>22</v>
      </c>
      <c r="S1554" s="1" t="s">
        <v>22</v>
      </c>
      <c r="T1554" s="1" t="s">
        <v>22</v>
      </c>
      <c r="U1554" s="1"/>
    </row>
    <row r="1555" spans="1:21" x14ac:dyDescent="0.25">
      <c r="A1555" s="1" t="s">
        <v>21</v>
      </c>
      <c r="B1555" s="2" t="s">
        <v>22</v>
      </c>
      <c r="C1555" s="1" t="s">
        <v>22</v>
      </c>
      <c r="D1555" s="1" t="s">
        <v>22</v>
      </c>
      <c r="E1555" s="1" t="s">
        <v>22</v>
      </c>
      <c r="F1555" s="1" t="s">
        <v>22</v>
      </c>
      <c r="G1555" s="1" t="s">
        <v>22</v>
      </c>
      <c r="H1555" t="s">
        <v>22</v>
      </c>
      <c r="I1555" s="2" t="s">
        <v>22</v>
      </c>
      <c r="J1555" s="2" t="s">
        <v>22</v>
      </c>
      <c r="K1555" s="1" t="s">
        <v>22</v>
      </c>
      <c r="L1555" s="1" t="s">
        <v>22</v>
      </c>
      <c r="M1555" s="1" t="s">
        <v>22</v>
      </c>
      <c r="N1555" s="1" t="s">
        <v>22</v>
      </c>
      <c r="O1555" s="1" t="s">
        <v>22</v>
      </c>
      <c r="P1555" s="1" t="s">
        <v>22</v>
      </c>
      <c r="Q1555" s="1" t="s">
        <v>22</v>
      </c>
      <c r="R1555" s="1" t="s">
        <v>22</v>
      </c>
      <c r="S1555" s="1" t="s">
        <v>22</v>
      </c>
      <c r="T1555" s="1" t="s">
        <v>22</v>
      </c>
      <c r="U1555" s="1"/>
    </row>
    <row r="1556" spans="1:21" x14ac:dyDescent="0.25">
      <c r="A1556" s="1" t="s">
        <v>21</v>
      </c>
      <c r="B1556" s="2" t="s">
        <v>22</v>
      </c>
      <c r="C1556" s="1" t="s">
        <v>22</v>
      </c>
      <c r="D1556" s="1" t="s">
        <v>22</v>
      </c>
      <c r="E1556" s="1" t="s">
        <v>22</v>
      </c>
      <c r="F1556" s="1" t="s">
        <v>22</v>
      </c>
      <c r="G1556" s="1" t="s">
        <v>22</v>
      </c>
      <c r="H1556" t="s">
        <v>22</v>
      </c>
      <c r="I1556" s="2" t="s">
        <v>22</v>
      </c>
      <c r="J1556" s="2" t="s">
        <v>22</v>
      </c>
      <c r="K1556" s="1" t="s">
        <v>22</v>
      </c>
      <c r="L1556" s="1" t="s">
        <v>22</v>
      </c>
      <c r="M1556" s="1" t="s">
        <v>22</v>
      </c>
      <c r="N1556" s="1" t="s">
        <v>22</v>
      </c>
      <c r="O1556" s="1" t="s">
        <v>22</v>
      </c>
      <c r="P1556" s="1" t="s">
        <v>22</v>
      </c>
      <c r="Q1556" s="1" t="s">
        <v>22</v>
      </c>
      <c r="R1556" s="1" t="s">
        <v>22</v>
      </c>
      <c r="S1556" s="1" t="s">
        <v>22</v>
      </c>
      <c r="T1556" s="1" t="s">
        <v>22</v>
      </c>
      <c r="U1556" s="1"/>
    </row>
    <row r="1557" spans="1:21" x14ac:dyDescent="0.25">
      <c r="A1557" s="1" t="s">
        <v>21</v>
      </c>
      <c r="B1557" s="2" t="s">
        <v>22</v>
      </c>
      <c r="C1557" s="1" t="s">
        <v>22</v>
      </c>
      <c r="D1557" s="1" t="s">
        <v>22</v>
      </c>
      <c r="E1557" s="1" t="s">
        <v>22</v>
      </c>
      <c r="F1557" s="1" t="s">
        <v>22</v>
      </c>
      <c r="G1557" s="1" t="s">
        <v>22</v>
      </c>
      <c r="H1557" t="s">
        <v>22</v>
      </c>
      <c r="I1557" s="2" t="s">
        <v>22</v>
      </c>
      <c r="J1557" s="2" t="s">
        <v>22</v>
      </c>
      <c r="K1557" s="1" t="s">
        <v>22</v>
      </c>
      <c r="L1557" s="1" t="s">
        <v>22</v>
      </c>
      <c r="M1557" s="1" t="s">
        <v>22</v>
      </c>
      <c r="N1557" s="1" t="s">
        <v>22</v>
      </c>
      <c r="O1557" s="1" t="s">
        <v>22</v>
      </c>
      <c r="P1557" s="1" t="s">
        <v>22</v>
      </c>
      <c r="Q1557" s="1" t="s">
        <v>22</v>
      </c>
      <c r="R1557" s="1" t="s">
        <v>22</v>
      </c>
      <c r="S1557" s="1" t="s">
        <v>22</v>
      </c>
      <c r="T1557" s="1" t="s">
        <v>22</v>
      </c>
      <c r="U1557" s="1"/>
    </row>
    <row r="1558" spans="1:21" x14ac:dyDescent="0.25">
      <c r="A1558" s="1" t="s">
        <v>21</v>
      </c>
      <c r="B1558" s="2" t="s">
        <v>22</v>
      </c>
      <c r="C1558" s="1" t="s">
        <v>22</v>
      </c>
      <c r="D1558" s="1" t="s">
        <v>22</v>
      </c>
      <c r="E1558" s="1" t="s">
        <v>22</v>
      </c>
      <c r="F1558" s="1" t="s">
        <v>22</v>
      </c>
      <c r="G1558" s="1" t="s">
        <v>22</v>
      </c>
      <c r="H1558" t="s">
        <v>22</v>
      </c>
      <c r="I1558" s="2" t="s">
        <v>22</v>
      </c>
      <c r="J1558" s="2" t="s">
        <v>22</v>
      </c>
      <c r="K1558" s="1" t="s">
        <v>22</v>
      </c>
      <c r="L1558" s="1" t="s">
        <v>22</v>
      </c>
      <c r="M1558" s="1" t="s">
        <v>22</v>
      </c>
      <c r="N1558" s="1" t="s">
        <v>22</v>
      </c>
      <c r="O1558" s="1" t="s">
        <v>22</v>
      </c>
      <c r="P1558" s="1" t="s">
        <v>22</v>
      </c>
      <c r="Q1558" s="1" t="s">
        <v>22</v>
      </c>
      <c r="R1558" s="1" t="s">
        <v>22</v>
      </c>
      <c r="S1558" s="1" t="s">
        <v>22</v>
      </c>
      <c r="T1558" s="1" t="s">
        <v>22</v>
      </c>
      <c r="U1558" s="1"/>
    </row>
    <row r="1559" spans="1:21" x14ac:dyDescent="0.25">
      <c r="A1559" s="1" t="s">
        <v>21</v>
      </c>
      <c r="B1559" s="2" t="s">
        <v>22</v>
      </c>
      <c r="C1559" s="1" t="s">
        <v>22</v>
      </c>
      <c r="D1559" s="1" t="s">
        <v>22</v>
      </c>
      <c r="E1559" s="1" t="s">
        <v>22</v>
      </c>
      <c r="F1559" s="1" t="s">
        <v>22</v>
      </c>
      <c r="G1559" s="1" t="s">
        <v>22</v>
      </c>
      <c r="H1559" t="s">
        <v>22</v>
      </c>
      <c r="I1559" s="2" t="s">
        <v>22</v>
      </c>
      <c r="J1559" s="2" t="s">
        <v>22</v>
      </c>
      <c r="K1559" s="1" t="s">
        <v>22</v>
      </c>
      <c r="L1559" s="1" t="s">
        <v>22</v>
      </c>
      <c r="M1559" s="1" t="s">
        <v>22</v>
      </c>
      <c r="N1559" s="1" t="s">
        <v>22</v>
      </c>
      <c r="O1559" s="1" t="s">
        <v>22</v>
      </c>
      <c r="P1559" s="1" t="s">
        <v>22</v>
      </c>
      <c r="Q1559" s="1" t="s">
        <v>22</v>
      </c>
      <c r="R1559" s="1" t="s">
        <v>22</v>
      </c>
      <c r="S1559" s="1" t="s">
        <v>22</v>
      </c>
      <c r="T1559" s="1" t="s">
        <v>22</v>
      </c>
      <c r="U1559" s="1"/>
    </row>
    <row r="1560" spans="1:21" x14ac:dyDescent="0.25">
      <c r="A1560" s="1" t="s">
        <v>21</v>
      </c>
      <c r="B1560" s="2" t="s">
        <v>22</v>
      </c>
      <c r="C1560" s="1" t="s">
        <v>22</v>
      </c>
      <c r="D1560" s="1" t="s">
        <v>22</v>
      </c>
      <c r="E1560" s="1" t="s">
        <v>22</v>
      </c>
      <c r="F1560" s="1" t="s">
        <v>22</v>
      </c>
      <c r="G1560" s="1" t="s">
        <v>22</v>
      </c>
      <c r="H1560" t="s">
        <v>22</v>
      </c>
      <c r="I1560" s="2" t="s">
        <v>22</v>
      </c>
      <c r="J1560" s="2" t="s">
        <v>22</v>
      </c>
      <c r="K1560" s="1" t="s">
        <v>22</v>
      </c>
      <c r="L1560" s="1" t="s">
        <v>22</v>
      </c>
      <c r="M1560" s="1" t="s">
        <v>22</v>
      </c>
      <c r="N1560" s="1" t="s">
        <v>22</v>
      </c>
      <c r="O1560" s="1" t="s">
        <v>22</v>
      </c>
      <c r="P1560" s="1" t="s">
        <v>22</v>
      </c>
      <c r="Q1560" s="1" t="s">
        <v>22</v>
      </c>
      <c r="R1560" s="1" t="s">
        <v>22</v>
      </c>
      <c r="S1560" s="1" t="s">
        <v>22</v>
      </c>
      <c r="T1560" s="1" t="s">
        <v>22</v>
      </c>
      <c r="U1560" s="1"/>
    </row>
    <row r="1561" spans="1:20" x14ac:dyDescent="0.25">
      <c r="A1561" s="1" t="s">
        <v>21</v>
      </c>
      <c r="B1561" s="2" t="s">
        <v>22</v>
      </c>
      <c r="C1561" s="1" t="s">
        <v>22</v>
      </c>
      <c r="D1561" s="1" t="s">
        <v>22</v>
      </c>
      <c r="E1561" s="1" t="s">
        <v>22</v>
      </c>
      <c r="F1561" s="1" t="s">
        <v>22</v>
      </c>
      <c r="G1561" s="1" t="s">
        <v>22</v>
      </c>
      <c r="H1561" t="s">
        <v>22</v>
      </c>
      <c r="I1561" s="2" t="s">
        <v>22</v>
      </c>
      <c r="J1561" s="2" t="s">
        <v>22</v>
      </c>
      <c r="K1561" s="1" t="s">
        <v>22</v>
      </c>
      <c r="L1561" s="1" t="s">
        <v>22</v>
      </c>
      <c r="M1561" s="1" t="s">
        <v>22</v>
      </c>
      <c r="N1561" s="1" t="s">
        <v>22</v>
      </c>
      <c r="O1561" s="1" t="s">
        <v>22</v>
      </c>
      <c r="P1561" s="1" t="s">
        <v>22</v>
      </c>
      <c r="Q1561" s="1" t="s">
        <v>22</v>
      </c>
      <c r="R1561" s="1" t="s">
        <v>22</v>
      </c>
      <c r="S1561" s="1" t="s">
        <v>22</v>
      </c>
      <c r="T1561" s="1" t="s">
        <v>22</v>
      </c>
    </row>
    <row r="1562" spans="1:20" x14ac:dyDescent="0.25">
      <c r="A1562" s="1" t="s">
        <v>21</v>
      </c>
      <c r="B1562" s="2" t="s">
        <v>22</v>
      </c>
      <c r="C1562" s="1" t="s">
        <v>22</v>
      </c>
      <c r="D1562" s="1" t="s">
        <v>22</v>
      </c>
      <c r="E1562" s="1" t="s">
        <v>22</v>
      </c>
      <c r="F1562" s="1" t="s">
        <v>22</v>
      </c>
      <c r="G1562" s="1" t="s">
        <v>22</v>
      </c>
      <c r="H1562" t="s">
        <v>22</v>
      </c>
      <c r="I1562" s="2" t="s">
        <v>22</v>
      </c>
      <c r="J1562" s="2" t="s">
        <v>22</v>
      </c>
      <c r="K1562" s="1" t="s">
        <v>22</v>
      </c>
      <c r="L1562" s="1" t="s">
        <v>22</v>
      </c>
      <c r="M1562" s="1" t="s">
        <v>22</v>
      </c>
      <c r="N1562" s="1" t="s">
        <v>22</v>
      </c>
      <c r="O1562" s="1" t="s">
        <v>22</v>
      </c>
      <c r="P1562" s="1" t="s">
        <v>22</v>
      </c>
      <c r="Q1562" s="1" t="s">
        <v>22</v>
      </c>
      <c r="R1562" s="1" t="s">
        <v>22</v>
      </c>
      <c r="S1562" s="1" t="s">
        <v>22</v>
      </c>
      <c r="T1562" s="1" t="s">
        <v>22</v>
      </c>
    </row>
  </sheetData>
  <pageMargins left="0.7" right="0.7" top="0.75" bottom="0.75" header="0.3" footer="0.3"/>
  <pageSetup paperSize="9" orientation="portrait" horizontalDpi="4294967295" verticalDpi="4294967295" scale="100" fitToWidth="1" fitToHeight="1" firstPageNumber="1" useFirstPageNumber="1" copies="1"/>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CRF Source Data Config 2026</vt:lpstr>
      <vt:lpstr>CRF Source Data Config 2025</vt:lpstr>
      <vt:lpstr>CRF Source Data Config 2024</vt:lpstr>
      <vt:lpstr>CRF Source Data Config(2017-23)</vt:lpstr>
      <vt:lpstr>Pivots</vt:lpstr>
      <vt:lpstr>Chart</vt:lpstr>
      <vt:lpstr>Source Data Old</vt:lpstr>
      <vt:lpstr>Pivots Old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Dilip Kumar</dc:creator>
  <dc:title/>
  <dc:subject/>
  <dc:description/>
  <cp:keywords/>
  <cp:category/>
  <cp:lastModifiedBy>Kiran B S</cp:lastModifiedBy>
  <cp:contentStatus/>
  <dcterms:created xsi:type="dcterms:W3CDTF">2018-05-23T09:39:15Z</dcterms:created>
  <dcterms:modified xsi:type="dcterms:W3CDTF">2026-07-17T11:40:27Z</dcterms:modified>
</cp:coreProperties>
</file>